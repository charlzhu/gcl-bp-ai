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40"/>
  </bookViews>
  <sheets>
    <sheet name="0103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FDS_HYPERLINK_TOGGLE_STATE__" hidden="1">"ON"</definedName>
    <definedName name="AS2DocOpenMode" hidden="1">"AS2DocumentEdit"</definedName>
    <definedName name="AS2NamedRange" hidden="1">10</definedName>
    <definedName name="AS2ReportLS" hidden="1">1</definedName>
    <definedName name="AS2SyncStepLS" hidden="1">0</definedName>
    <definedName name="AS2VersionLS" hidden="1">300</definedName>
    <definedName name="BG_Del" hidden="1">15</definedName>
    <definedName name="BG_Ins" hidden="1">4</definedName>
    <definedName name="BG_Mod" hidden="1">6</definedName>
    <definedName name="HTML_Header" hidden="1">"FAB Yield"</definedName>
    <definedName name="HTML_LastUpdate" hidden="1">"1997/9/4"</definedName>
    <definedName name="HTML_LineAfter" hidden="1">FALSE</definedName>
    <definedName name="HTML_LineBefore" hidden="1">FALSE</definedName>
    <definedName name="HTML_Name" hidden="1">"klinewu"</definedName>
    <definedName name="HTML_OBDlg2" hidden="1">TRUE</definedName>
    <definedName name="HTML_OBDlg4" hidden="1">TRUE</definedName>
    <definedName name="HTML_OS" hidden="1">0</definedName>
    <definedName name="HTML_PathFile" hidden="1">"D:\My Documents\Excel資料夾\MyHTML.htm"</definedName>
    <definedName name="HTML_Title" hidden="1">"製造處"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39887.6637962963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39372.0317361111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TextRefCopyRangeCount" hidden="1">83</definedName>
    <definedName name="TravelType">[1]Allowance!$A$52:$A$54</definedName>
    <definedName name="AB班">#REF!</definedName>
    <definedName name="产品名称">[2]数据资料!$C$1:$C$65536</definedName>
    <definedName name="即时库存">[3]即时库存!$A$1:$M$258</definedName>
    <definedName name="_xlchart.0" hidden="1">'[4]商务部-客户满意度'!$A$7:$A$11</definedName>
    <definedName name="_xlchart.1" hidden="1">'[4]商务部-客户满意度'!$B$7:$B$11</definedName>
    <definedName name="blacksheet">#REF!</definedName>
    <definedName name="Cell_Size">#REF!</definedName>
    <definedName name="p_n">#REF!</definedName>
    <definedName name="Product_Name">#REF!</definedName>
    <definedName name="目录">#REF!</definedName>
    <definedName name="ts4E9_06B3B" hidden="1">{1,2,3,4,5}</definedName>
    <definedName name="ts4E9_1A6BF" hidden="1">{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}</definedName>
    <definedName name="ts4E9_607B5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<sst xmlns="http://schemas.openxmlformats.org/spreadsheetml/2006/main" count="80" uniqueCount="53">
  <si>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单位</t>
  </si>
  <si>
    <t>23年</t>
  </si>
  <si>
    <t>H1</t>
  </si>
  <si>
    <t>Q1</t>
  </si>
  <si>
    <t>Q2</t>
  </si>
  <si>
    <t>Q3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</si>
  <si>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</si>
  <si>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</si>
  <si>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</si>
  <si>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</si>
  <si>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</si>
  <si>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</si>
  <si>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</si>
  <si>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</si>
  <si>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</si>
  <si>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</si>
  <si>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</si>
  <si>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</si>
  <si>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产量</t>
  </si>
  <si>
    <t>年度预算</t>
  </si>
  <si>
    <t>MW</t>
  </si>
  <si>
    <t>年度预算产量边界-1.5</t>
  </si>
  <si>
    <t>年度预算达成率（含委外）</t>
  </si>
  <si>
    <t>%</t>
  </si>
  <si>
    <t>年度预算达成率（不含委外）</t>
  </si>
  <si>
    <t>实际产出量(含委外)</t>
  </si>
  <si>
    <t>实际产量(不含委外)</t>
  </si>
  <si>
    <t>合肥产量</t>
  </si>
  <si>
    <t>阜宁产量</t>
  </si>
  <si>
    <t>委外加工-合肥主体</t>
  </si>
  <si>
    <t>委外加工-阜宁主体</t>
  </si>
  <si>
    <t>委外加工-集成主体（不含海外OEM）</t>
  </si>
  <si>
    <t>产量结构</t>
  </si>
  <si>
    <t>自产</t>
  </si>
  <si>
    <t>受托加工</t>
  </si>
  <si>
    <t>双经销</t>
  </si>
  <si>
    <t>TW</t>
  </si>
  <si>
    <t>产量版型结构</t>
  </si>
  <si>
    <t>N型</t>
  </si>
  <si>
    <t>P型</t>
  </si>
  <si>
    <t>发货</t>
  </si>
  <si>
    <t>实物发货合计</t>
  </si>
  <si>
    <t>合肥发货</t>
  </si>
  <si>
    <t>阜宁发货</t>
  </si>
  <si>
    <t>销量</t>
  </si>
  <si>
    <t>开票合计</t>
  </si>
  <si>
    <t>合肥开票</t>
  </si>
  <si>
    <t>阜宁开票</t>
  </si>
  <si>
    <t>销量版型结构</t>
  </si>
  <si>
    <t>存货</t>
  </si>
  <si>
    <t>存货合计</t>
  </si>
  <si>
    <t>合肥</t>
  </si>
  <si>
    <t>阜宁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</si>
</sst>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sz val="8"/>
      <name val="微软雅黑"/>
      <charset val="134"/>
    </font>
    <font>
      <sz val="8"/>
      <color theme="1"/>
      <name val="微软雅黑"/>
      <charset val="134"/>
    </font>
    <font>
      <sz val="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right" vertical="center"/>
    </xf>
    <xf numFmtId="2" fontId="1" fillId="0" borderId="1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gracesemi.local\Documents and Settings\001668\Local Settings\Temporary Internet Files\Content.Outlook\XXD3BAZ4\2010 Plan - OPM200912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Documents and Settings\Administrator\Application Data\Microsoft\Excel\&#35745;&#21010;&#37096;&#24037;&#20316;\&#27599;&#26085;&#24037;&#20316;\&#26085;&#24230;&#26356;&#26032;&#34920;\&#35745;&#21010;&#37096;&#24037;&#20316;\&#27599;&#26085;&#24037;&#20316;\&#26085;&#24230;&#26356;&#26032;&#34920;\&#25991;&#20214;&#25968;&#25454;\&#21608;&#36716;&#36890;&#36947;\&#23433;&#24509;&#21531;&#23376;&#20848;&#24211;&#23384;&#29289;&#26009;&#31649;&#29702;&#34920;2014&#24180;5-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273899\AppData\Roaming\kingsoft\office6\backup\&#21407;&#26448;&#26009;--092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GCL&#24037;&#20316;&#25991;&#20214;\&#21608;&#26376;&#25253;&#21578;\&#26376;&#25253;\&#26376;&#36164;&#26009;\3&#26376;\3&#26376;&#20221;&#32463;&#33829;&#20250;&#35758;&#20869;&#23481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327;&#37995;GCL\&#21608;&#26376;&#25253;&#21578;\&#26376;&#25253;\&#26376;&#36164;&#26009;\&#26376;&#24230;&#32463;&#33829;&#35745;&#21010;&#22522;&#30784;&#25968;&#25454;&#36164;&#26009;&#33050;&#26412;2407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1 Capital expenditure"/>
      <sheetName val="1.2 Spending by Cost Elements"/>
      <sheetName val="1.3 Spending by Cost Center"/>
      <sheetName val="1.4 Headcount"/>
      <sheetName val="1.5 Major items explanation"/>
      <sheetName val="1.6 Travel"/>
      <sheetName val="Allowance"/>
      <sheetName val="2.1 Spending Detail"/>
      <sheetName val="Recruiting"/>
      <sheetName val="Summary sheet"/>
      <sheetName val="2.2 Capital Detail"/>
      <sheetName val="Cost Center List"/>
      <sheetName val="OPM Raw Data"/>
      <sheetName val="Process"/>
      <sheetName val="词库"/>
      <sheetName val="名句"/>
      <sheetName val="基础数据"/>
      <sheetName val="商务部-客户满意度"/>
      <sheetName val="数据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库表"/>
      <sheetName val="出库表"/>
      <sheetName val="库存表"/>
      <sheetName val="数据资料"/>
      <sheetName val="编码"/>
      <sheetName val="即时库存"/>
      <sheetName val="Allow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即时库存"/>
      <sheetName val="Sheet1"/>
      <sheetName val="会计分录序时簿"/>
      <sheetName val="数据资料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总览"/>
      <sheetName val="商务部-在手订单信息"/>
      <sheetName val="商务部-新客户拓展进度"/>
      <sheetName val="商务部-客户满意度"/>
      <sheetName val="融资管理部-融资计划推进进度"/>
      <sheetName val="信息管理部-数字化推进进度"/>
      <sheetName val="工艺技术部-新产品推进进度"/>
      <sheetName val="工艺技术组-降本项目进度"/>
      <sheetName val="计划-产量达成情况"/>
      <sheetName val="计划-成品-呆滞"/>
      <sheetName val="计划-原材料-呆滞"/>
      <sheetName val="IE-人效复盘"/>
      <sheetName val="质量&amp;工艺-良率、降档、碎片"/>
      <sheetName val="质量-客诉"/>
      <sheetName val="质量-客户反馈"/>
      <sheetName val="组织发展部人力资源-核心员工离职率"/>
      <sheetName val="组织发展部人力资源-关键岗位招聘达成率"/>
      <sheetName val="组织发展部人力资源-关键岗位人员需求"/>
      <sheetName val="组织发展部人力资源-月末人力"/>
      <sheetName val="人力资源部-培训完成率"/>
      <sheetName val="经营-员工满意度"/>
      <sheetName val="4月份排产"/>
      <sheetName val="数据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0103"/>
      <sheetName val="25年各厂产量"/>
      <sheetName val="产销存数据"/>
      <sheetName val="年度指标CX"/>
      <sheetName val="产销存"/>
      <sheetName val="H2规划"/>
      <sheetName val="1117更新"/>
      <sheetName val="存货周转"/>
      <sheetName val="25Q2"/>
      <sheetName val="25年"/>
      <sheetName val="26Q1"/>
      <sheetName val="发存数据"/>
      <sheetName val="182P库存消化"/>
      <sheetName val="开工率"/>
      <sheetName val="物流调研"/>
      <sheetName val="库容预测"/>
      <sheetName val="库存预测 "/>
      <sheetName val="破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showGridLines="0" tabSelected="1" zoomScale="85" zoomScaleNormal="85" workbookViewId="0">
      <selection activeCell="B25" sqref="B25"/>
    </sheetView>
  </sheetViews>
  <sheetFormatPr defaultColWidth="9.81818181818182" defaultRowHeight="12.5" customHeight="1"/>
  <cols>
    <col min="1" max="1" width="10.1545454545455" style="2" customWidth="1"/>
    <col min="2" max="2" width="22.7727272727273" style="2" customWidth="1"/>
    <col min="3" max="3" width="7" style="2" customWidth="1"/>
    <col min="4" max="4" width="12.5" style="2" customWidth="1"/>
    <col min="5" max="17" width="8.33636363636364" style="2" customWidth="1"/>
    <col min="18" max="20" width="8.55454545454545" style="2" customWidth="1"/>
    <col min="21" max="21" width="19.4545454545455" style="2" customWidth="1"/>
    <col min="22" max="16383" width="9.45454545454546" style="2"/>
    <col min="16384" max="16384" width="9.45454545454546"/>
  </cols>
  <sheetData>
    <row r="1" customHeight="1" spans="1:21">
      <c r="A1" s="3"/>
      <c r="B1" s="3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</row>
    <row r="2" s="1" customFormat="1" customHeight="1" spans="1:21">
      <c r="A2" s="4" t="s">
        <v>18</v>
      </c>
      <c r="B2" s="5" t="s">
        <v>19</v>
      </c>
      <c r="C2" s="5" t="s">
        <v>20</v>
      </c>
      <c r="D2" s="6">
        <f t="shared" ref="D2:D25" si="0">SUM(I2:S2)</f>
        <v>13430.3787</v>
      </c>
      <c r="E2" s="6">
        <f t="shared" ref="E2:E25" si="1">SUM(I2:N2)</f>
        <v>6564.3131</v>
      </c>
      <c r="F2" s="6">
        <f t="shared" ref="F2:F25" si="2">SUM(I2:K2)</f>
        <v>2677.0427</v>
      </c>
      <c r="G2" s="6">
        <f t="shared" ref="G2:G25" si="3">SUM(L2:N2)</f>
        <v>3887.2704</v>
      </c>
      <c r="H2" s="6">
        <f t="shared" ref="H2:H25" si="4">SUM(O2:Q2)</f>
        <v>4012.6408</v>
      </c>
      <c r="I2" s="7">
        <v>486.20529</v>
      </c>
      <c r="J2" s="7">
        <v>909.284265</v>
      </c>
      <c r="K2" s="7">
        <v>1281.553145</v>
      </c>
      <c r="L2" s="7">
        <v>1271.8456</v>
      </c>
      <c r="M2" s="7">
        <v>1330.216</v>
      </c>
      <c r="N2" s="7">
        <v>1285.2088</v>
      </c>
      <c r="O2" s="7">
        <v>1337.216</v>
      </c>
      <c r="P2" s="7">
        <v>1350.216</v>
      </c>
      <c r="Q2" s="7">
        <v>1325.2088</v>
      </c>
      <c r="R2" s="7">
        <v>1405.216</v>
      </c>
      <c r="S2" s="7">
        <v>1448.2088</v>
      </c>
      <c r="T2" s="7">
        <v>1805.22</v>
      </c>
      <c r="U2" s="1" t="s">
        <v>21</v>
      </c>
    </row>
    <row r="3" s="1" customFormat="1" customHeight="1" spans="1:21">
      <c r="A3" s="8"/>
      <c r="B3" s="5" t="s">
        <v>22</v>
      </c>
      <c r="C3" s="5" t="s">
        <v>23</v>
      </c>
      <c r="D3" s="9">
        <f t="shared" ref="D3:S3" si="5">D5/D2</f>
        <v>1.07637508575987</v>
      </c>
      <c r="E3" s="9">
        <f t="shared" si="5"/>
        <v>1.04212421022391</v>
      </c>
      <c r="F3" s="9">
        <f t="shared" si="5"/>
        <v>0.994750132300841</v>
      </c>
      <c r="G3" s="9">
        <f t="shared" si="5"/>
        <v>1.07474927007908</v>
      </c>
      <c r="H3" s="9">
        <f t="shared" si="5"/>
        <v>0.959253743818784</v>
      </c>
      <c r="I3" s="9">
        <f t="shared" si="5"/>
        <v>0.892928437697582</v>
      </c>
      <c r="J3" s="9">
        <f t="shared" si="5"/>
        <v>0.915014019295715</v>
      </c>
      <c r="K3" s="9">
        <f t="shared" si="5"/>
        <v>1.08995417431557</v>
      </c>
      <c r="L3" s="9">
        <f t="shared" si="5"/>
        <v>1.05339956359483</v>
      </c>
      <c r="M3" s="9">
        <f t="shared" si="5"/>
        <v>1.12365612426854</v>
      </c>
      <c r="N3" s="9">
        <f t="shared" si="5"/>
        <v>1.04525744766142</v>
      </c>
      <c r="O3" s="9">
        <f t="shared" si="5"/>
        <v>1.04284848147195</v>
      </c>
      <c r="P3" s="9">
        <f t="shared" si="5"/>
        <v>0.964402621506485</v>
      </c>
      <c r="Q3" s="9">
        <f t="shared" si="5"/>
        <v>0.869655547865363</v>
      </c>
      <c r="R3" s="9">
        <f t="shared" si="5"/>
        <v>0.90663009459044</v>
      </c>
      <c r="S3" s="9">
        <f t="shared" si="5"/>
        <v>1.72084549893634</v>
      </c>
      <c r="T3" s="9">
        <v>0.896719275212993</v>
      </c>
    </row>
    <row r="4" s="1" customFormat="1" customHeight="1" spans="1:21">
      <c r="A4" s="8"/>
      <c r="B4" s="5" t="s">
        <v>24</v>
      </c>
      <c r="C4" s="5" t="s">
        <v>23</v>
      </c>
      <c r="D4" s="9">
        <f t="shared" ref="D4:S4" si="6">D6/D2</f>
        <v>0.996707469239121</v>
      </c>
      <c r="E4" s="9">
        <f t="shared" si="6"/>
        <v>1.01632065280372</v>
      </c>
      <c r="F4" s="9">
        <f t="shared" si="6"/>
        <v>0.983466972715826</v>
      </c>
      <c r="G4" s="9">
        <f t="shared" si="6"/>
        <v>1.03894596449992</v>
      </c>
      <c r="H4" s="9">
        <f t="shared" si="6"/>
        <v>0.918399626001909</v>
      </c>
      <c r="I4" s="9">
        <f t="shared" si="6"/>
        <v>0.874741675476217</v>
      </c>
      <c r="J4" s="9">
        <f t="shared" si="6"/>
        <v>0.902916592315606</v>
      </c>
      <c r="K4" s="9">
        <f t="shared" si="6"/>
        <v>1.08186789241581</v>
      </c>
      <c r="L4" s="9">
        <f t="shared" si="6"/>
        <v>0.992298915843244</v>
      </c>
      <c r="M4" s="9">
        <f t="shared" si="6"/>
        <v>1.09932561328386</v>
      </c>
      <c r="N4" s="9">
        <f t="shared" si="6"/>
        <v>1.02261388577483</v>
      </c>
      <c r="O4" s="9">
        <f t="shared" si="6"/>
        <v>1.01974667892098</v>
      </c>
      <c r="P4" s="9">
        <f t="shared" si="6"/>
        <v>0.902737006523401</v>
      </c>
      <c r="Q4" s="9">
        <f t="shared" si="6"/>
        <v>0.832092486104831</v>
      </c>
      <c r="R4" s="9">
        <f t="shared" si="6"/>
        <v>0.804469622463735</v>
      </c>
      <c r="S4" s="9">
        <f t="shared" si="6"/>
        <v>1.31130980215008</v>
      </c>
      <c r="T4" s="9">
        <v>0.843449393979681</v>
      </c>
    </row>
    <row r="5" customHeight="1" spans="1:21">
      <c r="A5" s="8"/>
      <c r="B5" s="10" t="s">
        <v>25</v>
      </c>
      <c r="C5" s="10" t="s">
        <v>20</v>
      </c>
      <c r="D5" s="11">
        <f t="shared" si="0"/>
        <v>14456.125025</v>
      </c>
      <c r="E5" s="11">
        <f t="shared" si="1"/>
        <v>6840.829605</v>
      </c>
      <c r="F5" s="11">
        <f t="shared" si="2"/>
        <v>2662.98858</v>
      </c>
      <c r="G5" s="11">
        <f t="shared" si="3"/>
        <v>4177.841025</v>
      </c>
      <c r="H5" s="11">
        <f t="shared" si="4"/>
        <v>3849.14071</v>
      </c>
      <c r="I5" s="11">
        <v>434.14653</v>
      </c>
      <c r="J5" s="11">
        <v>832.00785</v>
      </c>
      <c r="K5" s="11">
        <v>1396.8342</v>
      </c>
      <c r="L5" s="11">
        <v>1339.7616</v>
      </c>
      <c r="M5" s="11">
        <v>1494.705355</v>
      </c>
      <c r="N5" s="11">
        <v>1343.37407</v>
      </c>
      <c r="O5" s="11">
        <v>1394.513675</v>
      </c>
      <c r="P5" s="11">
        <v>1302.15185</v>
      </c>
      <c r="Q5" s="11">
        <v>1152.475185</v>
      </c>
      <c r="R5" s="11">
        <v>1274.011115</v>
      </c>
      <c r="S5" s="11">
        <v>2492.143595</v>
      </c>
      <c r="T5" s="11">
        <v>1618.77557</v>
      </c>
    </row>
    <row r="6" customHeight="1" spans="1:21">
      <c r="A6" s="8"/>
      <c r="B6" s="10" t="s">
        <v>26</v>
      </c>
      <c r="C6" s="10" t="s">
        <v>20</v>
      </c>
      <c r="D6" s="11">
        <f t="shared" si="0"/>
        <v>13386.158765</v>
      </c>
      <c r="E6" s="11">
        <f t="shared" si="1"/>
        <v>6671.446975</v>
      </c>
      <c r="F6" s="11">
        <f t="shared" si="2"/>
        <v>2632.78308</v>
      </c>
      <c r="G6" s="11">
        <f t="shared" si="3"/>
        <v>4038.663895</v>
      </c>
      <c r="H6" s="11">
        <f t="shared" si="4"/>
        <v>3685.20781</v>
      </c>
      <c r="I6" s="11">
        <v>425.30403</v>
      </c>
      <c r="J6" s="11">
        <v>821.00785</v>
      </c>
      <c r="K6" s="11">
        <v>1386.4712</v>
      </c>
      <c r="L6" s="11">
        <v>1262.05101</v>
      </c>
      <c r="M6" s="11">
        <v>1462.34052</v>
      </c>
      <c r="N6" s="11">
        <v>1314.272365</v>
      </c>
      <c r="O6" s="11">
        <v>1363.621575</v>
      </c>
      <c r="P6" s="11">
        <v>1218.88995</v>
      </c>
      <c r="Q6" s="11">
        <v>1102.696285</v>
      </c>
      <c r="R6" s="11">
        <v>1130.453585</v>
      </c>
      <c r="S6" s="11">
        <v>1899.050395</v>
      </c>
      <c r="T6" s="11">
        <v>1522.611715</v>
      </c>
    </row>
    <row r="7" customHeight="1" spans="1:21">
      <c r="A7" s="8"/>
      <c r="B7" s="12" t="s">
        <v>27</v>
      </c>
      <c r="C7" s="13" t="s">
        <v>20</v>
      </c>
      <c r="D7" s="6">
        <f t="shared" si="0"/>
        <v>11664.01307</v>
      </c>
      <c r="E7" s="6">
        <f t="shared" si="1"/>
        <v>6007.47662</v>
      </c>
      <c r="F7" s="6">
        <f t="shared" si="2"/>
        <v>2392.11688</v>
      </c>
      <c r="G7" s="6">
        <f t="shared" si="3"/>
        <v>3615.35974</v>
      </c>
      <c r="H7" s="6">
        <f t="shared" si="4"/>
        <v>3291.88092</v>
      </c>
      <c r="I7" s="6">
        <v>369.09701</v>
      </c>
      <c r="J7" s="6">
        <v>741.28133</v>
      </c>
      <c r="K7" s="6">
        <v>1281.73854</v>
      </c>
      <c r="L7" s="6">
        <v>1099.86299</v>
      </c>
      <c r="M7" s="6">
        <v>1301.615</v>
      </c>
      <c r="N7" s="6">
        <v>1213.88175</v>
      </c>
      <c r="O7" s="6">
        <v>1236.324</v>
      </c>
      <c r="P7" s="6">
        <v>1070.12</v>
      </c>
      <c r="Q7" s="6">
        <v>985.43692</v>
      </c>
      <c r="R7" s="6">
        <v>963.77455</v>
      </c>
      <c r="S7" s="6">
        <v>1400.88098</v>
      </c>
      <c r="T7" s="6">
        <v>1006.271</v>
      </c>
    </row>
    <row r="8" customHeight="1" spans="1:21">
      <c r="A8" s="8"/>
      <c r="B8" s="12" t="s">
        <v>28</v>
      </c>
      <c r="C8" s="13" t="s">
        <v>20</v>
      </c>
      <c r="D8" s="6">
        <f t="shared" si="0"/>
        <v>1722.145695</v>
      </c>
      <c r="E8" s="6">
        <f t="shared" si="1"/>
        <v>663.970355</v>
      </c>
      <c r="F8" s="6">
        <f t="shared" si="2"/>
        <v>240.6662</v>
      </c>
      <c r="G8" s="6">
        <f t="shared" si="3"/>
        <v>423.304155</v>
      </c>
      <c r="H8" s="6">
        <f t="shared" si="4"/>
        <v>393.32689</v>
      </c>
      <c r="I8" s="6">
        <v>56.20702</v>
      </c>
      <c r="J8" s="6">
        <v>79.72652</v>
      </c>
      <c r="K8" s="6">
        <v>104.73266</v>
      </c>
      <c r="L8" s="6">
        <v>162.18802</v>
      </c>
      <c r="M8" s="6">
        <v>160.72552</v>
      </c>
      <c r="N8" s="6">
        <v>100.390615</v>
      </c>
      <c r="O8" s="6">
        <v>127.297575</v>
      </c>
      <c r="P8" s="6">
        <v>148.76995</v>
      </c>
      <c r="Q8" s="6">
        <v>117.259365</v>
      </c>
      <c r="R8" s="6">
        <v>166.679035</v>
      </c>
      <c r="S8" s="6">
        <v>498.169415</v>
      </c>
      <c r="T8" s="6">
        <v>516.340715</v>
      </c>
    </row>
    <row r="9" customHeight="1" spans="1:21">
      <c r="A9" s="8"/>
      <c r="B9" s="12" t="s">
        <v>29</v>
      </c>
      <c r="C9" s="13" t="s">
        <v>20</v>
      </c>
      <c r="D9" s="6">
        <f t="shared" si="0"/>
        <v>237.545555</v>
      </c>
      <c r="E9" s="6">
        <f t="shared" si="1"/>
        <v>85.427595</v>
      </c>
      <c r="F9" s="6">
        <f t="shared" si="2"/>
        <v>5.14</v>
      </c>
      <c r="G9" s="6">
        <f t="shared" si="3"/>
        <v>80.287595</v>
      </c>
      <c r="H9" s="6">
        <f t="shared" si="4"/>
        <v>83.59</v>
      </c>
      <c r="I9" s="6">
        <v>0</v>
      </c>
      <c r="J9" s="6">
        <v>0</v>
      </c>
      <c r="K9" s="6">
        <v>5.14</v>
      </c>
      <c r="L9" s="6">
        <v>59.78</v>
      </c>
      <c r="M9" s="6">
        <v>4.56005</v>
      </c>
      <c r="N9" s="6">
        <v>15.947545</v>
      </c>
      <c r="O9" s="6">
        <v>13.1875</v>
      </c>
      <c r="P9" s="6">
        <v>56.1697</v>
      </c>
      <c r="Q9" s="6">
        <v>14.2328</v>
      </c>
      <c r="R9" s="6">
        <v>0.51796</v>
      </c>
      <c r="S9" s="6">
        <v>68.01</v>
      </c>
      <c r="T9" s="6">
        <v>0</v>
      </c>
    </row>
    <row r="10" customHeight="1" spans="1:21">
      <c r="A10" s="8"/>
      <c r="B10" s="12" t="s">
        <v>30</v>
      </c>
      <c r="C10" s="13" t="s">
        <v>20</v>
      </c>
      <c r="D10" s="6">
        <f t="shared" si="0"/>
        <v>695.11576</v>
      </c>
      <c r="E10" s="6">
        <f t="shared" si="1"/>
        <v>0</v>
      </c>
      <c r="F10" s="6">
        <f t="shared" si="2"/>
        <v>0</v>
      </c>
      <c r="G10" s="6">
        <f t="shared" si="3"/>
        <v>0</v>
      </c>
      <c r="H10" s="6">
        <f t="shared" si="4"/>
        <v>38.8432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2.134</v>
      </c>
      <c r="P10" s="6">
        <v>3.9042</v>
      </c>
      <c r="Q10" s="6">
        <v>32.805</v>
      </c>
      <c r="R10" s="6">
        <v>136.82356</v>
      </c>
      <c r="S10" s="6">
        <v>519.449</v>
      </c>
      <c r="T10" s="6">
        <v>96.163855</v>
      </c>
    </row>
    <row r="11" customHeight="1" spans="1:21">
      <c r="A11" s="14"/>
      <c r="B11" s="12" t="s">
        <v>31</v>
      </c>
      <c r="C11" s="13" t="s">
        <v>20</v>
      </c>
      <c r="D11" s="6">
        <f t="shared" si="0"/>
        <v>133.05076</v>
      </c>
      <c r="E11" s="6">
        <f t="shared" si="1"/>
        <v>81.62095</v>
      </c>
      <c r="F11" s="6">
        <f t="shared" si="2"/>
        <v>23.72</v>
      </c>
      <c r="G11" s="6">
        <f t="shared" si="3"/>
        <v>57.90095</v>
      </c>
      <c r="H11" s="6">
        <f t="shared" si="4"/>
        <v>40.2801</v>
      </c>
      <c r="I11" s="6">
        <v>8.42</v>
      </c>
      <c r="J11" s="6">
        <v>11</v>
      </c>
      <c r="K11" s="6">
        <v>4.3</v>
      </c>
      <c r="L11" s="6">
        <v>17.7809</v>
      </c>
      <c r="M11" s="6">
        <v>27.469</v>
      </c>
      <c r="N11" s="6">
        <v>12.65105</v>
      </c>
      <c r="O11" s="6">
        <v>15.17</v>
      </c>
      <c r="P11" s="6">
        <v>22.689</v>
      </c>
      <c r="Q11" s="6">
        <v>2.4211</v>
      </c>
      <c r="R11" s="6">
        <v>5.99585</v>
      </c>
      <c r="S11" s="6">
        <v>5.15386</v>
      </c>
      <c r="T11" s="6">
        <v>0</v>
      </c>
    </row>
    <row r="12" customHeight="1" spans="1:21">
      <c r="A12" s="4" t="s">
        <v>32</v>
      </c>
      <c r="B12" s="13" t="s">
        <v>33</v>
      </c>
      <c r="C12" s="13" t="s">
        <v>20</v>
      </c>
      <c r="D12" s="6">
        <f t="shared" si="0"/>
        <v>9020.335245</v>
      </c>
      <c r="E12" s="6">
        <f t="shared" si="1"/>
        <v>2495.26777</v>
      </c>
      <c r="F12" s="6">
        <f t="shared" si="2"/>
        <v>468.251065</v>
      </c>
      <c r="G12" s="6">
        <f t="shared" si="3"/>
        <v>2027.016705</v>
      </c>
      <c r="H12" s="6">
        <f t="shared" si="4"/>
        <v>2760.166365</v>
      </c>
      <c r="I12" s="6">
        <v>57.014335</v>
      </c>
      <c r="J12" s="6">
        <v>188.468905</v>
      </c>
      <c r="K12" s="6">
        <v>222.767825</v>
      </c>
      <c r="L12" s="6">
        <v>441.20389</v>
      </c>
      <c r="M12" s="6">
        <v>872.46578</v>
      </c>
      <c r="N12" s="6">
        <f>700.697035+12.65</f>
        <v>713.347035</v>
      </c>
      <c r="O12" s="6">
        <f>724.870475+15.17</f>
        <v>740.040475</v>
      </c>
      <c r="P12" s="6">
        <v>1024.39</v>
      </c>
      <c r="Q12" s="6">
        <f>993.31479+Q11</f>
        <v>995.73589</v>
      </c>
      <c r="R12" s="6">
        <f>1267.490405+R11</f>
        <v>1273.486255</v>
      </c>
      <c r="S12" s="6">
        <f>2486.260995+S11</f>
        <v>2491.414855</v>
      </c>
      <c r="T12" s="6">
        <v>0</v>
      </c>
    </row>
    <row r="13" customHeight="1" spans="1:21">
      <c r="A13" s="8"/>
      <c r="B13" s="13" t="s">
        <v>34</v>
      </c>
      <c r="C13" s="13" t="s">
        <v>20</v>
      </c>
      <c r="D13" s="6">
        <f t="shared" si="0"/>
        <v>1080.009475</v>
      </c>
      <c r="E13" s="6">
        <f t="shared" si="1"/>
        <v>878.643615</v>
      </c>
      <c r="F13" s="6">
        <f t="shared" si="2"/>
        <v>541.5944</v>
      </c>
      <c r="G13" s="6">
        <f t="shared" si="3"/>
        <v>337.049215</v>
      </c>
      <c r="H13" s="6">
        <f t="shared" si="4"/>
        <v>201.1082</v>
      </c>
      <c r="I13" s="6">
        <v>131.119295</v>
      </c>
      <c r="J13" s="6">
        <v>207.10099</v>
      </c>
      <c r="K13" s="6">
        <v>203.374115</v>
      </c>
      <c r="L13" s="6">
        <v>56.248</v>
      </c>
      <c r="M13" s="6">
        <v>142.50379</v>
      </c>
      <c r="N13" s="6">
        <v>138.297425</v>
      </c>
      <c r="O13" s="6">
        <v>91.7682</v>
      </c>
      <c r="P13" s="6">
        <v>109.34</v>
      </c>
      <c r="Q13" s="6">
        <v>0</v>
      </c>
      <c r="R13" s="6">
        <v>0.00926</v>
      </c>
      <c r="S13" s="6">
        <v>0.2484</v>
      </c>
      <c r="T13" s="6">
        <v>955.671</v>
      </c>
    </row>
    <row r="14" customHeight="1" spans="1:21">
      <c r="A14" s="8"/>
      <c r="B14" s="13" t="s">
        <v>35</v>
      </c>
      <c r="C14" s="13" t="s">
        <v>20</v>
      </c>
      <c r="D14" s="6">
        <f t="shared" si="0"/>
        <v>0.067955</v>
      </c>
      <c r="E14" s="6">
        <f t="shared" si="1"/>
        <v>0.067955</v>
      </c>
      <c r="F14" s="6">
        <f t="shared" si="2"/>
        <v>0.067955</v>
      </c>
      <c r="G14" s="6">
        <f t="shared" si="3"/>
        <v>0</v>
      </c>
      <c r="H14" s="6">
        <f t="shared" si="4"/>
        <v>0</v>
      </c>
      <c r="I14" s="6">
        <v>0</v>
      </c>
      <c r="J14" s="6">
        <v>0.067955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50.6</v>
      </c>
    </row>
    <row r="15" customHeight="1" spans="1:21">
      <c r="A15" s="8"/>
      <c r="B15" s="13" t="s">
        <v>36</v>
      </c>
      <c r="C15" s="13" t="s">
        <v>20</v>
      </c>
      <c r="D15" s="6">
        <f t="shared" si="0"/>
        <v>4351.458665</v>
      </c>
      <c r="E15" s="6">
        <f t="shared" si="1"/>
        <v>3464.51513</v>
      </c>
      <c r="F15" s="6">
        <f t="shared" si="2"/>
        <v>1651.72966</v>
      </c>
      <c r="G15" s="6">
        <f t="shared" si="3"/>
        <v>1812.78547</v>
      </c>
      <c r="H15" s="6">
        <f t="shared" si="4"/>
        <v>886.648095</v>
      </c>
      <c r="I15" s="6">
        <v>245.5904</v>
      </c>
      <c r="J15" s="6">
        <v>436.37</v>
      </c>
      <c r="K15" s="6">
        <v>969.76926</v>
      </c>
      <c r="L15" s="6">
        <v>842.16002</v>
      </c>
      <c r="M15" s="6">
        <v>479.4</v>
      </c>
      <c r="N15" s="6">
        <v>491.22545</v>
      </c>
      <c r="O15" s="6">
        <v>562.3088</v>
      </c>
      <c r="P15" s="6">
        <v>167.92</v>
      </c>
      <c r="Q15" s="6">
        <v>156.419295</v>
      </c>
      <c r="R15" s="6">
        <v>0.29544</v>
      </c>
      <c r="S15" s="6">
        <v>0</v>
      </c>
      <c r="T15" s="6">
        <v>0</v>
      </c>
    </row>
    <row r="16" customHeight="1" spans="1:21">
      <c r="A16" s="13" t="s">
        <v>37</v>
      </c>
      <c r="B16" s="13" t="s">
        <v>38</v>
      </c>
      <c r="C16" s="13" t="s">
        <v>20</v>
      </c>
      <c r="D16" s="6">
        <f t="shared" si="0"/>
        <v>1058.277315</v>
      </c>
      <c r="E16" s="6">
        <f t="shared" si="1"/>
        <v>119.88106</v>
      </c>
      <c r="F16" s="6">
        <f t="shared" si="2"/>
        <v>12.45147</v>
      </c>
      <c r="G16" s="6">
        <f t="shared" si="3"/>
        <v>107.42959</v>
      </c>
      <c r="H16" s="6">
        <f t="shared" si="4"/>
        <v>159.43973</v>
      </c>
      <c r="I16" s="6">
        <v>3.83906</v>
      </c>
      <c r="J16" s="6">
        <v>8.61241</v>
      </c>
      <c r="K16" s="6">
        <v>0</v>
      </c>
      <c r="L16" s="6">
        <v>0</v>
      </c>
      <c r="M16" s="6">
        <v>48.22424</v>
      </c>
      <c r="N16" s="6">
        <v>59.20535</v>
      </c>
      <c r="O16" s="6">
        <v>101.280525</v>
      </c>
      <c r="P16" s="6">
        <v>44.89221</v>
      </c>
      <c r="Q16" s="6">
        <v>13.266995</v>
      </c>
      <c r="R16" s="6">
        <v>109.440525</v>
      </c>
      <c r="S16" s="6">
        <v>669.516</v>
      </c>
      <c r="T16" s="6">
        <v>0</v>
      </c>
    </row>
    <row r="17" customHeight="1" spans="1:20">
      <c r="A17" s="13"/>
      <c r="B17" s="13" t="s">
        <v>39</v>
      </c>
      <c r="C17" s="13" t="s">
        <v>20</v>
      </c>
      <c r="D17" s="6">
        <f t="shared" si="0"/>
        <v>13393.89208</v>
      </c>
      <c r="E17" s="6">
        <f t="shared" si="1"/>
        <v>6718.75001</v>
      </c>
      <c r="F17" s="6">
        <f t="shared" si="2"/>
        <v>2649.19161</v>
      </c>
      <c r="G17" s="6">
        <f t="shared" si="3"/>
        <v>4069.5584</v>
      </c>
      <c r="H17" s="6">
        <f t="shared" si="4"/>
        <v>3688.48578</v>
      </c>
      <c r="I17" s="6">
        <v>429.88497</v>
      </c>
      <c r="J17" s="6">
        <v>823.39544</v>
      </c>
      <c r="K17" s="6">
        <v>1395.9112</v>
      </c>
      <c r="L17" s="6">
        <v>1339.61191</v>
      </c>
      <c r="M17" s="6">
        <v>1446.14533</v>
      </c>
      <c r="N17" s="6">
        <v>1283.80116</v>
      </c>
      <c r="O17" s="6">
        <v>1292.83695</v>
      </c>
      <c r="P17" s="6">
        <v>1256.76064</v>
      </c>
      <c r="Q17" s="6">
        <v>1138.88819</v>
      </c>
      <c r="R17" s="6">
        <v>1164.35043</v>
      </c>
      <c r="S17" s="6">
        <v>1822.30586</v>
      </c>
      <c r="T17" s="6">
        <v>596.38</v>
      </c>
    </row>
    <row r="18" customHeight="1" spans="1:20">
      <c r="A18" s="13" t="s">
        <v>40</v>
      </c>
      <c r="B18" s="10" t="s">
        <v>41</v>
      </c>
      <c r="C18" s="10" t="s">
        <v>20</v>
      </c>
      <c r="D18" s="11">
        <f t="shared" si="0"/>
        <v>13990.331885</v>
      </c>
      <c r="E18" s="11">
        <f t="shared" si="1"/>
        <v>6365.056935</v>
      </c>
      <c r="F18" s="11">
        <f t="shared" si="2"/>
        <v>1933.66892</v>
      </c>
      <c r="G18" s="11">
        <f t="shared" si="3"/>
        <v>4431.388015</v>
      </c>
      <c r="H18" s="11">
        <f t="shared" si="4"/>
        <v>3681.862295</v>
      </c>
      <c r="I18" s="11">
        <f t="shared" ref="I18:S18" si="7">SUM(I19:I20)</f>
        <v>255.37546</v>
      </c>
      <c r="J18" s="11">
        <f t="shared" si="7"/>
        <v>646.793555</v>
      </c>
      <c r="K18" s="11">
        <f t="shared" si="7"/>
        <v>1031.499905</v>
      </c>
      <c r="L18" s="11">
        <f t="shared" si="7"/>
        <v>1162.16264</v>
      </c>
      <c r="M18" s="11">
        <f t="shared" si="7"/>
        <v>1625.220175</v>
      </c>
      <c r="N18" s="11">
        <f t="shared" si="7"/>
        <v>1644.0052</v>
      </c>
      <c r="O18" s="11">
        <f t="shared" si="7"/>
        <v>1250.46028</v>
      </c>
      <c r="P18" s="11">
        <f t="shared" si="7"/>
        <v>1137.81773</v>
      </c>
      <c r="Q18" s="11">
        <f t="shared" si="7"/>
        <v>1293.584285</v>
      </c>
      <c r="R18" s="11">
        <f t="shared" si="7"/>
        <v>1320.293405</v>
      </c>
      <c r="S18" s="11">
        <f t="shared" si="7"/>
        <v>2623.11925</v>
      </c>
      <c r="T18" s="11">
        <v>1022.39557</v>
      </c>
    </row>
    <row r="19" customHeight="1" spans="1:20">
      <c r="A19" s="13"/>
      <c r="B19" s="13" t="s">
        <v>42</v>
      </c>
      <c r="C19" s="13" t="s">
        <v>20</v>
      </c>
      <c r="D19" s="6">
        <f t="shared" si="0"/>
        <v>11798.860575</v>
      </c>
      <c r="E19" s="6">
        <f t="shared" si="1"/>
        <v>5848.56307</v>
      </c>
      <c r="F19" s="6">
        <f t="shared" si="2"/>
        <v>1763.005</v>
      </c>
      <c r="G19" s="6">
        <f t="shared" si="3"/>
        <v>4085.55807</v>
      </c>
      <c r="H19" s="6">
        <f t="shared" si="4"/>
        <v>3275.07518</v>
      </c>
      <c r="I19" s="6">
        <v>218.067</v>
      </c>
      <c r="J19" s="6">
        <v>594.59</v>
      </c>
      <c r="K19" s="6">
        <v>950.348</v>
      </c>
      <c r="L19" s="6">
        <v>1061.562</v>
      </c>
      <c r="M19" s="6">
        <v>1516.41605</v>
      </c>
      <c r="N19" s="6">
        <v>1507.58002</v>
      </c>
      <c r="O19" s="6">
        <v>1110.327495</v>
      </c>
      <c r="P19" s="6">
        <v>1068.607685</v>
      </c>
      <c r="Q19" s="6">
        <v>1096.14</v>
      </c>
      <c r="R19" s="6">
        <v>1071.24671</v>
      </c>
      <c r="S19" s="6">
        <v>1603.975615</v>
      </c>
      <c r="T19" s="6">
        <v>1457.265735</v>
      </c>
    </row>
    <row r="20" customHeight="1" spans="1:20">
      <c r="A20" s="13"/>
      <c r="B20" s="13" t="s">
        <v>43</v>
      </c>
      <c r="C20" s="13" t="s">
        <v>20</v>
      </c>
      <c r="D20" s="6">
        <f t="shared" si="0"/>
        <v>2191.47131</v>
      </c>
      <c r="E20" s="6">
        <f t="shared" si="1"/>
        <v>516.493865</v>
      </c>
      <c r="F20" s="6">
        <f t="shared" si="2"/>
        <v>170.66392</v>
      </c>
      <c r="G20" s="6">
        <f t="shared" si="3"/>
        <v>345.829945</v>
      </c>
      <c r="H20" s="6">
        <f t="shared" si="4"/>
        <v>406.787115</v>
      </c>
      <c r="I20" s="6">
        <v>37.30846</v>
      </c>
      <c r="J20" s="6">
        <v>52.203555</v>
      </c>
      <c r="K20" s="6">
        <v>81.151905</v>
      </c>
      <c r="L20" s="6">
        <v>100.60064</v>
      </c>
      <c r="M20" s="6">
        <v>108.804125</v>
      </c>
      <c r="N20" s="6">
        <v>136.42518</v>
      </c>
      <c r="O20" s="6">
        <v>140.132785</v>
      </c>
      <c r="P20" s="6">
        <v>69.210045</v>
      </c>
      <c r="Q20" s="6">
        <v>197.444285</v>
      </c>
      <c r="R20" s="6">
        <v>249.046695</v>
      </c>
      <c r="S20" s="6">
        <v>1019.143635</v>
      </c>
      <c r="T20" s="6">
        <v>1019.50504</v>
      </c>
    </row>
    <row r="21" customHeight="1" spans="1:20">
      <c r="A21" s="4" t="s">
        <v>44</v>
      </c>
      <c r="B21" s="10" t="s">
        <v>45</v>
      </c>
      <c r="C21" s="10" t="s">
        <v>20</v>
      </c>
      <c r="D21" s="11">
        <f t="shared" si="0"/>
        <v>14440.668775</v>
      </c>
      <c r="E21" s="11">
        <f t="shared" si="1"/>
        <v>6474.29729</v>
      </c>
      <c r="F21" s="11">
        <f t="shared" si="2"/>
        <v>1988.34261</v>
      </c>
      <c r="G21" s="11">
        <f t="shared" si="3"/>
        <v>4485.95468</v>
      </c>
      <c r="H21" s="11">
        <f t="shared" si="4"/>
        <v>4013.437515</v>
      </c>
      <c r="I21" s="11">
        <f t="shared" ref="I21:S21" si="8">SUM(I22:I23)</f>
        <v>631.38107</v>
      </c>
      <c r="J21" s="11">
        <f t="shared" si="8"/>
        <v>582.1695</v>
      </c>
      <c r="K21" s="11">
        <f t="shared" si="8"/>
        <v>774.79204</v>
      </c>
      <c r="L21" s="11">
        <f t="shared" si="8"/>
        <v>1434.78244</v>
      </c>
      <c r="M21" s="11">
        <f t="shared" si="8"/>
        <v>1599.123655</v>
      </c>
      <c r="N21" s="11">
        <f t="shared" si="8"/>
        <v>1452.048585</v>
      </c>
      <c r="O21" s="11">
        <f t="shared" si="8"/>
        <v>1306.3671</v>
      </c>
      <c r="P21" s="11">
        <f t="shared" si="8"/>
        <v>1237.49972</v>
      </c>
      <c r="Q21" s="11">
        <f t="shared" si="8"/>
        <v>1469.570695</v>
      </c>
      <c r="R21" s="11">
        <f t="shared" si="8"/>
        <v>1483.17228</v>
      </c>
      <c r="S21" s="11">
        <f t="shared" si="8"/>
        <v>2469.76169</v>
      </c>
      <c r="T21" s="11">
        <v>437.760695</v>
      </c>
    </row>
    <row r="22" customHeight="1" spans="1:20">
      <c r="A22" s="8"/>
      <c r="B22" s="13" t="s">
        <v>46</v>
      </c>
      <c r="C22" s="13" t="s">
        <v>20</v>
      </c>
      <c r="D22" s="6">
        <f t="shared" si="0"/>
        <v>12342.216175</v>
      </c>
      <c r="E22" s="6">
        <f t="shared" si="1"/>
        <v>5861.08855</v>
      </c>
      <c r="F22" s="6">
        <f t="shared" si="2"/>
        <v>1809.09132</v>
      </c>
      <c r="G22" s="6">
        <f t="shared" si="3"/>
        <v>4051.99723</v>
      </c>
      <c r="H22" s="6">
        <f t="shared" si="4"/>
        <v>3543.41898</v>
      </c>
      <c r="I22" s="6">
        <v>590.04</v>
      </c>
      <c r="J22" s="6">
        <v>516.34266</v>
      </c>
      <c r="K22" s="6">
        <v>702.70866</v>
      </c>
      <c r="L22" s="6">
        <v>1337.315875</v>
      </c>
      <c r="M22" s="6">
        <v>1408.766485</v>
      </c>
      <c r="N22" s="6">
        <v>1305.91487</v>
      </c>
      <c r="O22" s="6">
        <v>1127.500015</v>
      </c>
      <c r="P22" s="6">
        <v>1160.305965</v>
      </c>
      <c r="Q22" s="6">
        <v>1255.613</v>
      </c>
      <c r="R22" s="6">
        <v>1231.575</v>
      </c>
      <c r="S22" s="6">
        <v>1706.133645</v>
      </c>
      <c r="T22" s="6"/>
    </row>
    <row r="23" customHeight="1" spans="1:20">
      <c r="A23" s="14"/>
      <c r="B23" s="13" t="s">
        <v>47</v>
      </c>
      <c r="C23" s="13" t="s">
        <v>20</v>
      </c>
      <c r="D23" s="6">
        <f t="shared" si="0"/>
        <v>2098.4526</v>
      </c>
      <c r="E23" s="6">
        <f t="shared" si="1"/>
        <v>613.20874</v>
      </c>
      <c r="F23" s="6">
        <f t="shared" si="2"/>
        <v>179.25129</v>
      </c>
      <c r="G23" s="6">
        <f t="shared" si="3"/>
        <v>433.95745</v>
      </c>
      <c r="H23" s="6">
        <f t="shared" si="4"/>
        <v>470.018535</v>
      </c>
      <c r="I23" s="6">
        <v>41.34107</v>
      </c>
      <c r="J23" s="6">
        <v>65.82684</v>
      </c>
      <c r="K23" s="6">
        <v>72.08338</v>
      </c>
      <c r="L23" s="6">
        <v>97.466565</v>
      </c>
      <c r="M23" s="6">
        <v>190.35717</v>
      </c>
      <c r="N23" s="6">
        <v>146.133715</v>
      </c>
      <c r="O23" s="6">
        <v>178.867085</v>
      </c>
      <c r="P23" s="6">
        <v>77.193755</v>
      </c>
      <c r="Q23" s="6">
        <v>213.957695</v>
      </c>
      <c r="R23" s="6">
        <v>251.59728</v>
      </c>
      <c r="S23" s="6">
        <v>763.628045</v>
      </c>
      <c r="T23" s="6"/>
    </row>
    <row r="24" customHeight="1" spans="1:20">
      <c r="A24" s="4" t="s">
        <v>48</v>
      </c>
      <c r="B24" s="13" t="s">
        <v>38</v>
      </c>
      <c r="C24" s="13" t="s">
        <v>20</v>
      </c>
      <c r="D24" s="6">
        <f t="shared" si="0"/>
        <v>867.406365</v>
      </c>
      <c r="E24" s="6">
        <f t="shared" si="1"/>
        <v>90.10252</v>
      </c>
      <c r="F24" s="6">
        <f t="shared" si="2"/>
        <v>44.244085</v>
      </c>
      <c r="G24" s="6">
        <f t="shared" si="3"/>
        <v>45.858435</v>
      </c>
      <c r="H24" s="6">
        <f t="shared" si="4"/>
        <v>201.93352</v>
      </c>
      <c r="I24" s="6">
        <v>17.92416</v>
      </c>
      <c r="J24" s="6">
        <v>25.023475</v>
      </c>
      <c r="K24" s="6">
        <v>1.29645</v>
      </c>
      <c r="L24" s="6">
        <v>0.00057</v>
      </c>
      <c r="M24" s="6">
        <v>27.199085</v>
      </c>
      <c r="N24" s="6">
        <v>18.65878</v>
      </c>
      <c r="O24" s="6">
        <v>86.796325</v>
      </c>
      <c r="P24" s="6">
        <v>44.015905</v>
      </c>
      <c r="Q24" s="6">
        <v>71.12129</v>
      </c>
      <c r="R24" s="6">
        <v>55.032215</v>
      </c>
      <c r="S24" s="6">
        <v>520.33811</v>
      </c>
      <c r="T24" s="6"/>
    </row>
    <row r="25" customHeight="1" spans="1:20">
      <c r="A25" s="14"/>
      <c r="B25" s="13" t="s">
        <v>39</v>
      </c>
      <c r="C25" s="13" t="s">
        <v>20</v>
      </c>
      <c r="D25" s="6">
        <f t="shared" si="0"/>
        <v>13573.26241</v>
      </c>
      <c r="E25" s="6">
        <f t="shared" si="1"/>
        <v>6384.19477</v>
      </c>
      <c r="F25" s="6">
        <f t="shared" si="2"/>
        <v>1944.098525</v>
      </c>
      <c r="G25" s="6">
        <f t="shared" si="3"/>
        <v>4440.096245</v>
      </c>
      <c r="H25" s="6">
        <f t="shared" si="4"/>
        <v>3811.503995</v>
      </c>
      <c r="I25" s="6">
        <v>613.45691</v>
      </c>
      <c r="J25" s="6">
        <v>557.146025</v>
      </c>
      <c r="K25" s="6">
        <v>773.49559</v>
      </c>
      <c r="L25" s="6">
        <v>1434.78187</v>
      </c>
      <c r="M25" s="6">
        <v>1571.92457</v>
      </c>
      <c r="N25" s="6">
        <v>1433.389805</v>
      </c>
      <c r="O25" s="6">
        <v>1219.570775</v>
      </c>
      <c r="P25" s="6">
        <v>1193.483815</v>
      </c>
      <c r="Q25" s="6">
        <v>1398.449405</v>
      </c>
      <c r="R25" s="6">
        <v>1428.140065</v>
      </c>
      <c r="S25" s="6">
        <v>1949.42358</v>
      </c>
      <c r="T25" s="6"/>
    </row>
    <row r="26" customHeight="1" spans="1:20">
      <c r="A26" s="13" t="s">
        <v>49</v>
      </c>
      <c r="B26" s="10" t="s">
        <v>50</v>
      </c>
      <c r="C26" s="10" t="s">
        <v>20</v>
      </c>
      <c r="D26" s="11">
        <f t="shared" ref="D26:D28" si="9">S26</f>
        <v>542.06088</v>
      </c>
      <c r="E26" s="11">
        <f t="shared" ref="E26:H26" si="10">SUM(E27:E28)</f>
        <v>1169.64569</v>
      </c>
      <c r="F26" s="11">
        <f t="shared" si="10"/>
        <v>1368.775085</v>
      </c>
      <c r="G26" s="11">
        <f t="shared" si="10"/>
        <v>1169.64569</v>
      </c>
      <c r="H26" s="11">
        <f t="shared" si="10"/>
        <v>1180.21148</v>
      </c>
      <c r="I26" s="11">
        <v>671.11388</v>
      </c>
      <c r="J26" s="11">
        <v>1053.20102</v>
      </c>
      <c r="K26" s="11">
        <v>1368.775085</v>
      </c>
      <c r="L26" s="11">
        <v>1612.183555</v>
      </c>
      <c r="M26" s="11">
        <v>1476.290565</v>
      </c>
      <c r="N26" s="11">
        <f t="shared" ref="N26:S26" si="11">SUM(N27:N28)</f>
        <v>1169.64569</v>
      </c>
      <c r="O26" s="11">
        <f t="shared" si="11"/>
        <v>978.958135000004</v>
      </c>
      <c r="P26" s="11">
        <f t="shared" si="11"/>
        <v>979.655114001</v>
      </c>
      <c r="Q26" s="11">
        <f t="shared" si="11"/>
        <v>1180.21148</v>
      </c>
      <c r="R26" s="11">
        <f t="shared" si="11"/>
        <v>755.861800000001</v>
      </c>
      <c r="S26" s="11">
        <f t="shared" si="11"/>
        <v>542.06088</v>
      </c>
      <c r="T26" s="11"/>
    </row>
    <row r="27" customHeight="1" spans="1:20">
      <c r="A27" s="13"/>
      <c r="B27" s="13" t="s">
        <v>51</v>
      </c>
      <c r="C27" s="13" t="s">
        <v>20</v>
      </c>
      <c r="D27" s="6">
        <f t="shared" si="9"/>
        <v>445.05088</v>
      </c>
      <c r="E27" s="6">
        <f>N27</f>
        <v>1055.91569</v>
      </c>
      <c r="F27" s="6">
        <f>K27</f>
        <v>1287.519595</v>
      </c>
      <c r="G27" s="6">
        <f>N27</f>
        <v>1055.91569</v>
      </c>
      <c r="H27" s="6">
        <f>Q27</f>
        <v>1077.00782</v>
      </c>
      <c r="I27" s="6">
        <v>639.651375</v>
      </c>
      <c r="J27" s="6">
        <v>995.6153</v>
      </c>
      <c r="K27" s="6">
        <v>1287.519595</v>
      </c>
      <c r="L27" s="6">
        <v>1490.28959</v>
      </c>
      <c r="M27" s="6">
        <v>1302.12865</v>
      </c>
      <c r="N27" s="6">
        <v>1055.91569</v>
      </c>
      <c r="O27" s="6">
        <v>876.16793</v>
      </c>
      <c r="P27" s="6">
        <v>824.305114001</v>
      </c>
      <c r="Q27" s="6">
        <v>1077.00782</v>
      </c>
      <c r="R27" s="6">
        <v>666.55662</v>
      </c>
      <c r="S27" s="6">
        <v>445.05088</v>
      </c>
      <c r="T27" s="6">
        <v>466.09226</v>
      </c>
    </row>
    <row r="28" customHeight="1" spans="1:20">
      <c r="A28" s="13"/>
      <c r="B28" s="13" t="s">
        <v>52</v>
      </c>
      <c r="C28" s="13" t="s">
        <v>20</v>
      </c>
      <c r="D28" s="6">
        <f t="shared" si="9"/>
        <v>97.01</v>
      </c>
      <c r="E28" s="6">
        <f>N28</f>
        <v>113.73</v>
      </c>
      <c r="F28" s="6">
        <f>K28</f>
        <v>81.25549</v>
      </c>
      <c r="G28" s="6">
        <f>N28</f>
        <v>113.73</v>
      </c>
      <c r="H28" s="6">
        <f>Q28</f>
        <v>103.203659999999</v>
      </c>
      <c r="I28" s="6">
        <v>31.462505</v>
      </c>
      <c r="J28" s="6">
        <v>57.5857200000001</v>
      </c>
      <c r="K28" s="6">
        <v>81.25549</v>
      </c>
      <c r="L28" s="6">
        <v>121.893965</v>
      </c>
      <c r="M28" s="6">
        <v>160.967119999999</v>
      </c>
      <c r="N28" s="6">
        <v>113.73</v>
      </c>
      <c r="O28" s="6">
        <v>102.790205000004</v>
      </c>
      <c r="P28" s="6">
        <v>155.35</v>
      </c>
      <c r="Q28" s="6">
        <v>103.203659999999</v>
      </c>
      <c r="R28" s="6">
        <v>89.3051800000006</v>
      </c>
      <c r="S28" s="6">
        <v>97.01</v>
      </c>
      <c r="T28" s="6">
        <v>303.06</v>
      </c>
    </row>
  </sheetData>
  <mergeCells count="7">
    <mergeCell ref="A2:A11"/>
    <mergeCell ref="A12:A15"/>
    <mergeCell ref="A16:A17"/>
    <mergeCell ref="A18:A20"/>
    <mergeCell ref="A21:A23"/>
    <mergeCell ref="A24:A25"/>
    <mergeCell ref="A26:A2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273899</dc:creator>
  <cp:lastModifiedBy>273899</cp:lastModifiedBy>
  <dcterms:created xsi:type="dcterms:W3CDTF">2026-05-14T02:55:29Z</dcterms:created>
  <dcterms:modified xsi:type="dcterms:W3CDTF">2026-05-14T02:57:18Z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D495B1D815AA4015B509CE20514C1F53_11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