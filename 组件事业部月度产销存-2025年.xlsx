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产销存汇总" sheetId="1" r:id="rId1"/>
  </sheets>
  <definedNames>
    <definedName name="_xlnm._FilterDatabase" localSheetId="0" hidden="1">产销存汇总!$A$1:$S$42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295331</author>
  </authors>
  <commentList>
    <comment ref="Q15" authorId="0">
      <text>
        <r>
          <rPr>
            <sz val="9"/>
            <rFont val="宋体"/>
            <charset val="134"/>
          </rPr>
          <t>浚鑫ODM代工</t>
        </r>
      </text>
    </comment>
  </commentList>
</comments>
</file>

<file path=xl/sharedStrings.xml><?xml version="1.0" encoding="utf-8"?>
<sst xmlns="http://schemas.openxmlformats.org/spreadsheetml/2006/main" count="67" uniqueCount="67">
  <si>
    <t>分类</t>
  </si>
  <si>
    <t>项目</t>
  </si>
  <si>
    <t>2025年</t>
  </si>
  <si>
    <t>Q1</t>
  </si>
  <si>
    <t>Q2</t>
  </si>
  <si>
    <t>Q3</t>
  </si>
  <si>
    <t>Q4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</si>
  <si>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</si>
  <si>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</si>
  <si>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</si>
  <si>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</si>
  <si>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</si>
  <si>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</si>
  <si>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</si>
  <si>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</si>
  <si>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</si>
  <si>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</si>
  <si>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</si>
  <si>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</si>
  <si>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产量</t>
  </si>
  <si>
    <t>实际产量(含委外)</t>
  </si>
  <si>
    <t>实际产量(不含委外)</t>
  </si>
  <si>
    <t>合肥产量</t>
  </si>
  <si>
    <t>阜宁产量</t>
  </si>
  <si>
    <t>广德产量</t>
  </si>
  <si>
    <t>委外加工</t>
  </si>
  <si>
    <t>委外-合肥主体</t>
  </si>
  <si>
    <t>委外-阜宁主体</t>
  </si>
  <si>
    <t>产量模式结构</t>
  </si>
  <si>
    <t>自产</t>
  </si>
  <si>
    <t>自产-合肥基地</t>
  </si>
  <si>
    <t>自产-阜宁基地</t>
  </si>
  <si>
    <t>自产-广德基地</t>
  </si>
  <si>
    <t>代工</t>
  </si>
  <si>
    <t>代工-合肥基地</t>
  </si>
  <si>
    <t>代工-阜宁基地</t>
  </si>
  <si>
    <t>代工-广德基地</t>
  </si>
  <si>
    <t>产量版型结构</t>
  </si>
  <si>
    <t>P型</t>
  </si>
  <si>
    <t>N型</t>
  </si>
  <si>
    <t>183N</t>
  </si>
  <si>
    <t>183N-合肥基地</t>
  </si>
  <si>
    <t>183N-阜宁基地</t>
  </si>
  <si>
    <t>183N-广德基地</t>
  </si>
  <si>
    <t>210N</t>
  </si>
  <si>
    <t>210N-合肥基地</t>
  </si>
  <si>
    <t>210N-阜宁基地</t>
  </si>
  <si>
    <t>210N-广德基地</t>
  </si>
  <si>
    <t>210R</t>
  </si>
  <si>
    <t>210R-合肥基地</t>
  </si>
  <si>
    <t>210R-阜宁基地</t>
  </si>
  <si>
    <t>210R-广德基地</t>
  </si>
  <si>
    <t>发货</t>
  </si>
  <si>
    <t>发货合计</t>
  </si>
  <si>
    <t>合肥发货</t>
  </si>
  <si>
    <t>阜宁发货</t>
  </si>
  <si>
    <t>广德发货</t>
  </si>
  <si>
    <t>库存</t>
  </si>
  <si>
    <t>库存合计</t>
  </si>
  <si>
    <t>合肥库存</t>
  </si>
  <si>
    <t>阜宁库存</t>
  </si>
  <si>
    <t>广德库存</t>
  </si>
  <si>
    <t>寄存</t>
  </si>
  <si>
    <t>寄存合计</t>
  </si>
  <si>
    <t>合肥寄存</t>
  </si>
  <si>
    <t>阜宁寄存</t>
  </si>
  <si>
    <t>广德寄存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</si>
</sst>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  <numFmt numFmtId="178" formatCode="[$-409]mmm\-yy;@"/>
  </numFmts>
  <fonts count="23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sz val="8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176" fontId="1" fillId="0" borderId="0" xfId="0" applyNumberFormat="1" applyFont="1" applyBorder="1">
      <alignment vertical="center"/>
    </xf>
    <xf numFmtId="177" fontId="1" fillId="0" borderId="0" xfId="0" applyNumberFormat="1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right"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3" borderId="1" xfId="0" applyNumberFormat="1" applyFont="1" applyFill="1" applyBorder="1">
      <alignment vertical="center"/>
    </xf>
    <xf numFmtId="176" fontId="1" fillId="3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176" fontId="1" fillId="0" borderId="1" xfId="0" applyNumberFormat="1" applyFont="1" applyFill="1" applyBorder="1" applyAlignment="1">
      <alignment horizontal="right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176" fontId="1" fillId="0" borderId="3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/>
    </xf>
    <xf numFmtId="176" fontId="1" fillId="0" borderId="4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lef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79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43"/>
  <sheetViews>
    <sheetView showGridLines="0" tabSelected="1" zoomScale="95" zoomScaleNormal="95" workbookViewId="0">
      <pane ySplit="1" topLeftCell="A2" activePane="bottomLeft" state="frozen"/>
      <selection/>
      <selection pane="bottomLeft" activeCell="F2" sqref="F2:F3"/>
    </sheetView>
  </sheetViews>
  <sheetFormatPr defaultColWidth="9" defaultRowHeight="11.5"/>
  <cols>
    <col min="1" max="1" width="9.18181818181818" style="3" customWidth="1"/>
    <col min="2" max="2" width="17.6909090909091" style="4" customWidth="1"/>
    <col min="3" max="19" width="7.63636363636364" style="5" customWidth="1"/>
    <col min="20" max="16384" width="9" style="4"/>
  </cols>
  <sheetData>
    <row r="1" ht="14" customHeight="1" spans="1:19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="1" customFormat="1" ht="14" customHeight="1" spans="1:19">
      <c r="A2" s="8" t="s">
        <v>19</v>
      </c>
      <c r="B2" s="9" t="s">
        <v>20</v>
      </c>
      <c r="C2" s="10">
        <f>SUM(H2:S2)</f>
        <v>24617.1290249997</v>
      </c>
      <c r="D2" s="10">
        <f>SUM(H2:J2)</f>
        <v>4728.43589999969</v>
      </c>
      <c r="E2" s="10">
        <f>SUM(K2:M2)</f>
        <v>7338.12562499996</v>
      </c>
      <c r="F2" s="10">
        <f>SUM(N2:P2)</f>
        <v>6933.71725500007</v>
      </c>
      <c r="G2" s="10">
        <f t="shared" ref="G2:G9" si="0">SUM(Q2:S2)</f>
        <v>5616.850245</v>
      </c>
      <c r="H2" s="10">
        <f t="shared" ref="H2:M2" si="1">SUM(H4:H7)</f>
        <v>1255.76041499987</v>
      </c>
      <c r="I2" s="10">
        <f t="shared" si="1"/>
        <v>1204.55271999991</v>
      </c>
      <c r="J2" s="10">
        <f t="shared" si="1"/>
        <v>2268.12276499991</v>
      </c>
      <c r="K2" s="10">
        <f t="shared" si="1"/>
        <v>2743.14670499999</v>
      </c>
      <c r="L2" s="10">
        <f t="shared" si="1"/>
        <v>2305.91291999991</v>
      </c>
      <c r="M2" s="10">
        <f t="shared" si="1"/>
        <v>2289.06600000006</v>
      </c>
      <c r="N2" s="10">
        <f t="shared" ref="N2:S2" si="2">SUM(N4:N7)</f>
        <v>2435.79548499995</v>
      </c>
      <c r="O2" s="10">
        <f t="shared" si="2"/>
        <v>2510.07766000012</v>
      </c>
      <c r="P2" s="10">
        <f t="shared" si="2"/>
        <v>1987.84411</v>
      </c>
      <c r="Q2" s="10">
        <f t="shared" si="2"/>
        <v>1955.2728</v>
      </c>
      <c r="R2" s="10">
        <f t="shared" si="2"/>
        <v>1965.21553</v>
      </c>
      <c r="S2" s="10">
        <f t="shared" si="2"/>
        <v>1696.361915</v>
      </c>
    </row>
    <row r="3" s="1" customFormat="1" ht="14" customHeight="1" spans="1:19">
      <c r="A3" s="8"/>
      <c r="B3" s="9" t="s">
        <v>21</v>
      </c>
      <c r="C3" s="10">
        <f>SUM(H3:S3)</f>
        <v>24414.0296149997</v>
      </c>
      <c r="D3" s="10">
        <f>SUM(H3:J3)</f>
        <v>4728.43589999969</v>
      </c>
      <c r="E3" s="10">
        <f>SUM(K3:M3)</f>
        <v>7160.03621499997</v>
      </c>
      <c r="F3" s="10">
        <f t="shared" ref="F2:F8" si="3">SUM(N3:P3)</f>
        <v>6908.70725500007</v>
      </c>
      <c r="G3" s="10">
        <f t="shared" si="0"/>
        <v>5616.850245</v>
      </c>
      <c r="H3" s="10">
        <f>SUM(H4:H6)</f>
        <v>1255.76041499987</v>
      </c>
      <c r="I3" s="10">
        <f t="shared" ref="I3:S3" si="4">SUM(I4:I6)</f>
        <v>1204.55271999991</v>
      </c>
      <c r="J3" s="10">
        <f t="shared" si="4"/>
        <v>2268.12276499991</v>
      </c>
      <c r="K3" s="10">
        <f t="shared" si="4"/>
        <v>2652.11285499999</v>
      </c>
      <c r="L3" s="10">
        <f t="shared" si="4"/>
        <v>2277.90891999991</v>
      </c>
      <c r="M3" s="10">
        <f t="shared" si="4"/>
        <v>2230.01444000006</v>
      </c>
      <c r="N3" s="10">
        <f t="shared" si="4"/>
        <v>2410.78548499995</v>
      </c>
      <c r="O3" s="10">
        <f t="shared" si="4"/>
        <v>2510.07766000012</v>
      </c>
      <c r="P3" s="10">
        <f t="shared" si="4"/>
        <v>1987.84411</v>
      </c>
      <c r="Q3" s="10">
        <f t="shared" si="4"/>
        <v>1955.2728</v>
      </c>
      <c r="R3" s="10">
        <f t="shared" si="4"/>
        <v>1965.21553</v>
      </c>
      <c r="S3" s="10">
        <f t="shared" si="4"/>
        <v>1696.361915</v>
      </c>
    </row>
    <row r="4" s="1" customFormat="1" ht="14" customHeight="1" spans="1:19">
      <c r="A4" s="8"/>
      <c r="B4" s="11" t="s">
        <v>22</v>
      </c>
      <c r="C4" s="11">
        <f>SUM(H4:S4)</f>
        <v>15024.0830099999</v>
      </c>
      <c r="D4" s="11">
        <f>SUM(H4:J4)</f>
        <v>2975.83156499993</v>
      </c>
      <c r="E4" s="11">
        <f>SUM(K4:M4)</f>
        <v>4600.75019999999</v>
      </c>
      <c r="F4" s="11">
        <f t="shared" si="3"/>
        <v>4195.15247499997</v>
      </c>
      <c r="G4" s="11">
        <f t="shared" si="0"/>
        <v>3252.34877</v>
      </c>
      <c r="H4" s="11">
        <v>821.547214999965</v>
      </c>
      <c r="I4" s="11">
        <v>759.994314999972</v>
      </c>
      <c r="J4" s="11">
        <v>1394.29003499999</v>
      </c>
      <c r="K4" s="11">
        <v>1613.32870000001</v>
      </c>
      <c r="L4" s="11">
        <v>1506.53287999998</v>
      </c>
      <c r="M4" s="11">
        <v>1480.88862</v>
      </c>
      <c r="N4" s="11">
        <v>1544.98657499999</v>
      </c>
      <c r="O4" s="11">
        <v>1508.48415499998</v>
      </c>
      <c r="P4" s="11">
        <v>1141.681745</v>
      </c>
      <c r="Q4" s="11">
        <v>1125.857415</v>
      </c>
      <c r="R4" s="11">
        <v>1207.63669</v>
      </c>
      <c r="S4" s="11">
        <v>918.854665</v>
      </c>
    </row>
    <row r="5" s="1" customFormat="1" ht="14" customHeight="1" spans="1:19">
      <c r="A5" s="8"/>
      <c r="B5" s="11" t="s">
        <v>23</v>
      </c>
      <c r="C5" s="11">
        <f>SUM(H5:S5)</f>
        <v>8472.50941499985</v>
      </c>
      <c r="D5" s="11">
        <f>SUM(H5:J5)</f>
        <v>1752.60433499976</v>
      </c>
      <c r="E5" s="11">
        <f>SUM(K5:M5)</f>
        <v>2559.28601499998</v>
      </c>
      <c r="F5" s="11">
        <f t="shared" si="3"/>
        <v>2361.23586500011</v>
      </c>
      <c r="G5" s="11">
        <f t="shared" si="0"/>
        <v>1799.3832</v>
      </c>
      <c r="H5" s="11">
        <v>434.213199999901</v>
      </c>
      <c r="I5" s="11">
        <v>444.558404999936</v>
      </c>
      <c r="J5" s="11">
        <v>873.832729999923</v>
      </c>
      <c r="K5" s="11">
        <v>1038.78415499998</v>
      </c>
      <c r="L5" s="11">
        <v>771.376039999934</v>
      </c>
      <c r="M5" s="11">
        <v>749.125820000061</v>
      </c>
      <c r="N5" s="11">
        <v>833.194529999964</v>
      </c>
      <c r="O5" s="11">
        <v>850.398875000146</v>
      </c>
      <c r="P5" s="11">
        <v>677.64246</v>
      </c>
      <c r="Q5" s="11">
        <v>637.123055</v>
      </c>
      <c r="R5" s="11">
        <v>565.10618</v>
      </c>
      <c r="S5" s="11">
        <v>597.153965</v>
      </c>
    </row>
    <row r="6" s="1" customFormat="1" ht="14" customHeight="1" spans="1:19">
      <c r="A6" s="8"/>
      <c r="B6" s="11" t="s">
        <v>24</v>
      </c>
      <c r="C6" s="11">
        <f>SUM(H6:S6)</f>
        <v>917.437189999987</v>
      </c>
      <c r="D6" s="11">
        <f>SUM(H6:J6)</f>
        <v>0</v>
      </c>
      <c r="E6" s="11">
        <f>SUM(K6:M6)</f>
        <v>0</v>
      </c>
      <c r="F6" s="11">
        <f t="shared" si="3"/>
        <v>352.318914999991</v>
      </c>
      <c r="G6" s="11">
        <f t="shared" si="0"/>
        <v>565.118274999996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32.6043800000007</v>
      </c>
      <c r="O6" s="11">
        <v>151.19462999999</v>
      </c>
      <c r="P6" s="11">
        <v>168.519905</v>
      </c>
      <c r="Q6" s="11">
        <v>192.29233</v>
      </c>
      <c r="R6" s="11">
        <v>192.47266</v>
      </c>
      <c r="S6" s="11">
        <v>180.353284999996</v>
      </c>
    </row>
    <row r="7" s="1" customFormat="1" ht="14" customHeight="1" spans="1:19">
      <c r="A7" s="8"/>
      <c r="B7" s="9" t="s">
        <v>25</v>
      </c>
      <c r="C7" s="10">
        <f t="shared" ref="C7:C35" si="5">SUM(H7:S7)</f>
        <v>203.09941</v>
      </c>
      <c r="D7" s="10">
        <f t="shared" ref="D7:D36" si="6">SUM(H7:J7)</f>
        <v>0</v>
      </c>
      <c r="E7" s="10">
        <f t="shared" ref="E7:E36" si="7">SUM(K7:M7)</f>
        <v>178.08941</v>
      </c>
      <c r="F7" s="10">
        <f t="shared" si="3"/>
        <v>25.01</v>
      </c>
      <c r="G7" s="10">
        <f t="shared" si="0"/>
        <v>0</v>
      </c>
      <c r="H7" s="10">
        <f>SUM(H8:H9)</f>
        <v>0</v>
      </c>
      <c r="I7" s="10">
        <f t="shared" ref="I7:S7" si="8">SUM(I8:I9)</f>
        <v>0</v>
      </c>
      <c r="J7" s="10">
        <f t="shared" si="8"/>
        <v>0</v>
      </c>
      <c r="K7" s="10">
        <f t="shared" si="8"/>
        <v>91.03385</v>
      </c>
      <c r="L7" s="10">
        <f t="shared" si="8"/>
        <v>28.004</v>
      </c>
      <c r="M7" s="10">
        <f t="shared" si="8"/>
        <v>59.05156</v>
      </c>
      <c r="N7" s="10">
        <f t="shared" si="8"/>
        <v>25.01</v>
      </c>
      <c r="O7" s="10">
        <f t="shared" si="8"/>
        <v>0</v>
      </c>
      <c r="P7" s="10">
        <f t="shared" si="8"/>
        <v>0</v>
      </c>
      <c r="Q7" s="10">
        <f t="shared" si="8"/>
        <v>0</v>
      </c>
      <c r="R7" s="10">
        <f t="shared" si="8"/>
        <v>0</v>
      </c>
      <c r="S7" s="10">
        <f t="shared" si="8"/>
        <v>0</v>
      </c>
    </row>
    <row r="8" s="1" customFormat="1" ht="14" customHeight="1" spans="1:19">
      <c r="A8" s="8"/>
      <c r="B8" s="12" t="s">
        <v>26</v>
      </c>
      <c r="C8" s="12">
        <f t="shared" si="5"/>
        <v>154.59941</v>
      </c>
      <c r="D8" s="12">
        <f t="shared" si="6"/>
        <v>0</v>
      </c>
      <c r="E8" s="12">
        <f t="shared" si="7"/>
        <v>151.30941</v>
      </c>
      <c r="F8" s="12">
        <f t="shared" si="3"/>
        <v>3.29</v>
      </c>
      <c r="G8" s="11">
        <f t="shared" si="0"/>
        <v>0</v>
      </c>
      <c r="H8" s="12">
        <v>0</v>
      </c>
      <c r="I8" s="12">
        <v>0</v>
      </c>
      <c r="J8" s="12">
        <v>0</v>
      </c>
      <c r="K8" s="12">
        <v>91.03385</v>
      </c>
      <c r="L8" s="12">
        <v>28.004</v>
      </c>
      <c r="M8" s="12">
        <v>32.27156</v>
      </c>
      <c r="N8" s="11">
        <v>3.29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</row>
    <row r="9" s="1" customFormat="1" ht="14" customHeight="1" spans="1:19">
      <c r="A9" s="8"/>
      <c r="B9" s="12" t="s">
        <v>27</v>
      </c>
      <c r="C9" s="12">
        <f t="shared" si="5"/>
        <v>48.5</v>
      </c>
      <c r="D9" s="12">
        <f t="shared" si="6"/>
        <v>0</v>
      </c>
      <c r="E9" s="12">
        <f t="shared" si="7"/>
        <v>26.78</v>
      </c>
      <c r="F9" s="12">
        <f t="shared" ref="F9:F35" si="9">SUM(N9:P9)</f>
        <v>21.72</v>
      </c>
      <c r="G9" s="11">
        <f t="shared" si="0"/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26.78</v>
      </c>
      <c r="N9" s="11">
        <v>21.72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</row>
    <row r="10" s="1" customFormat="1" ht="14" customHeight="1" spans="1:19">
      <c r="A10" s="13" t="s">
        <v>28</v>
      </c>
      <c r="B10" s="14" t="s">
        <v>29</v>
      </c>
      <c r="C10" s="12">
        <f t="shared" si="5"/>
        <v>23829.5392199997</v>
      </c>
      <c r="D10" s="12">
        <f t="shared" si="6"/>
        <v>4366.09400499969</v>
      </c>
      <c r="E10" s="12">
        <f t="shared" si="7"/>
        <v>7052.00542499994</v>
      </c>
      <c r="F10" s="12">
        <f t="shared" si="9"/>
        <v>6884.84046500007</v>
      </c>
      <c r="G10" s="11">
        <f t="shared" ref="G10:G35" si="10">SUM(Q10:S10)</f>
        <v>5526.599325</v>
      </c>
      <c r="H10" s="11">
        <f>SUM(H11:H13)</f>
        <v>1255.76041499987</v>
      </c>
      <c r="I10" s="11">
        <f t="shared" ref="I10:S10" si="11">SUM(I11:I13)</f>
        <v>1204.55271999991</v>
      </c>
      <c r="J10" s="11">
        <f t="shared" si="11"/>
        <v>1905.78086999991</v>
      </c>
      <c r="K10" s="11">
        <f t="shared" si="11"/>
        <v>2544.08206499999</v>
      </c>
      <c r="L10" s="11">
        <f t="shared" si="11"/>
        <v>2277.90891999989</v>
      </c>
      <c r="M10" s="11">
        <f t="shared" si="11"/>
        <v>2230.01444000006</v>
      </c>
      <c r="N10" s="11">
        <f t="shared" si="11"/>
        <v>2408.25211499993</v>
      </c>
      <c r="O10" s="11">
        <f t="shared" si="11"/>
        <v>2488.74424000014</v>
      </c>
      <c r="P10" s="11">
        <f t="shared" si="11"/>
        <v>1987.84411</v>
      </c>
      <c r="Q10" s="11">
        <f t="shared" si="11"/>
        <v>1865.02188</v>
      </c>
      <c r="R10" s="11">
        <f t="shared" si="11"/>
        <v>1965.21553</v>
      </c>
      <c r="S10" s="11">
        <f t="shared" si="11"/>
        <v>1696.361915</v>
      </c>
    </row>
    <row r="11" s="1" customFormat="1" ht="14" customHeight="1" outlineLevel="1" spans="1:19">
      <c r="A11" s="15"/>
      <c r="B11" s="11" t="s">
        <v>30</v>
      </c>
      <c r="C11" s="12">
        <f t="shared" si="5"/>
        <v>14439.5926149999</v>
      </c>
      <c r="D11" s="12">
        <f t="shared" si="6"/>
        <v>2613.48966999991</v>
      </c>
      <c r="E11" s="12">
        <f t="shared" si="7"/>
        <v>4492.71940999997</v>
      </c>
      <c r="F11" s="12">
        <f t="shared" si="9"/>
        <v>4171.28568499999</v>
      </c>
      <c r="G11" s="11">
        <f t="shared" si="10"/>
        <v>3162.09785</v>
      </c>
      <c r="H11" s="11">
        <v>821.547214999965</v>
      </c>
      <c r="I11" s="11">
        <v>759.994314999972</v>
      </c>
      <c r="J11" s="11">
        <v>1031.94813999997</v>
      </c>
      <c r="K11" s="11">
        <v>1505.29791</v>
      </c>
      <c r="L11" s="11">
        <v>1506.53287999997</v>
      </c>
      <c r="M11" s="11">
        <v>1480.88862</v>
      </c>
      <c r="N11" s="11">
        <v>1542.45320499999</v>
      </c>
      <c r="O11" s="11">
        <v>1487.150735</v>
      </c>
      <c r="P11" s="11">
        <v>1141.681745</v>
      </c>
      <c r="Q11" s="11">
        <v>1035.606495</v>
      </c>
      <c r="R11" s="11">
        <v>1207.63669</v>
      </c>
      <c r="S11" s="11">
        <v>918.854665</v>
      </c>
    </row>
    <row r="12" s="1" customFormat="1" ht="14" customHeight="1" outlineLevel="1" spans="1:19">
      <c r="A12" s="15"/>
      <c r="B12" s="11" t="s">
        <v>31</v>
      </c>
      <c r="C12" s="12">
        <f t="shared" si="5"/>
        <v>8472.50941499984</v>
      </c>
      <c r="D12" s="12">
        <f t="shared" si="6"/>
        <v>1752.60433499977</v>
      </c>
      <c r="E12" s="12">
        <f t="shared" si="7"/>
        <v>2559.28601499997</v>
      </c>
      <c r="F12" s="12">
        <f t="shared" si="9"/>
        <v>2361.23586500009</v>
      </c>
      <c r="G12" s="11">
        <f t="shared" si="10"/>
        <v>1799.3832</v>
      </c>
      <c r="H12" s="11">
        <v>434.213199999901</v>
      </c>
      <c r="I12" s="11">
        <v>444.558404999936</v>
      </c>
      <c r="J12" s="11">
        <v>873.832729999938</v>
      </c>
      <c r="K12" s="11">
        <v>1038.78415499999</v>
      </c>
      <c r="L12" s="11">
        <v>771.376039999922</v>
      </c>
      <c r="M12" s="11">
        <v>749.125820000061</v>
      </c>
      <c r="N12" s="11">
        <v>833.194529999944</v>
      </c>
      <c r="O12" s="11">
        <v>850.398875000146</v>
      </c>
      <c r="P12" s="11">
        <v>677.64246</v>
      </c>
      <c r="Q12" s="11">
        <v>637.123055</v>
      </c>
      <c r="R12" s="11">
        <v>565.10618</v>
      </c>
      <c r="S12" s="11">
        <v>597.153965</v>
      </c>
    </row>
    <row r="13" s="1" customFormat="1" ht="14" customHeight="1" outlineLevel="1" spans="1:19">
      <c r="A13" s="15"/>
      <c r="B13" s="11" t="s">
        <v>32</v>
      </c>
      <c r="C13" s="12">
        <f t="shared" si="5"/>
        <v>917.43718999999</v>
      </c>
      <c r="D13" s="12">
        <f t="shared" si="6"/>
        <v>0</v>
      </c>
      <c r="E13" s="12">
        <f t="shared" si="7"/>
        <v>0</v>
      </c>
      <c r="F13" s="12">
        <f t="shared" si="9"/>
        <v>352.318914999994</v>
      </c>
      <c r="G13" s="11">
        <f t="shared" si="10"/>
        <v>565.118274999996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32.6043800000007</v>
      </c>
      <c r="O13" s="11">
        <v>151.19462999999</v>
      </c>
      <c r="P13" s="11">
        <v>168.519905000003</v>
      </c>
      <c r="Q13" s="11">
        <v>192.29233</v>
      </c>
      <c r="R13" s="11">
        <v>192.47266</v>
      </c>
      <c r="S13" s="11">
        <v>180.353284999996</v>
      </c>
    </row>
    <row r="14" s="1" customFormat="1" ht="14" customHeight="1" spans="1:19">
      <c r="A14" s="15"/>
      <c r="B14" s="14" t="s">
        <v>33</v>
      </c>
      <c r="C14" s="12">
        <f t="shared" si="5"/>
        <v>584.493995000006</v>
      </c>
      <c r="D14" s="12">
        <f t="shared" si="6"/>
        <v>362.341895000006</v>
      </c>
      <c r="E14" s="12">
        <f t="shared" si="7"/>
        <v>108.03079</v>
      </c>
      <c r="F14" s="12">
        <f t="shared" si="9"/>
        <v>23.87039</v>
      </c>
      <c r="G14" s="11">
        <f t="shared" si="10"/>
        <v>90.25092</v>
      </c>
      <c r="H14" s="11">
        <f>SUM(H15:H17)</f>
        <v>0</v>
      </c>
      <c r="I14" s="11">
        <f t="shared" ref="I14:S14" si="12">SUM(I15:I17)</f>
        <v>0</v>
      </c>
      <c r="J14" s="11">
        <f t="shared" si="12"/>
        <v>362.341895000006</v>
      </c>
      <c r="K14" s="11">
        <f t="shared" si="12"/>
        <v>108.03079</v>
      </c>
      <c r="L14" s="11">
        <f t="shared" si="12"/>
        <v>0</v>
      </c>
      <c r="M14" s="11">
        <f t="shared" si="12"/>
        <v>0</v>
      </c>
      <c r="N14" s="11">
        <f t="shared" si="12"/>
        <v>2.53337</v>
      </c>
      <c r="O14" s="11">
        <f t="shared" si="12"/>
        <v>21.33702</v>
      </c>
      <c r="P14" s="11">
        <f t="shared" si="12"/>
        <v>0</v>
      </c>
      <c r="Q14" s="11">
        <f t="shared" si="12"/>
        <v>90.25092</v>
      </c>
      <c r="R14" s="11">
        <f t="shared" si="12"/>
        <v>0</v>
      </c>
      <c r="S14" s="11">
        <f t="shared" si="12"/>
        <v>0</v>
      </c>
    </row>
    <row r="15" s="1" customFormat="1" ht="14" customHeight="1" outlineLevel="1" spans="1:19">
      <c r="A15" s="15"/>
      <c r="B15" s="11" t="s">
        <v>34</v>
      </c>
      <c r="C15" s="12">
        <f t="shared" si="5"/>
        <v>584.493995000006</v>
      </c>
      <c r="D15" s="12">
        <f t="shared" si="6"/>
        <v>362.341895000006</v>
      </c>
      <c r="E15" s="12">
        <f t="shared" si="7"/>
        <v>108.03079</v>
      </c>
      <c r="F15" s="12">
        <f t="shared" si="9"/>
        <v>23.87039</v>
      </c>
      <c r="G15" s="11">
        <f t="shared" si="10"/>
        <v>90.25092</v>
      </c>
      <c r="H15" s="11">
        <v>0</v>
      </c>
      <c r="I15" s="11">
        <v>0</v>
      </c>
      <c r="J15" s="11">
        <v>362.341895000006</v>
      </c>
      <c r="K15" s="11">
        <v>108.03079</v>
      </c>
      <c r="L15" s="11">
        <v>0</v>
      </c>
      <c r="M15" s="11">
        <v>0</v>
      </c>
      <c r="N15" s="11">
        <v>2.53337</v>
      </c>
      <c r="O15" s="11">
        <v>21.33702</v>
      </c>
      <c r="P15" s="11">
        <v>0</v>
      </c>
      <c r="Q15" s="11">
        <v>90.25092</v>
      </c>
      <c r="R15" s="11">
        <v>0</v>
      </c>
      <c r="S15" s="11">
        <v>0</v>
      </c>
    </row>
    <row r="16" s="1" customFormat="1" ht="14" customHeight="1" outlineLevel="1" spans="1:19">
      <c r="A16" s="15"/>
      <c r="B16" s="11" t="s">
        <v>35</v>
      </c>
      <c r="C16" s="12">
        <f t="shared" si="5"/>
        <v>0</v>
      </c>
      <c r="D16" s="12">
        <f t="shared" si="6"/>
        <v>0</v>
      </c>
      <c r="E16" s="12">
        <f t="shared" si="7"/>
        <v>0</v>
      </c>
      <c r="F16" s="12">
        <f t="shared" si="9"/>
        <v>0</v>
      </c>
      <c r="G16" s="11">
        <f t="shared" si="10"/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</row>
    <row r="17" s="1" customFormat="1" ht="14" customHeight="1" outlineLevel="1" spans="1:19">
      <c r="A17" s="15"/>
      <c r="B17" s="11" t="s">
        <v>36</v>
      </c>
      <c r="C17" s="12">
        <f t="shared" si="5"/>
        <v>0</v>
      </c>
      <c r="D17" s="12">
        <f t="shared" si="6"/>
        <v>0</v>
      </c>
      <c r="E17" s="12">
        <f t="shared" si="7"/>
        <v>0</v>
      </c>
      <c r="F17" s="12">
        <f t="shared" si="9"/>
        <v>0</v>
      </c>
      <c r="G17" s="11">
        <f t="shared" si="10"/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</row>
    <row r="18" s="1" customFormat="1" ht="14" customHeight="1" spans="1:19">
      <c r="A18" s="13" t="s">
        <v>37</v>
      </c>
      <c r="B18" s="16" t="s">
        <v>38</v>
      </c>
      <c r="C18" s="12">
        <f t="shared" si="5"/>
        <v>9.543485</v>
      </c>
      <c r="D18" s="12">
        <f t="shared" si="6"/>
        <v>8.27876</v>
      </c>
      <c r="E18" s="12">
        <f t="shared" si="7"/>
        <v>0.879725</v>
      </c>
      <c r="F18" s="12">
        <f t="shared" si="9"/>
        <v>0</v>
      </c>
      <c r="G18" s="11">
        <f t="shared" si="10"/>
        <v>0.385</v>
      </c>
      <c r="H18" s="11">
        <v>0.0092</v>
      </c>
      <c r="I18" s="11">
        <v>2.107495</v>
      </c>
      <c r="J18" s="11">
        <v>6.162065</v>
      </c>
      <c r="K18" s="11">
        <v>0</v>
      </c>
      <c r="L18" s="11">
        <v>0.879725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0.385</v>
      </c>
    </row>
    <row r="19" s="1" customFormat="1" ht="14" customHeight="1" spans="1:19">
      <c r="A19" s="15"/>
      <c r="B19" s="16" t="s">
        <v>39</v>
      </c>
      <c r="C19" s="12">
        <f t="shared" si="5"/>
        <v>24404.4861299998</v>
      </c>
      <c r="D19" s="12">
        <f t="shared" si="6"/>
        <v>4720.15713999992</v>
      </c>
      <c r="E19" s="12">
        <f t="shared" si="7"/>
        <v>7159.15648999972</v>
      </c>
      <c r="F19" s="12">
        <f t="shared" si="9"/>
        <v>6908.70725500005</v>
      </c>
      <c r="G19" s="11">
        <f t="shared" si="10"/>
        <v>5616.4652450001</v>
      </c>
      <c r="H19" s="11">
        <f>H20+H24+H28</f>
        <v>1255.75121500001</v>
      </c>
      <c r="I19" s="11">
        <f t="shared" ref="I19:S19" si="13">I20+I24+I28</f>
        <v>1202.44522499999</v>
      </c>
      <c r="J19" s="11">
        <f t="shared" si="13"/>
        <v>2261.96069999992</v>
      </c>
      <c r="K19" s="11">
        <f t="shared" si="13"/>
        <v>2652.11285499999</v>
      </c>
      <c r="L19" s="11">
        <f t="shared" si="13"/>
        <v>2277.02919499985</v>
      </c>
      <c r="M19" s="11">
        <f t="shared" si="13"/>
        <v>2230.01443999988</v>
      </c>
      <c r="N19" s="11">
        <f t="shared" si="13"/>
        <v>2410.78548499994</v>
      </c>
      <c r="O19" s="11">
        <f t="shared" si="13"/>
        <v>2510.07766000006</v>
      </c>
      <c r="P19" s="11">
        <f t="shared" si="13"/>
        <v>1987.84411000005</v>
      </c>
      <c r="Q19" s="11">
        <f t="shared" si="13"/>
        <v>1955.2728</v>
      </c>
      <c r="R19" s="11">
        <f t="shared" si="13"/>
        <v>1965.21552999999</v>
      </c>
      <c r="S19" s="11">
        <f t="shared" si="13"/>
        <v>1695.97691500011</v>
      </c>
    </row>
    <row r="20" s="1" customFormat="1" ht="14" customHeight="1" spans="1:19">
      <c r="A20" s="15"/>
      <c r="B20" s="11" t="s">
        <v>40</v>
      </c>
      <c r="C20" s="11">
        <f t="shared" si="5"/>
        <v>6048.41293499997</v>
      </c>
      <c r="D20" s="11">
        <f t="shared" si="6"/>
        <v>2313.40043999996</v>
      </c>
      <c r="E20" s="11">
        <f t="shared" si="7"/>
        <v>1764.685995</v>
      </c>
      <c r="F20" s="12">
        <f t="shared" si="9"/>
        <v>1217.361265</v>
      </c>
      <c r="G20" s="11">
        <f t="shared" si="10"/>
        <v>752.965235000004</v>
      </c>
      <c r="H20" s="11">
        <f>SUM(H21:H23)</f>
        <v>625.850290000018</v>
      </c>
      <c r="I20" s="11">
        <f t="shared" ref="I20:S20" si="14">SUM(I21:I23)</f>
        <v>578.668135000003</v>
      </c>
      <c r="J20" s="11">
        <f t="shared" si="14"/>
        <v>1108.88201499994</v>
      </c>
      <c r="K20" s="11">
        <f t="shared" si="14"/>
        <v>1282.54727999998</v>
      </c>
      <c r="L20" s="11">
        <f t="shared" si="14"/>
        <v>316.002875000012</v>
      </c>
      <c r="M20" s="11">
        <f t="shared" si="14"/>
        <v>166.135840000009</v>
      </c>
      <c r="N20" s="11">
        <f t="shared" si="14"/>
        <v>416.293805</v>
      </c>
      <c r="O20" s="11">
        <f t="shared" si="14"/>
        <v>445.032915</v>
      </c>
      <c r="P20" s="11">
        <f t="shared" si="14"/>
        <v>356.034545</v>
      </c>
      <c r="Q20" s="11">
        <f t="shared" si="14"/>
        <v>43.39118</v>
      </c>
      <c r="R20" s="11">
        <f t="shared" si="14"/>
        <v>351.960735000001</v>
      </c>
      <c r="S20" s="11">
        <f t="shared" si="14"/>
        <v>357.613320000003</v>
      </c>
    </row>
    <row r="21" s="1" customFormat="1" ht="14" customHeight="1" outlineLevel="1" spans="1:19">
      <c r="A21" s="15"/>
      <c r="B21" s="11" t="s">
        <v>41</v>
      </c>
      <c r="C21" s="11">
        <f t="shared" si="5"/>
        <v>4065.51360000002</v>
      </c>
      <c r="D21" s="11">
        <f t="shared" si="6"/>
        <v>1321.93331500002</v>
      </c>
      <c r="E21" s="11">
        <f t="shared" si="7"/>
        <v>896.635065000001</v>
      </c>
      <c r="F21" s="12">
        <f t="shared" si="9"/>
        <v>1216.360835</v>
      </c>
      <c r="G21" s="11">
        <f t="shared" si="10"/>
        <v>630.584385000002</v>
      </c>
      <c r="H21" s="11">
        <v>341.007150000001</v>
      </c>
      <c r="I21" s="11">
        <v>334.033184999996</v>
      </c>
      <c r="J21" s="11">
        <v>646.892980000023</v>
      </c>
      <c r="K21" s="11">
        <v>726.484680000002</v>
      </c>
      <c r="L21" s="11">
        <v>160.576564999999</v>
      </c>
      <c r="M21" s="11">
        <v>9.57382</v>
      </c>
      <c r="N21" s="11">
        <v>415.293375</v>
      </c>
      <c r="O21" s="11">
        <v>445.032915</v>
      </c>
      <c r="P21" s="11">
        <v>356.034545</v>
      </c>
      <c r="Q21" s="11">
        <v>43.39118</v>
      </c>
      <c r="R21" s="11">
        <v>316.114860000002</v>
      </c>
      <c r="S21" s="11">
        <v>271.078345</v>
      </c>
    </row>
    <row r="22" s="1" customFormat="1" ht="14" customHeight="1" outlineLevel="1" spans="1:19">
      <c r="A22" s="15"/>
      <c r="B22" s="11" t="s">
        <v>42</v>
      </c>
      <c r="C22" s="11">
        <f t="shared" si="5"/>
        <v>1860.51848499994</v>
      </c>
      <c r="D22" s="11">
        <f t="shared" si="6"/>
        <v>991.467124999939</v>
      </c>
      <c r="E22" s="11">
        <f t="shared" si="7"/>
        <v>868.050930000005</v>
      </c>
      <c r="F22" s="12">
        <f t="shared" si="9"/>
        <v>1.00043</v>
      </c>
      <c r="G22" s="11">
        <f t="shared" si="10"/>
        <v>0</v>
      </c>
      <c r="H22" s="11">
        <v>284.843140000017</v>
      </c>
      <c r="I22" s="11">
        <v>244.634950000007</v>
      </c>
      <c r="J22" s="11">
        <v>461.989034999915</v>
      </c>
      <c r="K22" s="11">
        <v>556.062599999983</v>
      </c>
      <c r="L22" s="11">
        <v>155.426310000013</v>
      </c>
      <c r="M22" s="11">
        <v>156.562020000009</v>
      </c>
      <c r="N22" s="11">
        <v>1.00043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</row>
    <row r="23" s="1" customFormat="1" ht="14" customHeight="1" outlineLevel="1" spans="1:19">
      <c r="A23" s="15"/>
      <c r="B23" s="11" t="s">
        <v>43</v>
      </c>
      <c r="C23" s="11">
        <f t="shared" si="5"/>
        <v>122.380850000002</v>
      </c>
      <c r="D23" s="11">
        <f t="shared" si="6"/>
        <v>0</v>
      </c>
      <c r="E23" s="11">
        <f t="shared" si="7"/>
        <v>0</v>
      </c>
      <c r="F23" s="12">
        <f t="shared" si="9"/>
        <v>0</v>
      </c>
      <c r="G23" s="11">
        <f t="shared" si="10"/>
        <v>122.380850000002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35.8458749999988</v>
      </c>
      <c r="S23" s="11">
        <v>86.5349750000032</v>
      </c>
    </row>
    <row r="24" s="1" customFormat="1" ht="14" customHeight="1" spans="1:19">
      <c r="A24" s="15"/>
      <c r="B24" s="11" t="s">
        <v>44</v>
      </c>
      <c r="C24" s="11">
        <f t="shared" si="5"/>
        <v>7710.91841500007</v>
      </c>
      <c r="D24" s="11">
        <f t="shared" si="6"/>
        <v>1021.19688499997</v>
      </c>
      <c r="E24" s="11">
        <f t="shared" si="7"/>
        <v>1800.34110999996</v>
      </c>
      <c r="F24" s="12">
        <f t="shared" si="9"/>
        <v>2046.11424000001</v>
      </c>
      <c r="G24" s="11">
        <f t="shared" si="10"/>
        <v>2843.26618000013</v>
      </c>
      <c r="H24" s="11">
        <f>SUM(H25:H27)</f>
        <v>330.973514999999</v>
      </c>
      <c r="I24" s="11">
        <f t="shared" ref="I24:S24" si="15">SUM(I25:I27)</f>
        <v>135.714059999999</v>
      </c>
      <c r="J24" s="11">
        <f t="shared" si="15"/>
        <v>554.509309999976</v>
      </c>
      <c r="K24" s="11">
        <f t="shared" si="15"/>
        <v>592.543494999981</v>
      </c>
      <c r="L24" s="11">
        <f t="shared" si="15"/>
        <v>704.277334999972</v>
      </c>
      <c r="M24" s="11">
        <f t="shared" si="15"/>
        <v>503.520280000004</v>
      </c>
      <c r="N24" s="11">
        <f t="shared" si="15"/>
        <v>876.645125000037</v>
      </c>
      <c r="O24" s="11">
        <f t="shared" si="15"/>
        <v>697.060179999972</v>
      </c>
      <c r="P24" s="11">
        <f t="shared" si="15"/>
        <v>472.408935000001</v>
      </c>
      <c r="Q24" s="11">
        <f t="shared" si="15"/>
        <v>883.166515</v>
      </c>
      <c r="R24" s="11">
        <f t="shared" si="15"/>
        <v>1013.930605</v>
      </c>
      <c r="S24" s="11">
        <f t="shared" si="15"/>
        <v>946.169060000129</v>
      </c>
    </row>
    <row r="25" s="1" customFormat="1" ht="14" customHeight="1" outlineLevel="1" spans="1:19">
      <c r="A25" s="15"/>
      <c r="B25" s="11" t="s">
        <v>45</v>
      </c>
      <c r="C25" s="11">
        <f t="shared" si="5"/>
        <v>4993.676845</v>
      </c>
      <c r="D25" s="11">
        <f t="shared" si="6"/>
        <v>745.734109999998</v>
      </c>
      <c r="E25" s="11">
        <f t="shared" si="7"/>
        <v>1244.26335</v>
      </c>
      <c r="F25" s="12">
        <f t="shared" si="9"/>
        <v>1340.21091</v>
      </c>
      <c r="G25" s="11">
        <f t="shared" si="10"/>
        <v>1663.46847500001</v>
      </c>
      <c r="H25" s="11">
        <v>295.804085</v>
      </c>
      <c r="I25" s="11">
        <v>92.2545499999998</v>
      </c>
      <c r="J25" s="11">
        <v>357.675474999998</v>
      </c>
      <c r="K25" s="11">
        <v>363.688649999997</v>
      </c>
      <c r="L25" s="11">
        <v>491.148865</v>
      </c>
      <c r="M25" s="11">
        <v>389.425834999999</v>
      </c>
      <c r="N25" s="11">
        <v>517.73226</v>
      </c>
      <c r="O25" s="11">
        <v>482.427319999998</v>
      </c>
      <c r="P25" s="11">
        <v>340.051330000001</v>
      </c>
      <c r="Q25" s="11">
        <v>570.247705</v>
      </c>
      <c r="R25" s="11">
        <v>621.200535000004</v>
      </c>
      <c r="S25" s="11">
        <v>472.020235000003</v>
      </c>
    </row>
    <row r="26" s="1" customFormat="1" ht="14" customHeight="1" outlineLevel="1" spans="1:19">
      <c r="A26" s="15"/>
      <c r="B26" s="11" t="s">
        <v>46</v>
      </c>
      <c r="C26" s="11">
        <f t="shared" si="5"/>
        <v>2717.22747000007</v>
      </c>
      <c r="D26" s="11">
        <f t="shared" si="6"/>
        <v>275.462774999977</v>
      </c>
      <c r="E26" s="11">
        <f t="shared" si="7"/>
        <v>556.077759999961</v>
      </c>
      <c r="F26" s="12">
        <f t="shared" si="9"/>
        <v>705.903330000011</v>
      </c>
      <c r="G26" s="11">
        <f t="shared" si="10"/>
        <v>1179.78360500013</v>
      </c>
      <c r="H26" s="11">
        <v>35.1694299999994</v>
      </c>
      <c r="I26" s="11">
        <v>43.4595099999992</v>
      </c>
      <c r="J26" s="11">
        <v>196.833834999978</v>
      </c>
      <c r="K26" s="11">
        <v>228.854844999984</v>
      </c>
      <c r="L26" s="11">
        <v>213.128469999972</v>
      </c>
      <c r="M26" s="11">
        <v>114.094445000005</v>
      </c>
      <c r="N26" s="11">
        <v>358.912865000037</v>
      </c>
      <c r="O26" s="11">
        <v>214.632859999974</v>
      </c>
      <c r="P26" s="11">
        <v>132.357605</v>
      </c>
      <c r="Q26" s="11">
        <v>312.91881</v>
      </c>
      <c r="R26" s="11">
        <v>392.73007</v>
      </c>
      <c r="S26" s="11">
        <v>474.134725000126</v>
      </c>
    </row>
    <row r="27" s="1" customFormat="1" ht="14" customHeight="1" outlineLevel="1" spans="1:19">
      <c r="A27" s="15"/>
      <c r="B27" s="11" t="s">
        <v>47</v>
      </c>
      <c r="C27" s="11">
        <f t="shared" si="5"/>
        <v>0.0141</v>
      </c>
      <c r="D27" s="11">
        <f t="shared" si="6"/>
        <v>0</v>
      </c>
      <c r="E27" s="11">
        <f t="shared" si="7"/>
        <v>0</v>
      </c>
      <c r="F27" s="12">
        <f t="shared" si="9"/>
        <v>0</v>
      </c>
      <c r="G27" s="11">
        <f t="shared" si="10"/>
        <v>0.0141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/>
      <c r="S27" s="11">
        <v>0.0141</v>
      </c>
    </row>
    <row r="28" s="1" customFormat="1" ht="14" customHeight="1" spans="1:19">
      <c r="A28" s="15"/>
      <c r="B28" s="11" t="s">
        <v>48</v>
      </c>
      <c r="C28" s="11">
        <f t="shared" si="5"/>
        <v>10645.1547799997</v>
      </c>
      <c r="D28" s="11">
        <f t="shared" si="6"/>
        <v>1385.55981499998</v>
      </c>
      <c r="E28" s="11">
        <f t="shared" si="7"/>
        <v>3594.12938499974</v>
      </c>
      <c r="F28" s="12">
        <f t="shared" si="9"/>
        <v>3645.23175000005</v>
      </c>
      <c r="G28" s="11">
        <f t="shared" si="10"/>
        <v>2020.23382999996</v>
      </c>
      <c r="H28" s="11">
        <f>SUM(H29:H31)</f>
        <v>298.92740999999</v>
      </c>
      <c r="I28" s="11">
        <f t="shared" ref="I28:S28" si="16">SUM(I29:I31)</f>
        <v>488.063029999991</v>
      </c>
      <c r="J28" s="11">
        <f t="shared" si="16"/>
        <v>598.569375000003</v>
      </c>
      <c r="K28" s="11">
        <f t="shared" si="16"/>
        <v>777.02208000002</v>
      </c>
      <c r="L28" s="11">
        <f t="shared" si="16"/>
        <v>1256.74898499986</v>
      </c>
      <c r="M28" s="11">
        <f t="shared" si="16"/>
        <v>1560.35831999986</v>
      </c>
      <c r="N28" s="11">
        <f t="shared" si="16"/>
        <v>1117.84655499991</v>
      </c>
      <c r="O28" s="11">
        <f t="shared" si="16"/>
        <v>1367.98456500009</v>
      </c>
      <c r="P28" s="11">
        <f t="shared" si="16"/>
        <v>1159.40063000005</v>
      </c>
      <c r="Q28" s="11">
        <f t="shared" si="16"/>
        <v>1028.715105</v>
      </c>
      <c r="R28" s="11">
        <f t="shared" si="16"/>
        <v>599.324189999984</v>
      </c>
      <c r="S28" s="11">
        <f t="shared" si="16"/>
        <v>392.194534999976</v>
      </c>
    </row>
    <row r="29" s="1" customFormat="1" ht="14" customHeight="1" outlineLevel="1" spans="1:19">
      <c r="A29" s="15"/>
      <c r="B29" s="11" t="s">
        <v>49</v>
      </c>
      <c r="C29" s="11">
        <f t="shared" si="5"/>
        <v>5955.34907999988</v>
      </c>
      <c r="D29" s="11">
        <f t="shared" si="6"/>
        <v>899.885379999991</v>
      </c>
      <c r="E29" s="11">
        <f t="shared" si="7"/>
        <v>2458.97205999989</v>
      </c>
      <c r="F29" s="12">
        <f t="shared" si="9"/>
        <v>1638.58073</v>
      </c>
      <c r="G29" s="11">
        <f t="shared" si="10"/>
        <v>957.910909999994</v>
      </c>
      <c r="H29" s="11">
        <v>184.726779999998</v>
      </c>
      <c r="I29" s="11">
        <v>331.599084999994</v>
      </c>
      <c r="J29" s="11">
        <v>383.559514999999</v>
      </c>
      <c r="K29" s="11">
        <v>523.155369999995</v>
      </c>
      <c r="L29" s="11">
        <v>853.927724999956</v>
      </c>
      <c r="M29" s="11">
        <v>1081.88896499994</v>
      </c>
      <c r="N29" s="11">
        <v>611.96094</v>
      </c>
      <c r="O29" s="11">
        <v>581.02392</v>
      </c>
      <c r="P29" s="11">
        <v>445.59587</v>
      </c>
      <c r="Q29" s="11">
        <v>512.21853</v>
      </c>
      <c r="R29" s="11">
        <v>270.321294999995</v>
      </c>
      <c r="S29" s="11">
        <v>175.371084999999</v>
      </c>
    </row>
    <row r="30" s="1" customFormat="1" ht="14" customHeight="1" outlineLevel="1" spans="1:19">
      <c r="A30" s="17"/>
      <c r="B30" s="11" t="s">
        <v>50</v>
      </c>
      <c r="C30" s="11">
        <f t="shared" si="5"/>
        <v>3894.76345999988</v>
      </c>
      <c r="D30" s="11">
        <f t="shared" si="6"/>
        <v>485.674434999993</v>
      </c>
      <c r="E30" s="11">
        <f t="shared" si="7"/>
        <v>1135.15732499985</v>
      </c>
      <c r="F30" s="12">
        <f t="shared" si="9"/>
        <v>1654.33210500006</v>
      </c>
      <c r="G30" s="11">
        <f t="shared" si="10"/>
        <v>619.599594999981</v>
      </c>
      <c r="H30" s="11">
        <v>114.200629999992</v>
      </c>
      <c r="I30" s="11">
        <v>156.463944999997</v>
      </c>
      <c r="J30" s="11">
        <v>215.009860000004</v>
      </c>
      <c r="K30" s="11">
        <v>253.866710000025</v>
      </c>
      <c r="L30" s="11">
        <v>402.821259999905</v>
      </c>
      <c r="M30" s="11">
        <v>478.469354999923</v>
      </c>
      <c r="N30" s="11">
        <v>473.281234999907</v>
      </c>
      <c r="O30" s="11">
        <v>635.766015000101</v>
      </c>
      <c r="P30" s="11">
        <v>545.284855000049</v>
      </c>
      <c r="Q30" s="11">
        <v>324.204245</v>
      </c>
      <c r="R30" s="11">
        <v>172.376109999996</v>
      </c>
      <c r="S30" s="11">
        <v>123.019239999985</v>
      </c>
    </row>
    <row r="31" s="1" customFormat="1" ht="14" customHeight="1" outlineLevel="1" spans="1:19">
      <c r="A31" s="17"/>
      <c r="B31" s="11" t="s">
        <v>51</v>
      </c>
      <c r="C31" s="11">
        <f t="shared" si="5"/>
        <v>795.042239999979</v>
      </c>
      <c r="D31" s="11">
        <f t="shared" si="6"/>
        <v>0</v>
      </c>
      <c r="E31" s="11">
        <f t="shared" si="7"/>
        <v>0</v>
      </c>
      <c r="F31" s="12">
        <f t="shared" si="9"/>
        <v>352.318914999993</v>
      </c>
      <c r="G31" s="11">
        <f t="shared" si="10"/>
        <v>442.723324999985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32.60438</v>
      </c>
      <c r="O31" s="11">
        <v>151.19462999999</v>
      </c>
      <c r="P31" s="11">
        <v>168.519905000003</v>
      </c>
      <c r="Q31" s="11">
        <v>192.29233</v>
      </c>
      <c r="R31" s="11">
        <v>156.626784999993</v>
      </c>
      <c r="S31" s="11">
        <v>93.8042099999925</v>
      </c>
    </row>
    <row r="32" s="1" customFormat="1" ht="14" customHeight="1" spans="1:19">
      <c r="A32" s="13" t="s">
        <v>52</v>
      </c>
      <c r="B32" s="9" t="s">
        <v>53</v>
      </c>
      <c r="C32" s="10">
        <f t="shared" si="5"/>
        <v>24844.066668</v>
      </c>
      <c r="D32" s="10">
        <f t="shared" si="6"/>
        <v>4801.63976499999</v>
      </c>
      <c r="E32" s="10">
        <f t="shared" si="7"/>
        <v>7280.16850300002</v>
      </c>
      <c r="F32" s="10">
        <f t="shared" si="9"/>
        <v>6780.23760000003</v>
      </c>
      <c r="G32" s="10">
        <f t="shared" si="10"/>
        <v>5982.0208</v>
      </c>
      <c r="H32" s="10">
        <f>SUM(H33:H35)</f>
        <v>816.212761000001</v>
      </c>
      <c r="I32" s="10">
        <f t="shared" ref="I32:S32" si="17">SUM(I33:I35)</f>
        <v>995.675780000001</v>
      </c>
      <c r="J32" s="10">
        <f t="shared" si="17"/>
        <v>2989.75122399999</v>
      </c>
      <c r="K32" s="10">
        <f t="shared" si="17"/>
        <v>2598.359893</v>
      </c>
      <c r="L32" s="10">
        <f t="shared" si="17"/>
        <v>2335.06667000001</v>
      </c>
      <c r="M32" s="10">
        <f t="shared" si="17"/>
        <v>2346.74194000001</v>
      </c>
      <c r="N32" s="10">
        <f t="shared" si="17"/>
        <v>2298.14674000001</v>
      </c>
      <c r="O32" s="10">
        <f t="shared" si="17"/>
        <v>2377.46622500002</v>
      </c>
      <c r="P32" s="10">
        <f t="shared" si="17"/>
        <v>2104.624635</v>
      </c>
      <c r="Q32" s="10">
        <f t="shared" si="17"/>
        <v>1738.03736</v>
      </c>
      <c r="R32" s="10">
        <f t="shared" si="17"/>
        <v>2277.204565</v>
      </c>
      <c r="S32" s="10">
        <f t="shared" si="17"/>
        <v>1966.778875</v>
      </c>
    </row>
    <row r="33" s="1" customFormat="1" ht="14" customHeight="1" outlineLevel="1" spans="1:19">
      <c r="A33" s="15"/>
      <c r="B33" s="12" t="s">
        <v>54</v>
      </c>
      <c r="C33" s="12">
        <f t="shared" si="5"/>
        <v>15653.451013</v>
      </c>
      <c r="D33" s="12">
        <f t="shared" si="6"/>
        <v>3268.19175999999</v>
      </c>
      <c r="E33" s="12">
        <f t="shared" si="7"/>
        <v>4725.23736300002</v>
      </c>
      <c r="F33" s="12">
        <f t="shared" si="9"/>
        <v>4114.19715000001</v>
      </c>
      <c r="G33" s="11">
        <f t="shared" si="10"/>
        <v>3545.82474</v>
      </c>
      <c r="H33" s="12">
        <v>717.493591000001</v>
      </c>
      <c r="I33" s="12">
        <v>583.483545000001</v>
      </c>
      <c r="J33" s="12">
        <v>1967.21462399999</v>
      </c>
      <c r="K33" s="12">
        <v>1671.967168</v>
      </c>
      <c r="L33" s="12">
        <v>1562.42787000001</v>
      </c>
      <c r="M33" s="12">
        <v>1490.84232500001</v>
      </c>
      <c r="N33" s="11">
        <v>1429.945875</v>
      </c>
      <c r="O33" s="11">
        <v>1431.24005000001</v>
      </c>
      <c r="P33" s="11">
        <v>1253.011225</v>
      </c>
      <c r="Q33" s="11">
        <v>1052.697925</v>
      </c>
      <c r="R33" s="11">
        <v>1283.696605</v>
      </c>
      <c r="S33" s="11">
        <v>1209.43021</v>
      </c>
    </row>
    <row r="34" s="1" customFormat="1" ht="14" customHeight="1" outlineLevel="1" spans="1:19">
      <c r="A34" s="15"/>
      <c r="B34" s="11" t="s">
        <v>55</v>
      </c>
      <c r="C34" s="11">
        <f t="shared" si="5"/>
        <v>8332.02609000002</v>
      </c>
      <c r="D34" s="11">
        <f t="shared" si="6"/>
        <v>1533.448005</v>
      </c>
      <c r="E34" s="11">
        <f t="shared" si="7"/>
        <v>2554.93114</v>
      </c>
      <c r="F34" s="12">
        <f t="shared" si="9"/>
        <v>2394.38228000002</v>
      </c>
      <c r="G34" s="11">
        <f t="shared" si="10"/>
        <v>1849.264665</v>
      </c>
      <c r="H34" s="11">
        <v>98.7191700000001</v>
      </c>
      <c r="I34" s="11">
        <v>412.192235</v>
      </c>
      <c r="J34" s="11">
        <v>1022.5366</v>
      </c>
      <c r="K34" s="11">
        <v>926.392725000001</v>
      </c>
      <c r="L34" s="11">
        <v>772.638799999999</v>
      </c>
      <c r="M34" s="11">
        <v>855.899615000004</v>
      </c>
      <c r="N34" s="11">
        <v>850.655620000007</v>
      </c>
      <c r="O34" s="11">
        <v>859.676295000006</v>
      </c>
      <c r="P34" s="11">
        <v>684.050365000005</v>
      </c>
      <c r="Q34" s="11">
        <v>551.58313</v>
      </c>
      <c r="R34" s="11">
        <v>720.18276</v>
      </c>
      <c r="S34" s="11">
        <v>577.498775</v>
      </c>
    </row>
    <row r="35" s="1" customFormat="1" ht="14" customHeight="1" outlineLevel="1" spans="1:19">
      <c r="A35" s="15"/>
      <c r="B35" s="11" t="s">
        <v>56</v>
      </c>
      <c r="C35" s="11">
        <f t="shared" si="5"/>
        <v>858.589565</v>
      </c>
      <c r="D35" s="11">
        <f t="shared" si="6"/>
        <v>0</v>
      </c>
      <c r="E35" s="11">
        <f t="shared" si="7"/>
        <v>0</v>
      </c>
      <c r="F35" s="12">
        <f t="shared" si="9"/>
        <v>271.65817</v>
      </c>
      <c r="G35" s="11">
        <f t="shared" si="10"/>
        <v>586.931395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17.545245</v>
      </c>
      <c r="O35" s="11">
        <v>86.54988</v>
      </c>
      <c r="P35" s="11">
        <v>167.563045</v>
      </c>
      <c r="Q35" s="11">
        <v>133.756305</v>
      </c>
      <c r="R35" s="11">
        <v>273.3252</v>
      </c>
      <c r="S35" s="11">
        <v>179.84989</v>
      </c>
    </row>
    <row r="36" s="1" customFormat="1" ht="14" customHeight="1" spans="1:19">
      <c r="A36" s="8" t="s">
        <v>57</v>
      </c>
      <c r="B36" s="9" t="s">
        <v>58</v>
      </c>
      <c r="C36" s="10">
        <f t="shared" ref="C36:C43" si="18">S36</f>
        <v>492.397655</v>
      </c>
      <c r="D36" s="10">
        <f>J36</f>
        <v>698.31059</v>
      </c>
      <c r="E36" s="10">
        <f>M36</f>
        <v>698.496955</v>
      </c>
      <c r="F36" s="10">
        <f t="shared" ref="F36:F43" si="19">P36</f>
        <v>855.338395000001</v>
      </c>
      <c r="G36" s="10">
        <f t="shared" ref="G36:G43" si="20">S36</f>
        <v>492.397655</v>
      </c>
      <c r="H36" s="10">
        <f>SUM(H37:H39)</f>
        <v>1249.694425</v>
      </c>
      <c r="I36" s="10">
        <f t="shared" ref="I36:S36" si="21">SUM(I37:I39)</f>
        <v>1460.79403</v>
      </c>
      <c r="J36" s="10">
        <f t="shared" si="21"/>
        <v>698.31059</v>
      </c>
      <c r="K36" s="10">
        <f t="shared" si="21"/>
        <v>899.513915</v>
      </c>
      <c r="L36" s="10">
        <f t="shared" si="21"/>
        <v>747.79517</v>
      </c>
      <c r="M36" s="10">
        <f t="shared" si="21"/>
        <v>698.496955</v>
      </c>
      <c r="N36" s="10">
        <f t="shared" si="21"/>
        <v>836.786715</v>
      </c>
      <c r="O36" s="10">
        <f t="shared" si="21"/>
        <v>972.22886</v>
      </c>
      <c r="P36" s="10">
        <f t="shared" si="21"/>
        <v>855.338395000001</v>
      </c>
      <c r="Q36" s="10">
        <f t="shared" si="21"/>
        <v>1071.77589</v>
      </c>
      <c r="R36" s="10">
        <f t="shared" si="21"/>
        <v>759.333605000002</v>
      </c>
      <c r="S36" s="10">
        <f t="shared" si="21"/>
        <v>492.397655</v>
      </c>
    </row>
    <row r="37" s="1" customFormat="1" ht="14" customHeight="1" outlineLevel="1" spans="1:19">
      <c r="A37" s="8"/>
      <c r="B37" s="11" t="s">
        <v>59</v>
      </c>
      <c r="C37" s="11">
        <f t="shared" si="18"/>
        <v>257.31983</v>
      </c>
      <c r="D37" s="11">
        <f>J37</f>
        <v>472.921</v>
      </c>
      <c r="E37" s="11">
        <f>M37</f>
        <v>462.5552</v>
      </c>
      <c r="F37" s="11">
        <f t="shared" si="19"/>
        <v>547.267120000001</v>
      </c>
      <c r="G37" s="11">
        <f t="shared" si="20"/>
        <v>257.31983</v>
      </c>
      <c r="H37" s="11">
        <v>852.8343</v>
      </c>
      <c r="I37" s="11">
        <v>1033.5318</v>
      </c>
      <c r="J37" s="11">
        <v>472.921</v>
      </c>
      <c r="K37" s="11">
        <v>548.8264</v>
      </c>
      <c r="L37" s="11">
        <v>429.5611</v>
      </c>
      <c r="M37" s="11">
        <v>462.5552</v>
      </c>
      <c r="N37" s="11">
        <v>579.80149</v>
      </c>
      <c r="O37" s="11">
        <v>657.41838</v>
      </c>
      <c r="P37" s="11">
        <v>547.267120000001</v>
      </c>
      <c r="Q37" s="11">
        <v>621.02447</v>
      </c>
      <c r="R37" s="11">
        <v>544.504920000002</v>
      </c>
      <c r="S37" s="11">
        <v>257.31983</v>
      </c>
    </row>
    <row r="38" s="1" customFormat="1" ht="14" customHeight="1" outlineLevel="1" spans="1:19">
      <c r="A38" s="8"/>
      <c r="B38" s="11" t="s">
        <v>60</v>
      </c>
      <c r="C38" s="11">
        <f t="shared" si="18"/>
        <v>176.172475</v>
      </c>
      <c r="D38" s="11">
        <f t="shared" ref="D37:D43" si="22">J38</f>
        <v>225.38959</v>
      </c>
      <c r="E38" s="11">
        <f t="shared" ref="E37:E43" si="23">M38</f>
        <v>235.941755</v>
      </c>
      <c r="F38" s="11">
        <f t="shared" si="19"/>
        <v>227.435385</v>
      </c>
      <c r="G38" s="11">
        <f t="shared" si="20"/>
        <v>176.172475</v>
      </c>
      <c r="H38" s="11">
        <v>396.860125</v>
      </c>
      <c r="I38" s="11">
        <v>427.26223</v>
      </c>
      <c r="J38" s="11">
        <v>225.38959</v>
      </c>
      <c r="K38" s="11">
        <v>350.687515</v>
      </c>
      <c r="L38" s="11">
        <v>318.23407</v>
      </c>
      <c r="M38" s="11">
        <v>235.941755</v>
      </c>
      <c r="N38" s="11">
        <v>242.91315</v>
      </c>
      <c r="O38" s="11">
        <v>233.8483</v>
      </c>
      <c r="P38" s="11">
        <v>227.435385</v>
      </c>
      <c r="Q38" s="11">
        <v>311.585095</v>
      </c>
      <c r="R38" s="11">
        <v>156.525895</v>
      </c>
      <c r="S38" s="11">
        <v>176.172475</v>
      </c>
    </row>
    <row r="39" s="1" customFormat="1" ht="14" customHeight="1" outlineLevel="1" spans="1:19">
      <c r="A39" s="8"/>
      <c r="B39" s="11" t="s">
        <v>61</v>
      </c>
      <c r="C39" s="11">
        <f t="shared" si="18"/>
        <v>58.90535</v>
      </c>
      <c r="D39" s="11">
        <f t="shared" si="22"/>
        <v>0</v>
      </c>
      <c r="E39" s="11">
        <f t="shared" si="23"/>
        <v>0</v>
      </c>
      <c r="F39" s="11">
        <f t="shared" si="19"/>
        <v>80.6358900000001</v>
      </c>
      <c r="G39" s="11">
        <f t="shared" si="20"/>
        <v>58.90535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14.072075</v>
      </c>
      <c r="O39" s="11">
        <v>80.96218</v>
      </c>
      <c r="P39" s="11">
        <v>80.6358900000001</v>
      </c>
      <c r="Q39" s="11">
        <v>139.166325</v>
      </c>
      <c r="R39" s="11">
        <v>58.30279</v>
      </c>
      <c r="S39" s="11">
        <v>58.90535</v>
      </c>
    </row>
    <row r="40" s="1" customFormat="1" ht="14" customHeight="1" spans="1:19">
      <c r="A40" s="18" t="s">
        <v>62</v>
      </c>
      <c r="B40" s="19" t="s">
        <v>63</v>
      </c>
      <c r="C40" s="10">
        <f t="shared" si="18"/>
        <v>62.05617</v>
      </c>
      <c r="D40" s="10">
        <f t="shared" si="22"/>
        <v>132.96835</v>
      </c>
      <c r="E40" s="10">
        <f t="shared" si="23"/>
        <v>236.588503000003</v>
      </c>
      <c r="F40" s="10">
        <f t="shared" si="19"/>
        <v>115.604673</v>
      </c>
      <c r="G40" s="10">
        <f t="shared" si="20"/>
        <v>62.05617</v>
      </c>
      <c r="H40" s="10">
        <f>SUM(H41:H43)</f>
        <v>390.296188000019</v>
      </c>
      <c r="I40" s="10">
        <f t="shared" ref="I40:S40" si="24">SUM(I41:I43)</f>
        <v>380.674473</v>
      </c>
      <c r="J40" s="10">
        <f t="shared" si="24"/>
        <v>132.96835</v>
      </c>
      <c r="K40" s="10">
        <f t="shared" si="24"/>
        <v>82.809215</v>
      </c>
      <c r="L40" s="10">
        <f t="shared" si="24"/>
        <v>33.538298</v>
      </c>
      <c r="M40" s="10">
        <f t="shared" si="24"/>
        <v>236.588503000003</v>
      </c>
      <c r="N40" s="10">
        <f t="shared" si="24"/>
        <v>208.997752999996</v>
      </c>
      <c r="O40" s="10">
        <f t="shared" si="24"/>
        <v>195.822803</v>
      </c>
      <c r="P40" s="10">
        <f t="shared" si="24"/>
        <v>115.604673</v>
      </c>
      <c r="Q40" s="10">
        <f t="shared" si="24"/>
        <v>41.297853</v>
      </c>
      <c r="R40" s="10">
        <f t="shared" si="24"/>
        <v>14.307965</v>
      </c>
      <c r="S40" s="10">
        <f t="shared" si="24"/>
        <v>62.05617</v>
      </c>
    </row>
    <row r="41" s="2" customFormat="1" ht="14" customHeight="1" outlineLevel="1" spans="1:19">
      <c r="A41" s="18"/>
      <c r="B41" s="20" t="s">
        <v>64</v>
      </c>
      <c r="C41" s="12">
        <f t="shared" si="18"/>
        <v>26.503255</v>
      </c>
      <c r="D41" s="12">
        <f t="shared" si="22"/>
        <v>36.110725</v>
      </c>
      <c r="E41" s="12">
        <f t="shared" si="23"/>
        <v>131.444798</v>
      </c>
      <c r="F41" s="12">
        <f t="shared" si="19"/>
        <v>79.670803</v>
      </c>
      <c r="G41" s="11">
        <f t="shared" si="20"/>
        <v>26.503255</v>
      </c>
      <c r="H41" s="20">
        <v>119.621363</v>
      </c>
      <c r="I41" s="20">
        <v>107.754858</v>
      </c>
      <c r="J41" s="20">
        <v>36.110725</v>
      </c>
      <c r="K41" s="20">
        <v>30.388405</v>
      </c>
      <c r="L41" s="20">
        <v>15.172213</v>
      </c>
      <c r="M41" s="20">
        <v>131.444798</v>
      </c>
      <c r="N41" s="21">
        <v>120.230078</v>
      </c>
      <c r="O41" s="21">
        <v>118.376798</v>
      </c>
      <c r="P41" s="21">
        <v>79.670803</v>
      </c>
      <c r="Q41" s="21">
        <v>25.807383</v>
      </c>
      <c r="R41" s="21">
        <v>4.604355</v>
      </c>
      <c r="S41" s="21">
        <v>26.503255</v>
      </c>
    </row>
    <row r="42" s="2" customFormat="1" ht="14" customHeight="1" outlineLevel="1" spans="1:19">
      <c r="A42" s="18"/>
      <c r="B42" s="21" t="s">
        <v>65</v>
      </c>
      <c r="C42" s="12">
        <f t="shared" si="18"/>
        <v>16.219835</v>
      </c>
      <c r="D42" s="12">
        <f t="shared" si="22"/>
        <v>96.857625</v>
      </c>
      <c r="E42" s="12">
        <f t="shared" si="23"/>
        <v>105.143705000003</v>
      </c>
      <c r="F42" s="12">
        <f t="shared" si="19"/>
        <v>35.93387</v>
      </c>
      <c r="G42" s="11">
        <f t="shared" si="20"/>
        <v>16.219835</v>
      </c>
      <c r="H42" s="21">
        <v>270.674825000019</v>
      </c>
      <c r="I42" s="21">
        <v>272.919615</v>
      </c>
      <c r="J42" s="21">
        <v>96.857625</v>
      </c>
      <c r="K42" s="21">
        <v>52.42081</v>
      </c>
      <c r="L42" s="21">
        <v>18.366085</v>
      </c>
      <c r="M42" s="21">
        <v>105.143705000003</v>
      </c>
      <c r="N42" s="21">
        <v>88.7676749999957</v>
      </c>
      <c r="O42" s="21">
        <v>77.446005</v>
      </c>
      <c r="P42" s="21">
        <v>35.93387</v>
      </c>
      <c r="Q42" s="21">
        <v>15.49047</v>
      </c>
      <c r="R42" s="21">
        <v>9.70361</v>
      </c>
      <c r="S42" s="21">
        <v>16.219835</v>
      </c>
    </row>
    <row r="43" s="2" customFormat="1" ht="14" customHeight="1" outlineLevel="1" spans="1:19">
      <c r="A43" s="18"/>
      <c r="B43" s="21" t="s">
        <v>66</v>
      </c>
      <c r="C43" s="12">
        <f t="shared" si="18"/>
        <v>19.33308</v>
      </c>
      <c r="D43" s="12">
        <f t="shared" si="22"/>
        <v>0</v>
      </c>
      <c r="E43" s="12">
        <f t="shared" si="23"/>
        <v>0</v>
      </c>
      <c r="F43" s="12">
        <f t="shared" si="19"/>
        <v>0</v>
      </c>
      <c r="G43" s="11">
        <f t="shared" si="20"/>
        <v>19.33308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19.33308</v>
      </c>
    </row>
  </sheetData>
  <mergeCells count="6">
    <mergeCell ref="A2:A9"/>
    <mergeCell ref="A10:A17"/>
    <mergeCell ref="A18:A31"/>
    <mergeCell ref="A32:A35"/>
    <mergeCell ref="A36:A39"/>
    <mergeCell ref="A40:A43"/>
  </mergeCells>
  <conditionalFormatting sqref="H15">
    <cfRule type="cellIs" dxfId="0" priority="6" operator="equal">
      <formula>0</formula>
    </cfRule>
  </conditionalFormatting>
  <conditionalFormatting sqref="I15">
    <cfRule type="cellIs" dxfId="0" priority="5" operator="equal">
      <formula>0</formula>
    </cfRule>
  </conditionalFormatting>
  <conditionalFormatting sqref="L15">
    <cfRule type="cellIs" dxfId="0" priority="7" operator="equal">
      <formula>0</formula>
    </cfRule>
  </conditionalFormatting>
  <conditionalFormatting sqref="M15">
    <cfRule type="cellIs" dxfId="0" priority="8" operator="equal">
      <formula>0</formula>
    </cfRule>
  </conditionalFormatting>
  <conditionalFormatting sqref="P15">
    <cfRule type="cellIs" dxfId="0" priority="17" operator="equal">
      <formula>0</formula>
    </cfRule>
  </conditionalFormatting>
  <conditionalFormatting sqref="R15">
    <cfRule type="cellIs" dxfId="0" priority="12" operator="equal">
      <formula>0</formula>
    </cfRule>
  </conditionalFormatting>
  <conditionalFormatting sqref="S15">
    <cfRule type="cellIs" dxfId="0" priority="10" operator="equal">
      <formula>0</formula>
    </cfRule>
  </conditionalFormatting>
  <conditionalFormatting sqref="S17">
    <cfRule type="cellIs" dxfId="0" priority="9" operator="equal">
      <formula>0</formula>
    </cfRule>
  </conditionalFormatting>
  <conditionalFormatting sqref="R22">
    <cfRule type="cellIs" dxfId="0" priority="11" operator="equal">
      <formula>0</formula>
    </cfRule>
  </conditionalFormatting>
  <conditionalFormatting sqref="S22">
    <cfRule type="cellIs" dxfId="0" priority="2" operator="equal">
      <formula>0</formula>
    </cfRule>
  </conditionalFormatting>
  <conditionalFormatting sqref="O27:Q27">
    <cfRule type="cellIs" dxfId="0" priority="13" operator="equal">
      <formula>0</formula>
    </cfRule>
  </conditionalFormatting>
  <conditionalFormatting sqref="F1:F43">
    <cfRule type="cellIs" dxfId="0" priority="16" operator="equal">
      <formula>0</formula>
    </cfRule>
  </conditionalFormatting>
  <conditionalFormatting sqref="G1:G43">
    <cfRule type="cellIs" dxfId="0" priority="1" operator="equal">
      <formula>0</formula>
    </cfRule>
  </conditionalFormatting>
  <conditionalFormatting sqref="R8:R9">
    <cfRule type="cellIs" dxfId="0" priority="4" operator="equal">
      <formula>0</formula>
    </cfRule>
  </conditionalFormatting>
  <conditionalFormatting sqref="S8:S9">
    <cfRule type="cellIs" dxfId="0" priority="3" operator="equal">
      <formula>0</formula>
    </cfRule>
  </conditionalFormatting>
  <conditionalFormatting sqref="A1:E9 C38:E43 B38:B40 B37:E37 A18 B10:E29 A36:E36 A32:E32 B33:E35 B31:E31 H1:S3 H31:M31 H33:M35 H36:S36 H32:S32 H23:N23 H24:S24 H25:M26 H27:N28 H18:S20 H17:R17 H16:S16 H14:S14 J15:K15 H10:S10 H21:M22 H29:M29 H11:M13 H8:M9 H37:M39 H7:S7 H40:S40 H4:M6 O28:S28">
    <cfRule type="cellIs" dxfId="0" priority="21" operator="equal">
      <formula>0</formula>
    </cfRule>
  </conditionalFormatting>
  <conditionalFormatting sqref="O8:Q9">
    <cfRule type="cellIs" dxfId="0" priority="18" operator="equal">
      <formula>0</formula>
    </cfRule>
  </conditionalFormatting>
  <conditionalFormatting sqref="O22:Q23">
    <cfRule type="cellIs" dxfId="0" priority="14" operator="equal">
      <formula>0</formula>
    </cfRule>
  </conditionalFormatting>
  <conditionalFormatting sqref="B30:E30 H30:M30">
    <cfRule type="cellIs" dxfId="0" priority="20" operator="equal">
      <formula>0</formula>
    </cfRule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产销存汇总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刘莹莹</dc:creator>
  <cp:lastModifiedBy>刘莹莹</cp:lastModifiedBy>
  <dcterms:created xsi:type="dcterms:W3CDTF">2023-05-12T11:15:00Z</dcterms:created>
  <dcterms:modified xsi:type="dcterms:W3CDTF">2026-02-06T02:04:42Z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KSOReadingLayout">
    <vt:bool>true</vt:bool>
  </property>
  <property fmtid="{D5CDD505-2E9C-101B-9397-08002B2CF9AE}" pid="4" name="ICV">
    <vt:lpwstr>2710DA944F6947D39AE1B95D18B17DA8_12</vt:lpwstr>
  </property>
</Properties>
</file>