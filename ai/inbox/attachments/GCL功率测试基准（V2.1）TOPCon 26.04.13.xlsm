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ustomStorage/customStorage.xml" ContentType="application/vnd.wps-officedocument.customStorage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2188" windowHeight="9324" tabRatio="847"/>
  </bookViews>
  <sheets>
    <sheet name="NT10-72GDF" sheetId="27" r:id="rId1"/>
    <sheet name="NT10-78GDF" sheetId="28" r:id="rId2"/>
    <sheet name="NT12R-66GDF" sheetId="29" r:id="rId3"/>
    <sheet name="NT12R-66GDF (2.0)" sheetId="48" r:id="rId4"/>
    <sheet name="NT12-66GDF" sheetId="30" r:id="rId5"/>
    <sheet name="NT12R-78GDF " sheetId="45" r:id="rId6"/>
    <sheet name="NT12R-48GDF" sheetId="38" r:id="rId7"/>
    <sheet name="NT12R-48BGDF" sheetId="39" r:id="rId8"/>
    <sheet name="NT12R-54GDF" sheetId="46" r:id="rId9"/>
    <sheet name="NT12R-54BGDF" sheetId="47" r:id="rId10"/>
    <sheet name="标板基准" sheetId="44" r:id="rId11"/>
    <sheet name="更改履历" sheetId="43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<sst xmlns="http://schemas.openxmlformats.org/spreadsheetml/2006/main" count="1310" uniqueCount="226">
  <si>
    <t>NT10-72GDF功率预测模型：</t>
  </si>
  <si>
    <t>25.4%功率初值</t>
  </si>
  <si>
    <t>I36</t>
  </si>
  <si>
    <r>
      <rPr>
        <b/>
        <sz val="12"/>
        <color theme="1"/>
        <rFont val="微软雅黑"/>
        <charset val="134"/>
      </rPr>
      <t>此行为基准宏引用数据，请勿修改</t>
    </r>
  </si>
  <si>
    <t>焊带选型</t>
  </si>
  <si>
    <t>规格4</t>
  </si>
  <si>
    <t>规格5</t>
  </si>
  <si>
    <t>规格6</t>
  </si>
  <si>
    <t>规格7</t>
  </si>
  <si>
    <t>规格8</t>
  </si>
  <si>
    <t>规格9</t>
  </si>
  <si>
    <t>规格10</t>
  </si>
  <si>
    <t>规格11</t>
  </si>
  <si>
    <t>规格12</t>
  </si>
  <si>
    <t>规格13</t>
  </si>
  <si>
    <t>玻璃选型</t>
  </si>
  <si>
    <t>单镀+镀釉</t>
  </si>
  <si>
    <t>单镀+间隙铝膜</t>
  </si>
  <si>
    <t>双镀+镀釉</t>
  </si>
  <si>
    <t>双镀+间隙铝膜</t>
  </si>
  <si>
    <t>单镀+非镀釉</t>
  </si>
  <si>
    <t>双镀+非镀釉</t>
  </si>
  <si>
    <t>技术7</t>
  </si>
  <si>
    <t>技术8</t>
  </si>
  <si>
    <t>技术9</t>
  </si>
  <si>
    <t>技术10</t>
  </si>
  <si>
    <t>技术11</t>
  </si>
  <si>
    <t>技术12</t>
  </si>
  <si>
    <t>技术13</t>
  </si>
  <si>
    <t>电池厂家</t>
  </si>
  <si>
    <t>芜湖</t>
  </si>
  <si>
    <t>弘元</t>
  </si>
  <si>
    <t>英发</t>
  </si>
  <si>
    <t>润阳</t>
  </si>
  <si>
    <t>和光同程</t>
  </si>
  <si>
    <t>中润</t>
  </si>
  <si>
    <t>通威</t>
  </si>
  <si>
    <t>赛福天</t>
  </si>
  <si>
    <t>卓耀</t>
  </si>
  <si>
    <t>爱旭</t>
  </si>
  <si>
    <t>厂家11</t>
  </si>
  <si>
    <t>厂家12</t>
  </si>
  <si>
    <t>厂家13</t>
  </si>
  <si>
    <t>电池尺寸</t>
  </si>
  <si>
    <t>182.2*183.75-256</t>
  </si>
  <si>
    <t>182.2*183.75-247</t>
  </si>
  <si>
    <t>规格3</t>
  </si>
  <si>
    <t>面积</t>
  </si>
  <si>
    <t>标准差</t>
  </si>
  <si>
    <t>线缆长度</t>
  </si>
  <si>
    <t>+300/-200mm（4mm²）</t>
  </si>
  <si>
    <t>+400/-200mm（4mm²）</t>
  </si>
  <si>
    <t>+1200/-1200mm（4mm²）</t>
  </si>
  <si>
    <t>+1400/-1400mm（4mm²）</t>
  </si>
  <si>
    <t>+300/-200mm（6mm²）</t>
  </si>
  <si>
    <t>+400/-200mm（6mm²）</t>
  </si>
  <si>
    <t>+1200/-1200mm（6mm²）</t>
  </si>
  <si>
    <t>+1400/-1400mm（6mm²）</t>
  </si>
  <si>
    <t>汇流条</t>
  </si>
  <si>
    <t>6*0.3+4*0.25反光</t>
  </si>
  <si>
    <t>6*0.3+4*0.3反光</t>
  </si>
  <si>
    <t>6*0.35+4*0.3反光</t>
  </si>
  <si>
    <t>6*0.35+4*0.35反光</t>
  </si>
  <si>
    <t>6*0.4+4*0.35反光</t>
  </si>
  <si>
    <t>4*0.4+4*0.3反光</t>
  </si>
  <si>
    <t>4*0.4+4*0.35反光</t>
  </si>
  <si>
    <t>汇流条8</t>
  </si>
  <si>
    <t>汇流条9</t>
  </si>
  <si>
    <t>汇流条10</t>
  </si>
  <si>
    <t>汇流条11</t>
  </si>
  <si>
    <t>汇流条12</t>
  </si>
  <si>
    <t>汇流条13</t>
  </si>
  <si>
    <t>电池工艺</t>
  </si>
  <si>
    <t>标板基准</t>
  </si>
  <si>
    <t>北德基准</t>
  </si>
  <si>
    <t>莱茵基准</t>
  </si>
  <si>
    <t>中国计量院</t>
  </si>
  <si>
    <t>基准4</t>
  </si>
  <si>
    <t>基准5</t>
  </si>
  <si>
    <t>基准6</t>
  </si>
  <si>
    <t>基准7</t>
  </si>
  <si>
    <t>基准8</t>
  </si>
  <si>
    <t>基准9</t>
  </si>
  <si>
    <t>基准10</t>
  </si>
  <si>
    <t>基准11</t>
  </si>
  <si>
    <t>基准12</t>
  </si>
  <si>
    <t>基准13</t>
  </si>
  <si>
    <t>版型</t>
  </si>
  <si>
    <t>类型</t>
  </si>
  <si>
    <t>电池效率</t>
  </si>
  <si>
    <t>投产比例</t>
  </si>
  <si>
    <t>单片功率</t>
  </si>
  <si>
    <t>理论功率</t>
  </si>
  <si>
    <t>CTM值</t>
  </si>
  <si>
    <t>实际功率</t>
  </si>
  <si>
    <t>参考数量</t>
  </si>
  <si>
    <t>核验</t>
  </si>
  <si>
    <t>NT10-72GDF</t>
  </si>
  <si>
    <t>双玻</t>
  </si>
  <si>
    <t>固定行宏数据</t>
  </si>
  <si>
    <t>累计产出</t>
  </si>
  <si>
    <t>电池产出分布</t>
  </si>
  <si>
    <t>NT10-78GDF功率预测模型：</t>
  </si>
  <si>
    <t>仕净</t>
  </si>
  <si>
    <t>182.2*183.75</t>
  </si>
  <si>
    <t>影响因子2</t>
  </si>
  <si>
    <t>NT10-78GDF</t>
  </si>
  <si>
    <t>NT12R-66GDF功率预测模型：</t>
  </si>
  <si>
    <t>超高透+间隙铝膜</t>
  </si>
  <si>
    <t>超高透+镀釉</t>
  </si>
  <si>
    <t>新霖飞</t>
  </si>
  <si>
    <t>日月新能</t>
  </si>
  <si>
    <t>捷泰</t>
  </si>
  <si>
    <t>中环低碳</t>
  </si>
  <si>
    <t>182.3*210</t>
  </si>
  <si>
    <t>规格2</t>
  </si>
  <si>
    <t>NT12R-66GDF</t>
  </si>
  <si>
    <t>NT12R-66GDF（2.0）功率预测模型：</t>
  </si>
  <si>
    <t>26.2%功率初值</t>
  </si>
  <si>
    <t>此预测应用于半片钝化电池</t>
  </si>
  <si>
    <t>技术4</t>
  </si>
  <si>
    <t>技术5</t>
  </si>
  <si>
    <t>技术6</t>
  </si>
  <si>
    <t>芜湖（80mg）</t>
  </si>
  <si>
    <t>芜湖（105mg）</t>
  </si>
  <si>
    <t>芜湖（125mg）</t>
  </si>
  <si>
    <t>时创</t>
  </si>
  <si>
    <t>润马</t>
  </si>
  <si>
    <t>厂家9</t>
  </si>
  <si>
    <t>厂家10</t>
  </si>
  <si>
    <t>半片钝化</t>
  </si>
  <si>
    <t>LECO</t>
  </si>
  <si>
    <t>NT12R-66GDF(2.0)</t>
  </si>
  <si>
    <t>NT12-66GDF功率预测模型：</t>
  </si>
  <si>
    <t>鸿禧</t>
  </si>
  <si>
    <t>210*210</t>
  </si>
  <si>
    <t>NT12-66GDF</t>
  </si>
  <si>
    <t>NT12R-78GDF功率预测模型：</t>
  </si>
  <si>
    <t>双镀+间隙贴膜</t>
  </si>
  <si>
    <t>厂家2</t>
  </si>
  <si>
    <t>厂家3</t>
  </si>
  <si>
    <t>厂家4</t>
  </si>
  <si>
    <t>厂家5</t>
  </si>
  <si>
    <t>厂家6</t>
  </si>
  <si>
    <t>厂家7</t>
  </si>
  <si>
    <t>厂家8</t>
  </si>
  <si>
    <t>210*182.3</t>
  </si>
  <si>
    <t>TCI</t>
  </si>
  <si>
    <t>默认选LECO</t>
  </si>
  <si>
    <t>NT12R-78GDF</t>
  </si>
  <si>
    <t>NT12R-48GDF功率预测模型：</t>
  </si>
  <si>
    <t>26.0%功率初值</t>
  </si>
  <si>
    <t>规格1</t>
  </si>
  <si>
    <t>双镀+白色EVA</t>
  </si>
  <si>
    <t>技术2</t>
  </si>
  <si>
    <t>技术3</t>
  </si>
  <si>
    <t>注意双镀+白色EVA为单面双玻组件，双面双玻组件默认选择“双镀+镀釉”</t>
  </si>
  <si>
    <t>汇流条7</t>
  </si>
  <si>
    <t>基准2</t>
  </si>
  <si>
    <t>基准3</t>
  </si>
  <si>
    <t>NT12R-48GDF</t>
  </si>
  <si>
    <t>NT12R-48BGDF功率预测模型：</t>
  </si>
  <si>
    <t>双镀+黑膜+非镀釉</t>
  </si>
  <si>
    <t>双镀+黑镀釉</t>
  </si>
  <si>
    <t>超高透+黑镀釉</t>
  </si>
  <si>
    <t>6*0.3+4*0.3黑色</t>
  </si>
  <si>
    <t>6*0.4+4*0.4黑色</t>
  </si>
  <si>
    <t>汇流条3</t>
  </si>
  <si>
    <t>汇流条4</t>
  </si>
  <si>
    <t>汇流条5</t>
  </si>
  <si>
    <t>汇流条6</t>
  </si>
  <si>
    <t>NT12R-48BGDF</t>
  </si>
  <si>
    <t>NT12R-54GDF功率预测模型：</t>
  </si>
  <si>
    <t>6*0.3+4*0.3常规</t>
  </si>
  <si>
    <t>汇流条2</t>
  </si>
  <si>
    <t>NT12R-54GDF</t>
  </si>
  <si>
    <t>NT12R-54BGDF功率预测模型：</t>
  </si>
  <si>
    <t>技术1</t>
  </si>
  <si>
    <t>汇流条1</t>
  </si>
  <si>
    <t>NT12R-54BGDF</t>
  </si>
  <si>
    <t>功率最优</t>
  </si>
  <si>
    <t>北德</t>
  </si>
  <si>
    <t>/</t>
  </si>
  <si>
    <t>序号</t>
  </si>
  <si>
    <t>更改履历</t>
  </si>
  <si>
    <t>修订人</t>
  </si>
  <si>
    <t>日期</t>
  </si>
  <si>
    <t>1、预测模型更新，拆分玻璃选型数据，增加汇流条功率影响因子；
2、更新NT12-66GDF 时创半片钝化、弘元测试数据；
3、更新N型组件中国计量院基准；
4、更新NT10-72GDF 和光同程、爱旭测试数据；</t>
  </si>
  <si>
    <t>唐松</t>
  </si>
  <si>
    <t>2024.10.28</t>
  </si>
  <si>
    <t>1、更新NT12R-66GDF捷泰、中润、捷泰半片钝化测试基准；
2、新增NT12R-48GDF、NT12R-48BGDF功率测试基准；
3、根据CTM对标结果，更新NT10-72GDF 和光同程、弘元、英发数据；
4、更新NT12-66GDF 弘元、爱旭数据；
5、210RN预测数据中，通威为让档前基准；</t>
  </si>
  <si>
    <t>2024.12.30</t>
  </si>
  <si>
    <t>1、根据季度对标数据，更新NT12-66GDF 爱旭、英发、通威、中润数据；
2、新增NT12R-78GDF 功率测试基准；
3、根据计量基准板测试数据，更新NT10-78GDF版型功率初值；</t>
  </si>
  <si>
    <t>2025.02.18</t>
  </si>
  <si>
    <t>1、新增NT12R-54GDF、NT12R-54BGDF数据；
2、更新NT12-66GDF 鸿禧数据；</t>
  </si>
  <si>
    <t>2025.03.10</t>
  </si>
  <si>
    <t>1、新增NT120-78GDF 弘元、英发、和光同程数据；
2、更新NT12-66GDF 弘元数据；
3、增加NT10-72/78GDF、NT12/12R-66GDF 莱茵基准；
4、新增NT10-72/78GDF仕净数据、NT12R-66GDF正奇数据；</t>
  </si>
  <si>
    <t>2025.03.28</t>
  </si>
  <si>
    <t>1、根据研发实测数据，更新NT12R-48GDF基准值，上调3W；
2、调整NT10-72GDF、NT12R-66GDF、NT12-66GDF基准值，整体数据未变更（电池厂家均为增益数据，调整中心值）；
3、更新NT10-72GDF/78GDF英发数据；
4、更新NT12-66GDF 中润、时创半片钝化、爱旭数据；</t>
  </si>
  <si>
    <t>2025.04.16</t>
  </si>
  <si>
    <t>1、更新NT10-72GDF、NT10-78GDF、NT12R-66GDF、NT12-66GDF电池数据，如表格中蓝色加粗字体；
2、更新上述版型基准值，按照25.4%效率作为基准；
3、根据研发测试数据，更新NT12R-48BGDF、NT12R-78GDF数据；</t>
  </si>
  <si>
    <t>2025.05.28</t>
  </si>
  <si>
    <t>1、新增NT12R-66GDF 润阳/中环低碳/弘元/通威/捷泰数据；
2、更新NT12-66GDF 时创/爱旭/弘元/通威数据；
3、根据订单量产数据，更新NT12R-48GDF/BGDF、NT12R-54GDF/BGDF数据；</t>
  </si>
  <si>
    <t>2025.06.30</t>
  </si>
  <si>
    <t>1、更新NT12-66GDF 时创、鸿禧、捷泰、英发数据；
2、更新NT10-72GDF卓耀数据；
3、更新芜湖NT12R-66GDF数据，≥25.5%按照“2”、≤25.4%按照“0”；
4、新增NT12-66GDF 新霖飞、芜湖数据；</t>
  </si>
  <si>
    <t>2025.08.01</t>
  </si>
  <si>
    <t>1、新增NT10-78GDF 中润、赛福天数据，更新英发、通威数据；
2、更新NT12-66GDF 弘元、芜湖数据；
3、根据NT10-78GDF中润、英发、赛福天、通威数据，推算更新NT10-72GDF数据；
4、更新NT12-66GDF 爱旭数据；</t>
  </si>
  <si>
    <t>2025.08.26</t>
  </si>
  <si>
    <t>1、测试基准变更为2025年北德、莱茵、计量院基准；
2、更新NT10-72/78GDF 爱旭数据；
3、新增topcon2.0 NT12R-66GDF数据；</t>
  </si>
  <si>
    <t>2025.09.18</t>
  </si>
  <si>
    <t>1、更新NT-54BGDF 芜湖数据；
2、更新NT10-72GDF卓耀数据；
3、根据640项目数据，更新NT12R-66GDF(2.0)数据及初始效率值；</t>
  </si>
  <si>
    <t>2025.10.27</t>
  </si>
  <si>
    <t>1、更新NT12-66GDF 爱旭数据；
2、根据产线、计量复核结果，修改NT10-72GDF英发、芜湖数据，推算NT10-78GDF；</t>
  </si>
  <si>
    <t>2025.12.12</t>
  </si>
  <si>
    <t>1、更新NT12R-78GDF，26年莱茵基准、中国计量院基准；
2、更新NT10-72GDF、NT12-66GDF 芜湖数据；
3、更新NT12R-66GDF、NT12-66GDF通威数据；
4、新增NT12R-48GDF、NT12R-54GDF、NT12R-54BGDF 新北德基准；
5、更新所有版型线缆、汇流条功率影响数据；</t>
  </si>
  <si>
    <t>2026.01.21</t>
  </si>
  <si>
    <r>
      <rPr>
        <sz val="11"/>
        <color theme="1"/>
        <rFont val="黑体"/>
        <charset val="134"/>
      </rPr>
      <t>1、更新NT12R-48BGDF、NT12R-54GDF、NT12R-54BGDF基准，这3个版型，根据标板组反馈，北德基准均已到期；
2、因芜湖电池功率问题及后续执行让档事宜，</t>
    </r>
    <r>
      <rPr>
        <sz val="11"/>
        <color rgb="FFFF0000"/>
        <rFont val="黑体"/>
        <charset val="134"/>
      </rPr>
      <t>接单产出分布</t>
    </r>
    <r>
      <rPr>
        <sz val="11"/>
        <color theme="1"/>
        <rFont val="黑体"/>
        <charset val="134"/>
      </rPr>
      <t>：
① 210RN 1.0电池库存“让档前”电池按照“-1.5”执行，效率产出分布参照附件1；
② 210RN 2.0电池按照“0”执行，效率产出分布参照附件1；
3、210RN竖切参照“不让档”数据（附件3）、芜湖183N和210N参照（附件2）；
4、外购电池效率产出分布参照附件4；</t>
    </r>
  </si>
  <si>
    <t>2026.02.02</t>
  </si>
  <si>
    <t>1、更新NT12R-66GDF芜湖数据，根据会议纪要一致意见，赋值由“2”更改为“3.5”；
2、更新NT12R-66GDF(2.0)电池数据；
3、增加NT12R-48GDF 新北德基准；</t>
  </si>
  <si>
    <t>2026.03.01</t>
  </si>
  <si>
    <t>1、更新NT12R-78GDF 新北德基准，相对原北德下调4.1W（原北德已过期）；
2、更新NT12-66GDF 弘元数据，预测由-1.9调整为1.5；
3、更新NT12R-48BGDF 基准值数据、新增英发数据；
4、新增NT12R-66GDF(2.0)英发、通威数据；
5、电池产出更新为4月份数据；</t>
  </si>
  <si>
    <t>2026.03.26</t>
  </si>
  <si>
    <t>更新NT12R-66GDF、NT12-66GDF基准值；</t>
  </si>
  <si>
    <t>2026.04.08</t>
  </si>
  <si>
    <t>1、更新所有版型北德基准数据；
2、新增NT12R-66GDF(2.0)新霖飞、时创、润马数据；
3、更新NT12-66GDF 通威数据，新增NT12-66GDF 卓耀数据；
4、更新标板基准页数据；</t>
  </si>
  <si>
    <t>2026.04.13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</si>
</sst>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"/>
    <numFmt numFmtId="177" formatCode="0.0%"/>
    <numFmt numFmtId="178" formatCode="0.000%"/>
    <numFmt numFmtId="179" formatCode="0_);[Red]\(0\)"/>
  </numFmts>
  <fonts count="43">
    <font>
      <sz val="11"/>
      <color theme="1"/>
      <name val="等线"/>
      <charset val="134"/>
      <scheme val="minor"/>
    </font>
    <font>
      <sz val="11"/>
      <color theme="1"/>
      <name val="黑体"/>
      <charset val="134"/>
    </font>
    <font>
      <b/>
      <sz val="11"/>
      <color theme="1"/>
      <name val="黑体"/>
      <charset val="134"/>
    </font>
    <font>
      <b/>
      <sz val="8"/>
      <color theme="1"/>
      <name val="微软雅黑"/>
      <charset val="134"/>
    </font>
    <font>
      <sz val="9"/>
      <color theme="1"/>
      <name val="黑体"/>
      <charset val="134"/>
    </font>
    <font>
      <sz val="8"/>
      <color theme="1"/>
      <name val="微软雅黑"/>
      <charset val="134"/>
    </font>
    <font>
      <sz val="12"/>
      <color theme="1"/>
      <name val="微软雅黑"/>
      <charset val="134"/>
    </font>
    <font>
      <b/>
      <sz val="8"/>
      <color rgb="FFFF0000"/>
      <name val="微软雅黑"/>
      <charset val="134"/>
    </font>
    <font>
      <sz val="9"/>
      <color theme="1"/>
      <name val="微软雅黑"/>
      <charset val="134"/>
    </font>
    <font>
      <b/>
      <i/>
      <u/>
      <sz val="16"/>
      <color theme="0"/>
      <name val="微软雅黑"/>
      <charset val="134"/>
    </font>
    <font>
      <b/>
      <sz val="12"/>
      <color theme="1"/>
      <name val="微软雅黑"/>
      <charset val="134"/>
    </font>
    <font>
      <sz val="8"/>
      <name val="微软雅黑"/>
      <charset val="134"/>
    </font>
    <font>
      <sz val="11"/>
      <color theme="1"/>
      <name val="微软雅黑"/>
      <charset val="134"/>
    </font>
    <font>
      <sz val="10"/>
      <color theme="1"/>
      <name val="微软雅黑"/>
      <charset val="134"/>
    </font>
    <font>
      <sz val="9"/>
      <color rgb="FFFF0000"/>
      <name val="微软雅黑"/>
      <charset val="134"/>
    </font>
    <font>
      <b/>
      <sz val="10"/>
      <color theme="1"/>
      <name val="微软雅黑"/>
      <charset val="134"/>
    </font>
    <font>
      <sz val="10"/>
      <color rgb="FFFF0000"/>
      <name val="微软雅黑"/>
      <charset val="134"/>
    </font>
    <font>
      <b/>
      <sz val="8"/>
      <color theme="4"/>
      <name val="微软雅黑"/>
      <charset val="134"/>
    </font>
    <font>
      <sz val="8"/>
      <color rgb="FFFF0000"/>
      <name val="微软雅黑"/>
      <charset val="134"/>
    </font>
    <font>
      <b/>
      <sz val="12"/>
      <color rgb="FFFF0000"/>
      <name val="微软雅黑"/>
      <charset val="134"/>
    </font>
    <font>
      <b/>
      <sz val="8"/>
      <color rgb="FF0070C0"/>
      <name val="微软雅黑"/>
      <charset val="134"/>
    </font>
    <font>
      <b/>
      <sz val="9"/>
      <color rgb="FFFF0000"/>
      <name val="微软雅黑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2"/>
      <name val="宋体"/>
      <charset val="134"/>
    </font>
    <font>
      <sz val="11"/>
      <color rgb="FFFF0000"/>
      <name val="黑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8" tint="0.799951170384838"/>
        <bgColor indexed="64"/>
      </patternFill>
    </fill>
    <fill>
      <patternFill patternType="solid">
        <fgColor theme="4" tint="0.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14548173467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70702230903"/>
        <bgColor theme="4" tint="0.79970702230903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676503799554"/>
        <bgColor theme="4" tint="0.79967650379955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737540818506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70091860713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8" borderId="7" applyNumberFormat="0" applyFon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8" applyNumberFormat="0" applyFill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9" fillId="0" borderId="9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19" borderId="10" applyNumberFormat="0" applyAlignment="0" applyProtection="0">
      <alignment vertical="center"/>
    </xf>
    <xf numFmtId="0" fontId="31" fillId="20" borderId="11" applyNumberFormat="0" applyAlignment="0" applyProtection="0">
      <alignment vertical="center"/>
    </xf>
    <xf numFmtId="0" fontId="32" fillId="20" borderId="10" applyNumberFormat="0" applyAlignment="0" applyProtection="0">
      <alignment vertical="center"/>
    </xf>
    <xf numFmtId="0" fontId="33" fillId="21" borderId="12" applyNumberFormat="0" applyAlignment="0" applyProtection="0">
      <alignment vertical="center"/>
    </xf>
    <xf numFmtId="0" fontId="34" fillId="0" borderId="13" applyNumberFormat="0" applyFill="0" applyAlignment="0" applyProtection="0">
      <alignment vertical="center"/>
    </xf>
    <xf numFmtId="0" fontId="35" fillId="0" borderId="14" applyNumberFormat="0" applyFill="0" applyAlignment="0" applyProtection="0">
      <alignment vertical="center"/>
    </xf>
    <xf numFmtId="0" fontId="36" fillId="22" borderId="0" applyNumberFormat="0" applyBorder="0" applyAlignment="0" applyProtection="0">
      <alignment vertical="center"/>
    </xf>
    <xf numFmtId="0" fontId="37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39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40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39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39" fillId="36" borderId="0" applyNumberFormat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  <xf numFmtId="0" fontId="40" fillId="38" borderId="0" applyNumberFormat="0" applyBorder="0" applyAlignment="0" applyProtection="0">
      <alignment vertical="center"/>
    </xf>
    <xf numFmtId="0" fontId="40" fillId="39" borderId="0" applyNumberFormat="0" applyBorder="0" applyAlignment="0" applyProtection="0">
      <alignment vertical="center"/>
    </xf>
    <xf numFmtId="0" fontId="39" fillId="40" borderId="0" applyNumberFormat="0" applyBorder="0" applyAlignment="0" applyProtection="0">
      <alignment vertical="center"/>
    </xf>
    <xf numFmtId="0" fontId="39" fillId="41" borderId="0" applyNumberFormat="0" applyBorder="0" applyAlignment="0" applyProtection="0">
      <alignment vertical="center"/>
    </xf>
    <xf numFmtId="0" fontId="40" fillId="42" borderId="0" applyNumberFormat="0" applyBorder="0" applyAlignment="0" applyProtection="0">
      <alignment vertical="center"/>
    </xf>
    <xf numFmtId="0" fontId="40" fillId="43" borderId="0" applyNumberFormat="0" applyBorder="0" applyAlignment="0" applyProtection="0">
      <alignment vertical="center"/>
    </xf>
    <xf numFmtId="0" fontId="39" fillId="44" borderId="0" applyNumberFormat="0" applyBorder="0" applyAlignment="0" applyProtection="0">
      <alignment vertical="center"/>
    </xf>
    <xf numFmtId="0" fontId="39" fillId="45" borderId="0" applyNumberFormat="0" applyBorder="0" applyAlignment="0" applyProtection="0">
      <alignment vertical="center"/>
    </xf>
    <xf numFmtId="0" fontId="40" fillId="46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39" fillId="6" borderId="0" applyNumberFormat="0" applyBorder="0" applyAlignment="0" applyProtection="0">
      <alignment vertical="center"/>
    </xf>
    <xf numFmtId="0" fontId="41" fillId="0" borderId="0">
      <alignment vertical="center"/>
    </xf>
    <xf numFmtId="0" fontId="0" fillId="0" borderId="0"/>
  </cellStyleXfs>
  <cellXfs count="153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left" vertical="center" wrapText="1"/>
    </xf>
    <xf numFmtId="0" fontId="10" fillId="4" borderId="0" xfId="0" applyFont="1" applyFill="1" applyAlignment="1">
      <alignment horizontal="center" vertical="center" wrapText="1"/>
    </xf>
    <xf numFmtId="2" fontId="8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49" fontId="5" fillId="6" borderId="1" xfId="0" applyNumberFormat="1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10" fontId="5" fillId="8" borderId="1" xfId="0" applyNumberFormat="1" applyFont="1" applyFill="1" applyBorder="1" applyAlignment="1">
      <alignment horizontal="center" vertical="center"/>
    </xf>
    <xf numFmtId="9" fontId="12" fillId="0" borderId="1" xfId="3" applyFont="1" applyFill="1" applyBorder="1" applyAlignment="1">
      <alignment horizontal="center" vertical="center"/>
    </xf>
    <xf numFmtId="1" fontId="5" fillId="8" borderId="1" xfId="0" applyNumberFormat="1" applyFont="1" applyFill="1" applyBorder="1" applyAlignment="1">
      <alignment horizontal="center" vertical="center"/>
    </xf>
    <xf numFmtId="2" fontId="5" fillId="8" borderId="1" xfId="0" applyNumberFormat="1" applyFont="1" applyFill="1" applyBorder="1" applyAlignment="1">
      <alignment horizontal="center" vertical="center"/>
    </xf>
    <xf numFmtId="10" fontId="5" fillId="8" borderId="1" xfId="3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left" vertical="center" wrapText="1"/>
    </xf>
    <xf numFmtId="9" fontId="13" fillId="0" borderId="1" xfId="3" applyFont="1" applyFill="1" applyBorder="1" applyAlignment="1">
      <alignment horizontal="center" vertical="center"/>
    </xf>
    <xf numFmtId="9" fontId="12" fillId="0" borderId="1" xfId="3" applyFont="1" applyBorder="1" applyAlignment="1">
      <alignment horizontal="center"/>
    </xf>
    <xf numFmtId="2" fontId="5" fillId="0" borderId="1" xfId="0" applyNumberFormat="1" applyFont="1" applyBorder="1" applyAlignment="1">
      <alignment horizontal="center" vertical="center"/>
    </xf>
    <xf numFmtId="10" fontId="5" fillId="0" borderId="1" xfId="3" applyNumberFormat="1" applyFont="1" applyFill="1" applyBorder="1" applyAlignment="1">
      <alignment horizontal="center" vertical="center"/>
    </xf>
    <xf numFmtId="177" fontId="13" fillId="0" borderId="1" xfId="3" applyNumberFormat="1" applyFont="1" applyBorder="1" applyAlignment="1">
      <alignment horizontal="center" vertical="center"/>
    </xf>
    <xf numFmtId="9" fontId="13" fillId="0" borderId="1" xfId="3" applyFont="1" applyBorder="1" applyAlignment="1">
      <alignment horizontal="center" vertical="center"/>
    </xf>
    <xf numFmtId="10" fontId="7" fillId="8" borderId="1" xfId="0" applyNumberFormat="1" applyFont="1" applyFill="1" applyBorder="1" applyAlignment="1">
      <alignment horizontal="center" vertical="center"/>
    </xf>
    <xf numFmtId="1" fontId="7" fillId="8" borderId="1" xfId="0" applyNumberFormat="1" applyFont="1" applyFill="1" applyBorder="1" applyAlignment="1">
      <alignment horizontal="center" vertical="center"/>
    </xf>
    <xf numFmtId="2" fontId="7" fillId="8" borderId="1" xfId="0" applyNumberFormat="1" applyFont="1" applyFill="1" applyBorder="1" applyAlignment="1">
      <alignment horizontal="center" vertical="center"/>
    </xf>
    <xf numFmtId="10" fontId="7" fillId="8" borderId="1" xfId="3" applyNumberFormat="1" applyFont="1" applyFill="1" applyBorder="1" applyAlignment="1">
      <alignment horizontal="center" vertical="center"/>
    </xf>
    <xf numFmtId="178" fontId="13" fillId="0" borderId="1" xfId="3" applyNumberFormat="1" applyFont="1" applyBorder="1" applyAlignment="1">
      <alignment horizontal="center" vertical="center"/>
    </xf>
    <xf numFmtId="9" fontId="12" fillId="0" borderId="1" xfId="3" applyFont="1" applyBorder="1" applyAlignment="1">
      <alignment horizontal="center" vertical="center"/>
    </xf>
    <xf numFmtId="10" fontId="12" fillId="0" borderId="0" xfId="3" applyNumberFormat="1" applyFont="1" applyBorder="1">
      <alignment vertical="center"/>
    </xf>
    <xf numFmtId="10" fontId="12" fillId="0" borderId="3" xfId="3" applyNumberFormat="1" applyFont="1" applyBorder="1">
      <alignment vertical="center"/>
    </xf>
    <xf numFmtId="0" fontId="10" fillId="9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/>
    </xf>
    <xf numFmtId="0" fontId="11" fillId="0" borderId="1" xfId="3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left" vertical="center"/>
    </xf>
    <xf numFmtId="0" fontId="3" fillId="10" borderId="1" xfId="0" applyFont="1" applyFill="1" applyBorder="1" applyAlignment="1">
      <alignment horizontal="center" vertical="center" wrapText="1"/>
    </xf>
    <xf numFmtId="179" fontId="3" fillId="11" borderId="1" xfId="0" applyNumberFormat="1" applyFont="1" applyFill="1" applyBorder="1" applyAlignment="1">
      <alignment horizontal="center" vertical="center" wrapText="1"/>
    </xf>
    <xf numFmtId="2" fontId="5" fillId="12" borderId="1" xfId="0" applyNumberFormat="1" applyFont="1" applyFill="1" applyBorder="1" applyAlignment="1">
      <alignment horizontal="center" vertical="center"/>
    </xf>
    <xf numFmtId="9" fontId="5" fillId="8" borderId="1" xfId="3" applyFont="1" applyFill="1" applyBorder="1" applyAlignment="1">
      <alignment horizontal="center" vertical="center"/>
    </xf>
    <xf numFmtId="9" fontId="5" fillId="0" borderId="1" xfId="3" applyFont="1" applyBorder="1" applyAlignment="1">
      <alignment horizontal="center" vertical="center"/>
    </xf>
    <xf numFmtId="2" fontId="5" fillId="13" borderId="1" xfId="0" applyNumberFormat="1" applyFont="1" applyFill="1" applyBorder="1" applyAlignment="1">
      <alignment horizontal="center" vertical="center"/>
    </xf>
    <xf numFmtId="9" fontId="5" fillId="14" borderId="1" xfId="3" applyFont="1" applyFill="1" applyBorder="1" applyAlignment="1">
      <alignment horizontal="center" vertical="center"/>
    </xf>
    <xf numFmtId="1" fontId="5" fillId="13" borderId="1" xfId="0" applyNumberFormat="1" applyFont="1" applyFill="1" applyBorder="1" applyAlignment="1">
      <alignment horizontal="center" vertical="center"/>
    </xf>
    <xf numFmtId="9" fontId="5" fillId="0" borderId="1" xfId="3" applyFont="1" applyFill="1" applyBorder="1" applyAlignment="1">
      <alignment horizontal="center" vertical="center"/>
    </xf>
    <xf numFmtId="1" fontId="5" fillId="12" borderId="1" xfId="0" applyNumberFormat="1" applyFont="1" applyFill="1" applyBorder="1" applyAlignment="1">
      <alignment horizontal="center" vertical="center"/>
    </xf>
    <xf numFmtId="2" fontId="5" fillId="12" borderId="1" xfId="0" applyNumberFormat="1" applyFont="1" applyFill="1" applyBorder="1" applyAlignment="1">
      <alignment horizontal="center" vertical="center" wrapText="1"/>
    </xf>
    <xf numFmtId="2" fontId="7" fillId="12" borderId="1" xfId="0" applyNumberFormat="1" applyFont="1" applyFill="1" applyBorder="1" applyAlignment="1">
      <alignment horizontal="center" vertical="center"/>
    </xf>
    <xf numFmtId="9" fontId="7" fillId="8" borderId="1" xfId="3" applyFont="1" applyFill="1" applyBorder="1" applyAlignment="1">
      <alignment horizontal="center" vertical="center"/>
    </xf>
    <xf numFmtId="9" fontId="7" fillId="0" borderId="1" xfId="3" applyFont="1" applyBorder="1" applyAlignment="1">
      <alignment horizontal="center" vertical="center"/>
    </xf>
    <xf numFmtId="179" fontId="3" fillId="15" borderId="1" xfId="0" applyNumberFormat="1" applyFont="1" applyFill="1" applyBorder="1" applyAlignment="1">
      <alignment horizontal="center" vertical="center" wrapText="1"/>
    </xf>
    <xf numFmtId="177" fontId="5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left" vertical="center" wrapText="1"/>
    </xf>
    <xf numFmtId="0" fontId="6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vertical="center" wrapText="1"/>
    </xf>
    <xf numFmtId="0" fontId="3" fillId="11" borderId="1" xfId="0" applyFont="1" applyFill="1" applyBorder="1" applyAlignment="1">
      <alignment horizontal="center" vertical="center"/>
    </xf>
    <xf numFmtId="10" fontId="5" fillId="0" borderId="1" xfId="0" applyNumberFormat="1" applyFont="1" applyBorder="1" applyAlignment="1">
      <alignment horizontal="center" vertical="center"/>
    </xf>
    <xf numFmtId="10" fontId="7" fillId="0" borderId="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 textRotation="255"/>
    </xf>
    <xf numFmtId="0" fontId="8" fillId="16" borderId="1" xfId="0" applyFont="1" applyFill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9" fontId="8" fillId="0" borderId="1" xfId="3" applyFont="1" applyBorder="1" applyAlignment="1">
      <alignment horizontal="center" vertical="center"/>
    </xf>
    <xf numFmtId="9" fontId="0" fillId="8" borderId="1" xfId="3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77" fontId="3" fillId="0" borderId="1" xfId="3" applyNumberFormat="1" applyFont="1" applyBorder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49" fontId="5" fillId="5" borderId="1" xfId="0" applyNumberFormat="1" applyFont="1" applyFill="1" applyBorder="1" applyAlignment="1">
      <alignment horizontal="center" vertical="center" wrapText="1"/>
    </xf>
    <xf numFmtId="10" fontId="5" fillId="0" borderId="1" xfId="0" applyNumberFormat="1" applyFont="1" applyFill="1" applyBorder="1" applyAlignment="1">
      <alignment horizontal="center" vertical="center"/>
    </xf>
    <xf numFmtId="1" fontId="5" fillId="0" borderId="1" xfId="0" applyNumberFormat="1" applyFont="1" applyFill="1" applyBorder="1" applyAlignment="1">
      <alignment horizontal="center" vertical="center"/>
    </xf>
    <xf numFmtId="2" fontId="5" fillId="0" borderId="1" xfId="0" applyNumberFormat="1" applyFont="1" applyFill="1" applyBorder="1" applyAlignment="1">
      <alignment horizontal="center" vertical="center"/>
    </xf>
    <xf numFmtId="0" fontId="16" fillId="0" borderId="0" xfId="0" applyFont="1" applyFill="1" applyAlignment="1">
      <alignment horizontal="left" vertical="center"/>
    </xf>
    <xf numFmtId="0" fontId="5" fillId="6" borderId="1" xfId="3" applyNumberFormat="1" applyFont="1" applyFill="1" applyBorder="1" applyAlignment="1">
      <alignment horizontal="center" vertical="center"/>
    </xf>
    <xf numFmtId="176" fontId="5" fillId="0" borderId="1" xfId="3" applyNumberFormat="1" applyFont="1" applyFill="1" applyBorder="1" applyAlignment="1">
      <alignment horizontal="center" vertical="center"/>
    </xf>
    <xf numFmtId="2" fontId="5" fillId="0" borderId="1" xfId="3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horizontal="center" vertical="center"/>
    </xf>
    <xf numFmtId="176" fontId="17" fillId="0" borderId="1" xfId="0" applyNumberFormat="1" applyFont="1" applyFill="1" applyBorder="1" applyAlignment="1">
      <alignment horizontal="center" vertical="center"/>
    </xf>
    <xf numFmtId="10" fontId="18" fillId="14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 wrapText="1"/>
    </xf>
    <xf numFmtId="0" fontId="17" fillId="6" borderId="1" xfId="0" applyFont="1" applyFill="1" applyBorder="1" applyAlignment="1">
      <alignment horizontal="center" vertical="center"/>
    </xf>
    <xf numFmtId="0" fontId="17" fillId="0" borderId="1" xfId="3" applyNumberFormat="1" applyFont="1" applyFill="1" applyBorder="1" applyAlignment="1">
      <alignment horizontal="center" vertical="center"/>
    </xf>
    <xf numFmtId="0" fontId="7" fillId="0" borderId="1" xfId="3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0" fontId="5" fillId="14" borderId="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20" fillId="0" borderId="1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 wrapText="1"/>
    </xf>
    <xf numFmtId="0" fontId="8" fillId="16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/>
    </xf>
    <xf numFmtId="176" fontId="20" fillId="0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0" fillId="6" borderId="1" xfId="3" applyNumberFormat="1" applyFont="1" applyFill="1" applyBorder="1" applyAlignment="1">
      <alignment horizontal="center" vertical="center"/>
    </xf>
    <xf numFmtId="0" fontId="20" fillId="0" borderId="1" xfId="3" applyNumberFormat="1" applyFont="1" applyFill="1" applyBorder="1" applyAlignment="1">
      <alignment horizontal="center" vertical="center"/>
    </xf>
    <xf numFmtId="10" fontId="7" fillId="0" borderId="1" xfId="0" applyNumberFormat="1" applyFont="1" applyFill="1" applyBorder="1" applyAlignment="1">
      <alignment horizontal="center" vertical="center"/>
    </xf>
    <xf numFmtId="1" fontId="7" fillId="0" borderId="1" xfId="0" applyNumberFormat="1" applyFont="1" applyFill="1" applyBorder="1" applyAlignment="1">
      <alignment horizontal="center" vertical="center"/>
    </xf>
    <xf numFmtId="2" fontId="7" fillId="0" borderId="1" xfId="0" applyNumberFormat="1" applyFont="1" applyFill="1" applyBorder="1" applyAlignment="1">
      <alignment horizontal="center" vertical="center"/>
    </xf>
    <xf numFmtId="10" fontId="7" fillId="0" borderId="1" xfId="3" applyNumberFormat="1" applyFont="1" applyFill="1" applyBorder="1" applyAlignment="1">
      <alignment horizontal="center" vertical="center"/>
    </xf>
    <xf numFmtId="2" fontId="10" fillId="4" borderId="0" xfId="0" applyNumberFormat="1" applyFont="1" applyFill="1" applyAlignment="1">
      <alignment horizontal="center" vertical="center" wrapText="1"/>
    </xf>
    <xf numFmtId="2" fontId="5" fillId="17" borderId="1" xfId="0" applyNumberFormat="1" applyFont="1" applyFill="1" applyBorder="1" applyAlignment="1">
      <alignment horizontal="center" vertical="center"/>
    </xf>
    <xf numFmtId="2" fontId="5" fillId="17" borderId="1" xfId="0" applyNumberFormat="1" applyFont="1" applyFill="1" applyBorder="1" applyAlignment="1">
      <alignment horizontal="center" vertical="center" wrapText="1"/>
    </xf>
    <xf numFmtId="2" fontId="7" fillId="17" borderId="1" xfId="0" applyNumberFormat="1" applyFont="1" applyFill="1" applyBorder="1" applyAlignment="1">
      <alignment horizontal="center" vertical="center"/>
    </xf>
    <xf numFmtId="9" fontId="7" fillId="0" borderId="1" xfId="3" applyFont="1" applyFill="1" applyBorder="1" applyAlignment="1">
      <alignment horizontal="center" vertical="center"/>
    </xf>
    <xf numFmtId="2" fontId="11" fillId="17" borderId="1" xfId="0" applyNumberFormat="1" applyFont="1" applyFill="1" applyBorder="1" applyAlignment="1">
      <alignment horizontal="center" vertical="center"/>
    </xf>
    <xf numFmtId="1" fontId="5" fillId="17" borderId="1" xfId="0" applyNumberFormat="1" applyFont="1" applyFill="1" applyBorder="1" applyAlignment="1">
      <alignment horizontal="center" vertical="center"/>
    </xf>
    <xf numFmtId="0" fontId="0" fillId="0" borderId="0" xfId="0" applyFill="1"/>
    <xf numFmtId="0" fontId="20" fillId="6" borderId="1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49" fontId="5" fillId="0" borderId="0" xfId="0" applyNumberFormat="1" applyFont="1" applyFill="1" applyBorder="1" applyAlignment="1">
      <alignment horizontal="center" vertical="center" wrapText="1"/>
    </xf>
    <xf numFmtId="178" fontId="5" fillId="0" borderId="0" xfId="3" applyNumberFormat="1" applyFont="1" applyFill="1" applyBorder="1" applyAlignment="1">
      <alignment horizontal="center" vertical="center"/>
    </xf>
    <xf numFmtId="9" fontId="11" fillId="0" borderId="1" xfId="3" applyFont="1" applyBorder="1" applyAlignment="1">
      <alignment horizontal="center" vertical="center"/>
    </xf>
    <xf numFmtId="10" fontId="11" fillId="0" borderId="1" xfId="0" applyNumberFormat="1" applyFont="1" applyBorder="1" applyAlignment="1">
      <alignment horizontal="center" vertical="center"/>
    </xf>
    <xf numFmtId="9" fontId="0" fillId="0" borderId="1" xfId="3" applyFont="1" applyFill="1" applyBorder="1" applyAlignment="1">
      <alignment horizontal="center" vertical="center"/>
    </xf>
    <xf numFmtId="177" fontId="5" fillId="0" borderId="1" xfId="3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11 4" xfId="49"/>
    <cellStyle name="常规 2" xfId="50"/>
  </cellStyles>
  <tableStyles count="1" defaultTableStyle="TableStyleMedium2" defaultPivotStyle="PivotStyleLight16">
    <tableStyle name="Invisible" pivot="0" table="0" count="0" xr9:uid="{1062A80C-57C9-45CE-AC35-AEA3526F56C9}"/>
  </tableStyles>
  <colors>
    <mruColors>
      <color rgb="00FFFF00"/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www.wps.cn/officeDocument/2023/relationships/customStorage" Target="customStorage/customStorage.xml"/><Relationship Id="rId16" Type="http://schemas.openxmlformats.org/officeDocument/2006/relationships/styles" Target="styles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'NT10-72GDF'!$K$50:$T$50</c15:sqref>
                  </c15:fullRef>
                </c:ext>
              </c:extLst>
              <c:f>('NT10-72GDF'!$M$50:$Q$50,'NT10-72GDF'!$T$50)</c:f>
              <c:numCache>
                <c:formatCode>0_);[Red]\(0\)</c:formatCode>
                <c:ptCount val="5"/>
                <c:pt idx="0" c:formatCode="0_);[Red]\(0\)">
                  <c:v>585</c:v>
                </c:pt>
                <c:pt idx="1" c:formatCode="0_);[Red]\(0\)">
                  <c:v>590</c:v>
                </c:pt>
                <c:pt idx="2" c:formatCode="0_);[Red]\(0\)">
                  <c:v>595</c:v>
                </c:pt>
                <c:pt idx="3" c:formatCode="0_);[Red]\(0\)">
                  <c:v>600</c:v>
                </c:pt>
                <c:pt idx="4" c:formatCode="0_);[Red]\(0\)">
                  <c:v>605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'NT10-72GDF'!$K$71:$T$71</c15:sqref>
                  </c15:fullRef>
                </c:ext>
              </c:extLst>
              <c:f>('NT10-72GDF'!$M$71:$Q$71,'NT10-72GDF'!$T$71)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c0b4e9fa-72e9-4993-973a-ac510f945933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'NT10-78GDF'!$K$50:$T$50</c15:sqref>
                  </c15:fullRef>
                </c:ext>
              </c:extLst>
              <c:f>('NT10-78GDF'!$N$50:$R$50,'NT10-78GDF'!$T$50)</c:f>
              <c:numCache>
                <c:formatCode>0_);[Red]\(0\)</c:formatCode>
                <c:ptCount val="5"/>
                <c:pt idx="0" c:formatCode="0_);[Red]\(0\)">
                  <c:v>635</c:v>
                </c:pt>
                <c:pt idx="1" c:formatCode="0_);[Red]\(0\)">
                  <c:v>640</c:v>
                </c:pt>
                <c:pt idx="2" c:formatCode="0_);[Red]\(0\)">
                  <c:v>645</c:v>
                </c:pt>
                <c:pt idx="3" c:formatCode="0_);[Red]\(0\)">
                  <c:v>650</c:v>
                </c:pt>
                <c:pt idx="4" c:formatCode="0_);[Red]\(0\)">
                  <c:v>655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'NT10-78GDF'!$K$71:$T$71</c15:sqref>
                  </c15:fullRef>
                </c:ext>
              </c:extLst>
              <c:f>('NT10-78GDF'!$N$71:$R$71,'NT10-78GDF'!$T$71)</c:f>
              <c:numCache>
                <c:formatCode>0.0%</c:formatCode>
                <c:ptCount val="5"/>
                <c:pt idx="0">
                  <c:v>0.103331365120049</c:v>
                </c:pt>
                <c:pt idx="1">
                  <c:v>0.758605449037783</c:v>
                </c:pt>
                <c:pt idx="2">
                  <c:v>0.137766645150761</c:v>
                </c:pt>
                <c:pt idx="3">
                  <c:v>0.000241647892966665</c:v>
                </c:pt>
                <c:pt idx="4">
                  <c:v>5.95941441786521e-10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8abc6856-b66b-4cfd-8736-11a44c99fd25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'NT12R-66GDF'!$K$50:$T$50</c15:sqref>
                  </c15:fullRef>
                </c:ext>
              </c:extLst>
              <c:f>('NT12R-66GDF'!$L$50:$R$50,'NT12R-66GDF'!$T$50)</c:f>
              <c:numCache>
                <c:formatCode>0_);[Red]\(0\)</c:formatCode>
                <c:ptCount val="7"/>
                <c:pt idx="0" c:formatCode="0_);[Red]\(0\)">
                  <c:v>610</c:v>
                </c:pt>
                <c:pt idx="1" c:formatCode="0_);[Red]\(0\)">
                  <c:v>615</c:v>
                </c:pt>
                <c:pt idx="2" c:formatCode="0_);[Red]\(0\)">
                  <c:v>620</c:v>
                </c:pt>
                <c:pt idx="3" c:formatCode="0_);[Red]\(0\)">
                  <c:v>625</c:v>
                </c:pt>
                <c:pt idx="4" c:formatCode="0_);[Red]\(0\)">
                  <c:v>630</c:v>
                </c:pt>
                <c:pt idx="5" c:formatCode="0_);[Red]\(0\)">
                  <c:v>635</c:v>
                </c:pt>
                <c:pt idx="6" c:formatCode="0_);[Red]\(0\)">
                  <c:v>640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'NT12R-66GDF'!$K$71:$T$71</c15:sqref>
                  </c15:fullRef>
                </c:ext>
              </c:extLst>
              <c:f>('NT12R-66GDF'!$L$71:$R$71,'NT12R-66GDF'!$T$71)</c:f>
              <c:numCache>
                <c:formatCode>0.0%</c:formatCode>
                <c:ptCount val="7"/>
                <c:pt idx="0">
                  <c:v>2.31182608425756e-5</c:v>
                </c:pt>
                <c:pt idx="1">
                  <c:v>0.0265538931591013</c:v>
                </c:pt>
                <c:pt idx="2">
                  <c:v>0.475866927211775</c:v>
                </c:pt>
                <c:pt idx="3">
                  <c:v>0.476817780542826</c:v>
                </c:pt>
                <c:pt idx="4">
                  <c:v>0.0207256514517056</c:v>
                </c:pt>
                <c:pt idx="5">
                  <c:v>1.2629318215237e-5</c:v>
                </c:pt>
                <c:pt idx="6">
                  <c:v>2.26604590618247e-11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d06ad1bc-cc84-4730-a947-a2e77ece83bf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'NT12R-66GDF (2.0)'!$K$50:$T$50</c15:sqref>
                  </c15:fullRef>
                </c:ext>
              </c:extLst>
              <c:f>'NT12R-66GDF (2.0)'!$L$50:$T$50</c:f>
              <c:numCache>
                <c:formatCode>0_);[Red]\(0\)</c:formatCode>
                <c:ptCount val="8"/>
                <c:pt idx="0" c:formatCode="0_);[Red]\(0\)">
                  <c:v>620</c:v>
                </c:pt>
                <c:pt idx="1" c:formatCode="0_);[Red]\(0\)">
                  <c:v>625</c:v>
                </c:pt>
                <c:pt idx="2" c:formatCode="0_);[Red]\(0\)">
                  <c:v>630</c:v>
                </c:pt>
                <c:pt idx="3" c:formatCode="0_);[Red]\(0\)">
                  <c:v>635</c:v>
                </c:pt>
                <c:pt idx="4" c:formatCode="0_);[Red]\(0\)">
                  <c:v>640</c:v>
                </c:pt>
                <c:pt idx="5" c:formatCode="0_);[Red]\(0\)">
                  <c:v>645</c:v>
                </c:pt>
                <c:pt idx="6" c:formatCode="0_);[Red]\(0\)">
                  <c:v>650</c:v>
                </c:pt>
                <c:pt idx="7" c:formatCode="0_);[Red]\(0\)">
                  <c:v>655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'NT12R-66GDF (2.0)'!$K$71:$T$71</c15:sqref>
                  </c15:fullRef>
                </c:ext>
              </c:extLst>
              <c:f>'NT12R-66GDF (2.0)'!$L$71:$T$71</c:f>
              <c:numCache>
                <c:formatCode>0.0%</c:formatCode>
                <c:ptCount val="8"/>
                <c:pt idx="0">
                  <c:v>1.48879573331587e-5</c:v>
                </c:pt>
                <c:pt idx="1">
                  <c:v>0.0163381034869116</c:v>
                </c:pt>
                <c:pt idx="2">
                  <c:v>0.294149845421075</c:v>
                </c:pt>
                <c:pt idx="3">
                  <c:v>0.622985545769868</c:v>
                </c:pt>
                <c:pt idx="4">
                  <c:v>0.0664317474759342</c:v>
                </c:pt>
                <c:pt idx="5">
                  <c:v>7.98697016389953e-5</c:v>
                </c:pt>
                <c:pt idx="6">
                  <c:v>1.7173901476403e-10</c:v>
                </c:pt>
                <c:pt idx="7">
                  <c:v>2.42274821736626e-19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fb41763e-c577-4ae3-9e1a-f9367599fe06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'NT12-66GDF'!$K$50:$T$50</c15:sqref>
                  </c15:fullRef>
                </c:ext>
              </c:extLst>
              <c:f>'NT12-66GDF'!$N$50:$T$50</c:f>
              <c:numCache>
                <c:formatCode>0_);[Red]\(0\)</c:formatCode>
                <c:ptCount val="6"/>
                <c:pt idx="0" c:formatCode="0_);[Red]\(0\)">
                  <c:v>710</c:v>
                </c:pt>
                <c:pt idx="1" c:formatCode="0_);[Red]\(0\)">
                  <c:v>715</c:v>
                </c:pt>
                <c:pt idx="2" c:formatCode="0_);[Red]\(0\)">
                  <c:v>720</c:v>
                </c:pt>
                <c:pt idx="3" c:formatCode="0_);[Red]\(0\)">
                  <c:v>725</c:v>
                </c:pt>
                <c:pt idx="4" c:formatCode="0_);[Red]\(0\)">
                  <c:v>730</c:v>
                </c:pt>
                <c:pt idx="5" c:formatCode="0_);[Red]\(0\)">
                  <c:v>735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'NT12-66GDF'!$K$71:$T$71</c15:sqref>
                  </c15:fullRef>
                </c:ext>
              </c:extLst>
              <c:f>'NT12-66GDF'!$N$71:$T$71</c:f>
              <c:numCache>
                <c:formatCode>0.0%</c:formatCode>
                <c:ptCount val="6"/>
                <c:pt idx="0">
                  <c:v>0.00123490528695349</c:v>
                </c:pt>
                <c:pt idx="1">
                  <c:v>0.0875759068885612</c:v>
                </c:pt>
                <c:pt idx="2">
                  <c:v>0.581326988502475</c:v>
                </c:pt>
                <c:pt idx="3">
                  <c:v>0.321977738515132</c:v>
                </c:pt>
                <c:pt idx="4">
                  <c:v>0.00787995487497379</c:v>
                </c:pt>
                <c:pt idx="5">
                  <c:v>4.3657939143004e-6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bca9de26-9df9-4570-a679-5d27ecdeecca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'NT12R-78GDF '!$K$50:$T$50</c15:sqref>
                  </c15:fullRef>
                </c:ext>
              </c:extLst>
              <c:f>('NT12R-78GDF '!$L$50:$R$50,'NT12R-78GDF '!$T$50)</c:f>
              <c:numCache>
                <c:formatCode>0_);[Red]\(0\)</c:formatCode>
                <c:ptCount val="7"/>
                <c:pt idx="0" c:formatCode="0_);[Red]\(0\)">
                  <c:v>720</c:v>
                </c:pt>
                <c:pt idx="1" c:formatCode="0_);[Red]\(0\)">
                  <c:v>725</c:v>
                </c:pt>
                <c:pt idx="2" c:formatCode="0_);[Red]\(0\)">
                  <c:v>730</c:v>
                </c:pt>
                <c:pt idx="3" c:formatCode="0_);[Red]\(0\)">
                  <c:v>735</c:v>
                </c:pt>
                <c:pt idx="4" c:formatCode="0_);[Red]\(0\)">
                  <c:v>740</c:v>
                </c:pt>
                <c:pt idx="5" c:formatCode="0_);[Red]\(0\)">
                  <c:v>745</c:v>
                </c:pt>
                <c:pt idx="6" c:formatCode="0_);[Red]\(0\)">
                  <c:v>750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'NT12R-78GDF '!$K$71:$T$71</c15:sqref>
                  </c15:fullRef>
                </c:ext>
              </c:extLst>
              <c:f>('NT12R-78GDF '!$L$71:$R$71,'NT12R-78GDF '!$T$71)</c:f>
              <c:numCache>
                <c:formatCode>0.0%</c:formatCode>
                <c:ptCount val="7"/>
                <c:pt idx="0">
                  <c:v>0.000381199860838798</c:v>
                </c:pt>
                <c:pt idx="1">
                  <c:v>0.0893073783036609</c:v>
                </c:pt>
                <c:pt idx="2">
                  <c:v>0.558094555475345</c:v>
                </c:pt>
                <c:pt idx="3">
                  <c:v>0.335336669099989</c:v>
                </c:pt>
                <c:pt idx="4">
                  <c:v>0.0168446356002521</c:v>
                </c:pt>
                <c:pt idx="5">
                  <c:v>3.5558166375886e-5</c:v>
                </c:pt>
                <c:pt idx="6">
                  <c:v>1.4639548735902e-10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7624f63-8ecc-4eff-945f-8369253e3609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'NT12R-48GDF'!$K$50:$R$50</c15:sqref>
                  </c15:fullRef>
                </c:ext>
              </c:extLst>
              <c:f>'NT12R-48GDF'!$L$50:$R$50</c:f>
              <c:numCache>
                <c:formatCode>0_);[Red]\(0\)</c:formatCode>
                <c:ptCount val="7"/>
                <c:pt idx="0" c:formatCode="0_);[Red]\(0\)">
                  <c:v>445</c:v>
                </c:pt>
                <c:pt idx="1" c:formatCode="0_);[Red]\(0\)">
                  <c:v>450</c:v>
                </c:pt>
                <c:pt idx="2" c:formatCode="0_);[Red]\(0\)">
                  <c:v>455</c:v>
                </c:pt>
                <c:pt idx="3" c:formatCode="0_);[Red]\(0\)">
                  <c:v>460</c:v>
                </c:pt>
                <c:pt idx="4" c:formatCode="0_);[Red]\(0\)">
                  <c:v>465</c:v>
                </c:pt>
                <c:pt idx="5" c:formatCode="0_);[Red]\(0\)">
                  <c:v>470</c:v>
                </c:pt>
                <c:pt idx="6" c:formatCode="0_);[Red]\(0\)">
                  <c:v>475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'NT12R-48GDF'!$K$71:$R$71</c15:sqref>
                  </c15:fullRef>
                </c:ext>
              </c:extLst>
              <c:f>'NT12R-48GDF'!$L$71:$R$71</c:f>
              <c:numCache>
                <c:formatCode>0.0%</c:formatCode>
                <c:ptCount val="7"/>
                <c:pt idx="0">
                  <c:v>5.03726604730098e-16</c:v>
                </c:pt>
                <c:pt idx="1">
                  <c:v>0.000167051486998455</c:v>
                </c:pt>
                <c:pt idx="2">
                  <c:v>0.208897744621505</c:v>
                </c:pt>
                <c:pt idx="3">
                  <c:v>0.782416711204157</c:v>
                </c:pt>
                <c:pt idx="4">
                  <c:v>0.00851849267523798</c:v>
                </c:pt>
                <c:pt idx="5">
                  <c:v>1.21007404399513e-11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13d5c551-63fe-433f-bf53-e66b0ab547d4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'NT12R-48BGDF'!$K$50:$R$50</c:f>
              <c:numCache>
                <c:formatCode>0_);[Red]\(0\)</c:formatCode>
                <c:ptCount val="8"/>
                <c:pt idx="0" c:formatCode="0_);[Red]\(0\)">
                  <c:v>435</c:v>
                </c:pt>
                <c:pt idx="1" c:formatCode="0_);[Red]\(0\)">
                  <c:v>440</c:v>
                </c:pt>
                <c:pt idx="2" c:formatCode="0_);[Red]\(0\)">
                  <c:v>445</c:v>
                </c:pt>
                <c:pt idx="3" c:formatCode="0_);[Red]\(0\)">
                  <c:v>450</c:v>
                </c:pt>
                <c:pt idx="4" c:formatCode="0_);[Red]\(0\)">
                  <c:v>455</c:v>
                </c:pt>
                <c:pt idx="5" c:formatCode="0_);[Red]\(0\)">
                  <c:v>460</c:v>
                </c:pt>
                <c:pt idx="6" c:formatCode="0_);[Red]\(0\)">
                  <c:v>465</c:v>
                </c:pt>
                <c:pt idx="7" c:formatCode="0_);[Red]\(0\)">
                  <c:v>470</c:v>
                </c:pt>
              </c:numCache>
            </c:numRef>
          </c:cat>
          <c:val>
            <c:numRef>
              <c:f>'NT12R-48BGDF'!$K$71:$R$71</c:f>
              <c:numCache>
                <c:formatCode>0.0%</c:formatCode>
                <c:ptCount val="8"/>
                <c:pt idx="0">
                  <c:v>0</c:v>
                </c:pt>
                <c:pt idx="1">
                  <c:v>5.80096268267178e-10</c:v>
                </c:pt>
                <c:pt idx="2">
                  <c:v>0.0144484889100555</c:v>
                </c:pt>
                <c:pt idx="3">
                  <c:v>0.660335237773848</c:v>
                </c:pt>
                <c:pt idx="4">
                  <c:v>0.325202154157465</c:v>
                </c:pt>
                <c:pt idx="5">
                  <c:v>1.41185785346697e-5</c:v>
                </c:pt>
                <c:pt idx="6">
                  <c:v>6.19248291312123e-19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afc8b808-5a12-43a7-9bee-46a46350b412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'NT12R-54GDF'!$K$50:$R$50</c15:sqref>
                  </c15:fullRef>
                </c:ext>
              </c:extLst>
              <c:f>('NT12R-54GDF'!$K$50:$P$50,'NT12R-54GDF'!$R$50)</c:f>
              <c:numCache>
                <c:formatCode>0_);[Red]\(0\)</c:formatCode>
                <c:ptCount val="6"/>
                <c:pt idx="0" c:formatCode="0_);[Red]\(0\)">
                  <c:v>495</c:v>
                </c:pt>
                <c:pt idx="1" c:formatCode="0_);[Red]\(0\)">
                  <c:v>500</c:v>
                </c:pt>
                <c:pt idx="2" c:formatCode="0_);[Red]\(0\)">
                  <c:v>505</c:v>
                </c:pt>
                <c:pt idx="3" c:formatCode="0_);[Red]\(0\)">
                  <c:v>510</c:v>
                </c:pt>
                <c:pt idx="4" c:formatCode="0_);[Red]\(0\)">
                  <c:v>515</c:v>
                </c:pt>
                <c:pt idx="5" c:formatCode="0_);[Red]\(0\)">
                  <c:v>520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'NT12R-54GDF'!$K$71:$R$71</c15:sqref>
                  </c15:fullRef>
                </c:ext>
              </c:extLst>
              <c:f>('NT12R-54GDF'!$K$71:$P$71,'NT12R-54GDF'!$R$71)</c:f>
              <c:numCache>
                <c:formatCode>0.0%</c:formatCode>
                <c:ptCount val="6"/>
                <c:pt idx="0">
                  <c:v>0</c:v>
                </c:pt>
                <c:pt idx="1">
                  <c:v>8.97618085120551e-16</c:v>
                </c:pt>
                <c:pt idx="2">
                  <c:v>1.38108367268557e-5</c:v>
                </c:pt>
                <c:pt idx="3">
                  <c:v>0.0676477964417087</c:v>
                </c:pt>
                <c:pt idx="4">
                  <c:v>0.747751667647414</c:v>
                </c:pt>
                <c:pt idx="5">
                  <c:v>0.184565826665985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de78eb38-70cd-4f94-93f0-d7835e6fc4da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产出对应组件预测模型档位分布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"产出"</c:f>
              <c:strCache>
                <c:ptCount val="1"/>
                <c:pt idx="0">
                  <c:v>产出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'NT12R-54BGDF'!$K$50:$R$50</c:f>
              <c:numCache>
                <c:formatCode>0_);[Red]\(0\)</c:formatCode>
                <c:ptCount val="7"/>
                <c:pt idx="0" c:formatCode="0_);[Red]\(0\)">
                  <c:v>490</c:v>
                </c:pt>
                <c:pt idx="1" c:formatCode="0_);[Red]\(0\)">
                  <c:v>495</c:v>
                </c:pt>
                <c:pt idx="2" c:formatCode="0_);[Red]\(0\)">
                  <c:v>500</c:v>
                </c:pt>
                <c:pt idx="3" c:formatCode="0_);[Red]\(0\)">
                  <c:v>505</c:v>
                </c:pt>
                <c:pt idx="4" c:formatCode="0_);[Red]\(0\)">
                  <c:v>510</c:v>
                </c:pt>
                <c:pt idx="5" c:formatCode="0_);[Red]\(0\)">
                  <c:v>515</c:v>
                </c:pt>
                <c:pt idx="6" c:formatCode="0_);[Red]\(0\)">
                  <c:v>520</c:v>
                </c:pt>
              </c:numCache>
            </c:numRef>
          </c:cat>
          <c:val>
            <c:numRef>
              <c:f>'NT12R-54BGDF'!$K$71:$R$71</c:f>
              <c:numCache>
                <c:formatCode>0.0%</c:formatCode>
                <c:ptCount val="7"/>
                <c:pt idx="0">
                  <c:v>0</c:v>
                </c:pt>
                <c:pt idx="1">
                  <c:v>2.64162925845258e-7</c:v>
                </c:pt>
                <c:pt idx="2">
                  <c:v>0.024863364138763</c:v>
                </c:pt>
                <c:pt idx="3">
                  <c:v>0.604843976813812</c:v>
                </c:pt>
                <c:pt idx="4">
                  <c:v>0.369981749141901</c:v>
                </c:pt>
                <c:pt idx="5">
                  <c:v>0.00031064574219224</c:v>
                </c:pt>
                <c:pt idx="6">
                  <c:v>4.05487104543292e-13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5085119"/>
        <c:axId val="2096761055"/>
      </c:barChart>
      <c:catAx>
        <c:axId val="75085119"/>
        <c:scaling>
          <c:orientation val="minMax"/>
        </c:scaling>
        <c:delete val="0"/>
        <c:axPos val="b"/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2096761055"/>
        <c:crosses val="autoZero"/>
        <c:auto val="1"/>
        <c:lblAlgn val="ctr"/>
        <c:lblOffset val="100"/>
        <c:noMultiLvlLbl val="0"/>
      </c:catAx>
      <c:valAx>
        <c:axId val="2096761055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750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1c627f6f-6005-4dd8-978a-4074d309e5b8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solidFill>
            <a:schemeClr val="tx1"/>
          </a:solidFill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png"/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204325"/>
        <a:ext cx="556704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116695"/>
        <a:ext cx="556704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10484485"/>
        <a:ext cx="556704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360535"/>
        <a:ext cx="556704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10484485"/>
        <a:ext cx="556704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10514965"/>
        <a:ext cx="5567045" cy="50438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406255"/>
        <a:ext cx="5567045" cy="29864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406255"/>
        <a:ext cx="5567045" cy="29864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406255"/>
        <a:ext cx="5567045" cy="29864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124691</xdr:colOff>
      <xdr:row>48</xdr:row>
      <xdr:rowOff>100444</xdr:rowOff>
    </xdr:from>
    <xdr:to>
      <xdr:col>7</xdr:col>
      <xdr:colOff>624608</xdr:colOff>
      <xdr:row>70</xdr:row>
      <xdr:rowOff>221671</xdr:rowOff>
    </xdr:to>
    <xdr:graphicFrame>
      <xdr:nvGraphicFramePr>
        <xdr:cNvPr id="2" name="图表 1"/>
        <xdr:cNvGraphicFramePr/>
      </xdr:nvGraphicFramePr>
      <xdr:xfrm>
        <a:off x="124460" y="9406255"/>
        <a:ext cx="5567045" cy="298640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0</xdr:colOff>
      <xdr:row>24</xdr:row>
      <xdr:rowOff>7620</xdr:rowOff>
    </xdr:from>
    <xdr:to>
      <xdr:col>14</xdr:col>
      <xdr:colOff>285678</xdr:colOff>
      <xdr:row>40</xdr:row>
      <xdr:rowOff>83460</xdr:rowOff>
    </xdr:to>
    <xdr:pic>
      <xdr:nvPicPr>
        <xdr:cNvPr id="4" name="图片 3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394960" y="6728460"/>
          <a:ext cx="7364095" cy="28797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38100</xdr:rowOff>
    </xdr:from>
    <xdr:to>
      <xdr:col>4</xdr:col>
      <xdr:colOff>785771</xdr:colOff>
      <xdr:row>40</xdr:row>
      <xdr:rowOff>113940</xdr:rowOff>
    </xdr:to>
    <xdr:pic>
      <xdr:nvPicPr>
        <xdr:cNvPr id="5" name="图片 4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0" y="6758940"/>
          <a:ext cx="6180455" cy="28797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4</xdr:col>
      <xdr:colOff>775222</xdr:colOff>
      <xdr:row>63</xdr:row>
      <xdr:rowOff>142602</xdr:rowOff>
    </xdr:to>
    <xdr:pic>
      <xdr:nvPicPr>
        <xdr:cNvPr id="6" name="图片 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0" y="10226040"/>
          <a:ext cx="6169660" cy="34721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91440</xdr:rowOff>
    </xdr:from>
    <xdr:to>
      <xdr:col>16</xdr:col>
      <xdr:colOff>605888</xdr:colOff>
      <xdr:row>90</xdr:row>
      <xdr:rowOff>167942</xdr:rowOff>
    </xdr:to>
    <xdr:pic>
      <xdr:nvPicPr>
        <xdr:cNvPr id="7" name="图片 6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0" y="13822680"/>
          <a:ext cx="14298930" cy="46329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tabColor theme="9" tint="0.399945066682943"/>
  </sheetPr>
  <dimension ref="A1:AC96"/>
  <sheetViews>
    <sheetView showGridLines="0" tabSelected="1" zoomScale="70" zoomScaleNormal="70" topLeftCell="A7" workbookViewId="0">
      <selection activeCell="R34" sqref="R34"/>
    </sheetView>
  </sheetViews>
  <sheetFormatPr defaultColWidth="8.44444444444444" defaultRowHeight="13.2"/>
  <cols>
    <col min="1" max="19" width="10.5555555555556" style="16" customWidth="1"/>
    <col min="20" max="20" width="10.5555555555556" style="16" hidden="1" customWidth="1"/>
    <col min="21" max="21" width="10.5555555555556" style="16" customWidth="1"/>
    <col min="22" max="16384" width="8.44444444444444" style="16"/>
  </cols>
  <sheetData>
    <row r="1" s="12" customFormat="1" ht="40.8" customHeight="1" spans="1:21">
      <c r="A1" s="17" t="s">
        <v>0</v>
      </c>
      <c r="B1" s="17"/>
      <c r="C1" s="17"/>
      <c r="D1" s="17"/>
      <c r="E1" s="17"/>
      <c r="F1" s="17"/>
      <c r="G1" s="18" t="s">
        <v>1</v>
      </c>
      <c r="H1" s="18"/>
      <c r="I1" s="18"/>
      <c r="J1" s="18">
        <f>593.36-3.1</f>
        <v>590.26</v>
      </c>
      <c r="K1" s="58" t="s">
        <v>2</v>
      </c>
      <c r="L1" s="58" t="s">
        <v>3</v>
      </c>
      <c r="M1" s="58"/>
      <c r="N1" s="58"/>
      <c r="O1" s="58"/>
      <c r="Q1" s="82"/>
      <c r="R1" s="82"/>
      <c r="S1" s="82"/>
      <c r="T1" s="82"/>
      <c r="U1" s="82"/>
    </row>
    <row r="2" ht="1.95" customHeight="1" spans="8:21">
      <c r="H2" s="19"/>
      <c r="P2" s="12"/>
      <c r="Q2" s="82"/>
      <c r="R2" s="82"/>
      <c r="S2" s="82"/>
      <c r="T2" s="82"/>
      <c r="U2" s="82"/>
    </row>
    <row r="3" s="13" customFormat="1" ht="21.9" customHeight="1" spans="1:25">
      <c r="A3" s="20" t="s">
        <v>4</v>
      </c>
      <c r="B3" s="20">
        <v>0</v>
      </c>
      <c r="C3" s="24">
        <v>0.26</v>
      </c>
      <c r="D3" s="10">
        <v>0.24</v>
      </c>
      <c r="E3" s="10">
        <v>0.23</v>
      </c>
      <c r="F3" s="10" t="s">
        <v>5</v>
      </c>
      <c r="G3" s="10" t="s">
        <v>6</v>
      </c>
      <c r="H3" s="10" t="s">
        <v>7</v>
      </c>
      <c r="I3" s="10" t="s">
        <v>8</v>
      </c>
      <c r="J3" s="10" t="s">
        <v>9</v>
      </c>
      <c r="K3" s="10" t="s">
        <v>10</v>
      </c>
      <c r="L3" s="10" t="s">
        <v>11</v>
      </c>
      <c r="M3" s="10" t="s">
        <v>12</v>
      </c>
      <c r="N3" s="10" t="s">
        <v>13</v>
      </c>
      <c r="O3" s="10" t="s">
        <v>14</v>
      </c>
      <c r="P3" s="59"/>
      <c r="Q3" s="83"/>
      <c r="R3" s="83"/>
      <c r="S3" s="83"/>
      <c r="T3" s="83"/>
      <c r="U3" s="83"/>
      <c r="V3" s="84"/>
      <c r="W3" s="84"/>
      <c r="X3" s="84"/>
      <c r="Y3" s="84"/>
    </row>
    <row r="4" s="13" customFormat="1" ht="21.9" customHeight="1" spans="1:25">
      <c r="A4" s="20"/>
      <c r="B4" s="20"/>
      <c r="C4" s="24">
        <v>0</v>
      </c>
      <c r="D4" s="10">
        <v>-1.6</v>
      </c>
      <c r="E4" s="10">
        <v>-2.3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59"/>
      <c r="Q4" s="83"/>
      <c r="R4" s="83"/>
      <c r="S4" s="83"/>
      <c r="T4" s="83"/>
      <c r="U4" s="83"/>
      <c r="V4" s="84"/>
      <c r="W4" s="84"/>
      <c r="X4" s="84"/>
      <c r="Y4" s="84"/>
    </row>
    <row r="5" ht="1.95" customHeight="1" spans="16:21">
      <c r="P5" s="12"/>
      <c r="Q5" s="82"/>
      <c r="R5" s="82"/>
      <c r="S5" s="82"/>
      <c r="T5" s="82"/>
      <c r="U5" s="82"/>
    </row>
    <row r="6" s="13" customFormat="1" ht="24.6" customHeight="1" spans="1:25">
      <c r="A6" s="20" t="s">
        <v>15</v>
      </c>
      <c r="B6" s="20">
        <v>0</v>
      </c>
      <c r="C6" s="24" t="s">
        <v>16</v>
      </c>
      <c r="D6" s="23" t="s">
        <v>17</v>
      </c>
      <c r="E6" s="23" t="s">
        <v>18</v>
      </c>
      <c r="F6" s="10" t="s">
        <v>19</v>
      </c>
      <c r="G6" s="10" t="s">
        <v>20</v>
      </c>
      <c r="H6" s="10" t="s">
        <v>21</v>
      </c>
      <c r="I6" s="10" t="s">
        <v>22</v>
      </c>
      <c r="J6" s="10" t="s">
        <v>23</v>
      </c>
      <c r="K6" s="10" t="s">
        <v>24</v>
      </c>
      <c r="L6" s="10" t="s">
        <v>25</v>
      </c>
      <c r="M6" s="10" t="s">
        <v>26</v>
      </c>
      <c r="N6" s="10" t="s">
        <v>27</v>
      </c>
      <c r="O6" s="10" t="s">
        <v>28</v>
      </c>
      <c r="P6" s="59"/>
      <c r="Q6" s="83"/>
      <c r="R6" s="83"/>
      <c r="S6" s="83"/>
      <c r="T6" s="83"/>
      <c r="U6" s="83"/>
      <c r="V6" s="84"/>
      <c r="W6" s="84"/>
      <c r="X6" s="84"/>
      <c r="Y6" s="84"/>
    </row>
    <row r="7" s="13" customFormat="1" ht="24.6" customHeight="1" spans="1:25">
      <c r="A7" s="20"/>
      <c r="B7" s="20"/>
      <c r="C7" s="24">
        <v>0</v>
      </c>
      <c r="D7" s="10">
        <v>1</v>
      </c>
      <c r="E7" s="10">
        <v>1.5</v>
      </c>
      <c r="F7" s="10">
        <v>2.5</v>
      </c>
      <c r="G7" s="10">
        <v>-4.3</v>
      </c>
      <c r="H7" s="10">
        <f>-4.3+1.5</f>
        <v>-2.8</v>
      </c>
      <c r="I7" s="10"/>
      <c r="J7" s="10"/>
      <c r="K7" s="10"/>
      <c r="L7" s="10"/>
      <c r="M7" s="10"/>
      <c r="N7" s="10"/>
      <c r="O7" s="10"/>
      <c r="P7" s="59"/>
      <c r="Q7" s="83"/>
      <c r="R7" s="83"/>
      <c r="S7" s="83"/>
      <c r="T7" s="83"/>
      <c r="U7" s="83"/>
      <c r="V7" s="84"/>
      <c r="W7" s="84"/>
      <c r="X7" s="84"/>
      <c r="Y7" s="84"/>
    </row>
    <row r="8" ht="1.95" customHeight="1" spans="16:21">
      <c r="P8" s="12"/>
      <c r="Q8" s="82"/>
      <c r="R8" s="82"/>
      <c r="S8" s="82"/>
      <c r="T8" s="82"/>
      <c r="U8" s="82"/>
    </row>
    <row r="9" s="13" customFormat="1" ht="22.2" customHeight="1" spans="1:25">
      <c r="A9" s="20" t="s">
        <v>29</v>
      </c>
      <c r="B9" s="20">
        <v>4.3</v>
      </c>
      <c r="C9" s="144" t="s">
        <v>30</v>
      </c>
      <c r="D9" s="121" t="s">
        <v>31</v>
      </c>
      <c r="E9" s="121" t="s">
        <v>32</v>
      </c>
      <c r="F9" s="121" t="s">
        <v>33</v>
      </c>
      <c r="G9" s="121" t="s">
        <v>34</v>
      </c>
      <c r="H9" s="121" t="s">
        <v>35</v>
      </c>
      <c r="I9" s="121" t="s">
        <v>36</v>
      </c>
      <c r="J9" s="121" t="s">
        <v>37</v>
      </c>
      <c r="K9" s="121" t="s">
        <v>38</v>
      </c>
      <c r="L9" s="121" t="s">
        <v>39</v>
      </c>
      <c r="M9" s="10" t="s">
        <v>40</v>
      </c>
      <c r="N9" s="10" t="s">
        <v>41</v>
      </c>
      <c r="O9" s="10" t="s">
        <v>42</v>
      </c>
      <c r="P9" s="84"/>
      <c r="Q9" s="84"/>
      <c r="R9" s="84"/>
      <c r="S9" s="84"/>
      <c r="T9" s="84"/>
      <c r="U9" s="84"/>
      <c r="V9" s="84"/>
      <c r="W9" s="84"/>
      <c r="X9" s="84"/>
      <c r="Y9" s="84"/>
    </row>
    <row r="10" s="13" customFormat="1" ht="22.2" customHeight="1" spans="1:25">
      <c r="A10" s="20"/>
      <c r="B10" s="20"/>
      <c r="C10" s="130">
        <v>4.3</v>
      </c>
      <c r="D10" s="131">
        <v>5</v>
      </c>
      <c r="E10" s="121">
        <v>-0.8</v>
      </c>
      <c r="F10" s="121">
        <v>4</v>
      </c>
      <c r="G10" s="121">
        <v>1.2</v>
      </c>
      <c r="H10" s="121">
        <v>2.5</v>
      </c>
      <c r="I10" s="121">
        <v>4.8</v>
      </c>
      <c r="J10" s="121">
        <v>3.2</v>
      </c>
      <c r="K10" s="121">
        <v>-0.8</v>
      </c>
      <c r="L10" s="121">
        <v>2.6</v>
      </c>
      <c r="M10" s="117"/>
      <c r="N10" s="25"/>
      <c r="O10" s="10"/>
      <c r="P10" s="84"/>
      <c r="Q10" s="84"/>
      <c r="R10" s="84"/>
      <c r="S10" s="84"/>
      <c r="T10" s="84"/>
      <c r="U10" s="84"/>
      <c r="V10" s="84"/>
      <c r="W10" s="84"/>
      <c r="X10" s="84"/>
      <c r="Y10" s="84"/>
    </row>
    <row r="11" ht="1.95" customHeight="1" spans="16:21">
      <c r="P11" s="12"/>
      <c r="Q11" s="82"/>
      <c r="R11" s="82"/>
      <c r="S11" s="82"/>
      <c r="T11" s="82"/>
      <c r="U11" s="82"/>
    </row>
    <row r="12" s="13" customFormat="1" ht="25.2" customHeight="1" spans="1:25">
      <c r="A12" s="20" t="s">
        <v>43</v>
      </c>
      <c r="B12" s="20">
        <v>0</v>
      </c>
      <c r="C12" s="22" t="s">
        <v>44</v>
      </c>
      <c r="D12" s="23" t="s">
        <v>45</v>
      </c>
      <c r="E12" s="10" t="s">
        <v>46</v>
      </c>
      <c r="F12" s="10" t="s">
        <v>5</v>
      </c>
      <c r="G12" s="10" t="s">
        <v>6</v>
      </c>
      <c r="H12" s="10" t="s">
        <v>7</v>
      </c>
      <c r="I12" s="10" t="s">
        <v>8</v>
      </c>
      <c r="J12" s="10" t="s">
        <v>9</v>
      </c>
      <c r="K12" s="10" t="s">
        <v>10</v>
      </c>
      <c r="L12" s="10" t="s">
        <v>11</v>
      </c>
      <c r="M12" s="10" t="s">
        <v>12</v>
      </c>
      <c r="N12" s="10" t="s">
        <v>13</v>
      </c>
      <c r="O12" s="10" t="s">
        <v>14</v>
      </c>
      <c r="P12" s="145"/>
      <c r="Q12" s="83"/>
      <c r="R12" s="83"/>
      <c r="S12" s="83"/>
      <c r="T12" s="83"/>
      <c r="U12" s="83"/>
      <c r="V12" s="84"/>
      <c r="W12" s="84"/>
      <c r="X12" s="84"/>
      <c r="Y12" s="84"/>
    </row>
    <row r="13" s="13" customFormat="1" ht="21.9" customHeight="1" spans="1:25">
      <c r="A13" s="20"/>
      <c r="B13" s="20"/>
      <c r="C13" s="21">
        <v>0</v>
      </c>
      <c r="D13" s="10">
        <v>-2.1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59"/>
      <c r="Q13" s="83"/>
      <c r="R13" s="83"/>
      <c r="S13" s="83"/>
      <c r="T13" s="83"/>
      <c r="U13" s="83"/>
      <c r="V13" s="84"/>
      <c r="W13" s="84"/>
      <c r="X13" s="84"/>
      <c r="Y13" s="84"/>
    </row>
    <row r="14" s="13" customFormat="1" ht="21.9" customHeight="1" spans="1:25">
      <c r="A14" s="20" t="s">
        <v>47</v>
      </c>
      <c r="B14" s="20">
        <v>33472</v>
      </c>
      <c r="C14" s="21">
        <v>33472</v>
      </c>
      <c r="D14" s="10">
        <v>33320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59"/>
      <c r="Q14" s="83"/>
      <c r="R14" s="83"/>
      <c r="S14" s="83"/>
      <c r="T14" s="83"/>
      <c r="U14" s="83"/>
      <c r="V14" s="84"/>
      <c r="W14" s="84"/>
      <c r="X14" s="84"/>
      <c r="Y14" s="84"/>
    </row>
    <row r="15" s="13" customFormat="1" ht="21.9" customHeight="1" spans="1:25">
      <c r="A15" s="20" t="s">
        <v>48</v>
      </c>
      <c r="B15" s="20">
        <v>1.7</v>
      </c>
      <c r="C15" s="21">
        <v>1.7</v>
      </c>
      <c r="D15" s="10">
        <v>1.6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9"/>
      <c r="Q15" s="83"/>
      <c r="R15" s="83"/>
      <c r="S15" s="83"/>
      <c r="T15" s="83"/>
      <c r="U15" s="83"/>
      <c r="V15" s="84"/>
      <c r="W15" s="84"/>
      <c r="X15" s="84"/>
      <c r="Y15" s="84"/>
    </row>
    <row r="16" ht="1.95" customHeight="1" spans="16:21">
      <c r="P16" s="12"/>
      <c r="Q16" s="82"/>
      <c r="R16" s="82"/>
      <c r="S16" s="82"/>
      <c r="T16" s="82"/>
      <c r="U16" s="82"/>
    </row>
    <row r="17" s="13" customFormat="1" ht="36" customHeight="1" spans="1:29">
      <c r="A17" s="20" t="s">
        <v>49</v>
      </c>
      <c r="B17" s="27">
        <v>0</v>
      </c>
      <c r="C17" s="102" t="s">
        <v>50</v>
      </c>
      <c r="D17" s="29" t="s">
        <v>51</v>
      </c>
      <c r="E17" s="29" t="s">
        <v>52</v>
      </c>
      <c r="F17" s="29" t="s">
        <v>53</v>
      </c>
      <c r="G17" s="29" t="s">
        <v>54</v>
      </c>
      <c r="H17" s="29" t="s">
        <v>55</v>
      </c>
      <c r="I17" s="29" t="s">
        <v>56</v>
      </c>
      <c r="J17" s="29" t="s">
        <v>57</v>
      </c>
      <c r="K17" s="10" t="s">
        <v>10</v>
      </c>
      <c r="L17" s="10" t="s">
        <v>11</v>
      </c>
      <c r="M17" s="10" t="s">
        <v>12</v>
      </c>
      <c r="N17" s="10" t="s">
        <v>13</v>
      </c>
      <c r="O17" s="10" t="s">
        <v>14</v>
      </c>
      <c r="P17" s="84"/>
      <c r="Q17" s="84"/>
      <c r="R17" s="84"/>
      <c r="S17" s="84"/>
      <c r="T17" s="84"/>
      <c r="U17" s="84"/>
      <c r="V17" s="146"/>
      <c r="W17" s="146"/>
      <c r="X17" s="146"/>
      <c r="Y17" s="146"/>
      <c r="Z17" s="146"/>
      <c r="AA17" s="146"/>
      <c r="AB17" s="146"/>
      <c r="AC17" s="146"/>
    </row>
    <row r="18" s="13" customFormat="1" ht="21.9" customHeight="1" spans="1:29">
      <c r="A18" s="20"/>
      <c r="B18" s="30"/>
      <c r="C18" s="21">
        <v>0</v>
      </c>
      <c r="D18" s="10">
        <v>-0.1</v>
      </c>
      <c r="E18" s="10">
        <v>-1.8</v>
      </c>
      <c r="F18" s="10">
        <v>-2.2</v>
      </c>
      <c r="G18" s="10">
        <v>0.2</v>
      </c>
      <c r="H18" s="10">
        <v>0.1</v>
      </c>
      <c r="I18" s="10">
        <v>-1.2</v>
      </c>
      <c r="J18" s="10">
        <v>-1.4</v>
      </c>
      <c r="K18" s="10"/>
      <c r="L18" s="10"/>
      <c r="M18" s="10"/>
      <c r="N18" s="10"/>
      <c r="O18" s="10"/>
      <c r="P18" s="84"/>
      <c r="Q18" s="84"/>
      <c r="R18" s="84"/>
      <c r="S18" s="84"/>
      <c r="T18" s="84"/>
      <c r="U18" s="84"/>
      <c r="V18" s="87"/>
      <c r="W18" s="87"/>
      <c r="X18" s="87"/>
      <c r="Y18" s="87"/>
      <c r="Z18" s="87"/>
      <c r="AA18" s="87"/>
      <c r="AB18" s="87"/>
      <c r="AC18" s="87"/>
    </row>
    <row r="19" ht="2.1" customHeight="1" spans="16:21">
      <c r="P19" s="12"/>
      <c r="Q19" s="82"/>
      <c r="R19" s="82"/>
      <c r="S19" s="82"/>
      <c r="T19" s="82"/>
      <c r="U19" s="82"/>
    </row>
    <row r="20" s="13" customFormat="1" ht="34.8" customHeight="1" spans="1:25">
      <c r="A20" s="20" t="s">
        <v>58</v>
      </c>
      <c r="B20" s="20">
        <v>0</v>
      </c>
      <c r="C20" s="32" t="s">
        <v>59</v>
      </c>
      <c r="D20" s="23" t="s">
        <v>60</v>
      </c>
      <c r="E20" s="23" t="s">
        <v>61</v>
      </c>
      <c r="F20" s="23" t="s">
        <v>62</v>
      </c>
      <c r="G20" s="23" t="s">
        <v>63</v>
      </c>
      <c r="H20" s="23" t="s">
        <v>64</v>
      </c>
      <c r="I20" s="23" t="s">
        <v>65</v>
      </c>
      <c r="J20" s="23" t="s">
        <v>66</v>
      </c>
      <c r="K20" s="23" t="s">
        <v>67</v>
      </c>
      <c r="L20" s="23" t="s">
        <v>68</v>
      </c>
      <c r="M20" s="23" t="s">
        <v>69</v>
      </c>
      <c r="N20" s="23" t="s">
        <v>70</v>
      </c>
      <c r="O20" s="23" t="s">
        <v>71</v>
      </c>
      <c r="P20" s="83"/>
      <c r="Q20" s="83"/>
      <c r="R20" s="84"/>
      <c r="S20" s="84"/>
      <c r="T20" s="84"/>
      <c r="U20" s="84"/>
      <c r="V20" s="84"/>
      <c r="W20" s="84"/>
      <c r="X20" s="84"/>
      <c r="Y20" s="84"/>
    </row>
    <row r="21" s="13" customFormat="1" ht="21.6" customHeight="1" spans="1:25">
      <c r="A21" s="20"/>
      <c r="B21" s="20"/>
      <c r="C21" s="24">
        <v>0</v>
      </c>
      <c r="D21" s="10">
        <v>0.3</v>
      </c>
      <c r="E21" s="10">
        <v>0.7</v>
      </c>
      <c r="F21" s="10">
        <v>0.9</v>
      </c>
      <c r="G21" s="10">
        <v>1.2</v>
      </c>
      <c r="H21" s="10">
        <v>0.1</v>
      </c>
      <c r="I21" s="10">
        <v>0.3</v>
      </c>
      <c r="J21" s="10"/>
      <c r="K21" s="10"/>
      <c r="L21" s="10"/>
      <c r="M21" s="10"/>
      <c r="N21" s="10"/>
      <c r="O21" s="10"/>
      <c r="P21" s="86"/>
      <c r="Q21" s="86"/>
      <c r="R21" s="147"/>
      <c r="S21" s="84"/>
      <c r="T21" s="84"/>
      <c r="U21" s="84"/>
      <c r="V21" s="84"/>
      <c r="W21" s="84"/>
      <c r="X21" s="84"/>
      <c r="Y21" s="84"/>
    </row>
    <row r="22" ht="2.1" customHeight="1" spans="16:21">
      <c r="P22" s="12"/>
      <c r="Q22" s="82"/>
      <c r="R22" s="82"/>
      <c r="S22" s="82"/>
      <c r="T22" s="82"/>
      <c r="U22" s="82"/>
    </row>
    <row r="23" s="13" customFormat="1" ht="21.6" hidden="1" customHeight="1" spans="1:25">
      <c r="A23" s="20" t="s">
        <v>72</v>
      </c>
      <c r="B23" s="20"/>
      <c r="C23" s="22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84"/>
      <c r="Q23" s="83"/>
      <c r="R23" s="83"/>
      <c r="S23" s="83"/>
      <c r="T23" s="83"/>
      <c r="U23" s="83"/>
      <c r="V23" s="84"/>
      <c r="W23" s="84"/>
      <c r="X23" s="84"/>
      <c r="Y23" s="84"/>
    </row>
    <row r="24" s="13" customFormat="1" ht="21.6" hidden="1" customHeight="1" spans="1:25">
      <c r="A24" s="20"/>
      <c r="B24" s="20"/>
      <c r="C24" s="21"/>
      <c r="D24" s="10"/>
      <c r="E24" s="10"/>
      <c r="F24" s="10"/>
      <c r="G24" s="31"/>
      <c r="H24" s="31"/>
      <c r="I24" s="10"/>
      <c r="J24" s="10"/>
      <c r="K24" s="10"/>
      <c r="L24" s="10"/>
      <c r="M24" s="10"/>
      <c r="N24" s="10"/>
      <c r="O24" s="10"/>
      <c r="P24" s="64"/>
      <c r="Q24" s="88"/>
      <c r="R24" s="88"/>
      <c r="S24" s="88"/>
      <c r="T24" s="88"/>
      <c r="U24" s="88"/>
      <c r="V24" s="84"/>
      <c r="W24" s="84"/>
      <c r="X24" s="84"/>
      <c r="Y24" s="84"/>
    </row>
    <row r="25" ht="2.1" customHeight="1" spans="16:21">
      <c r="P25" s="12"/>
      <c r="Q25" s="82"/>
      <c r="R25" s="82"/>
      <c r="S25" s="82"/>
      <c r="T25" s="82"/>
      <c r="U25" s="82"/>
    </row>
    <row r="26" s="13" customFormat="1" ht="21.6" customHeight="1" spans="1:25">
      <c r="A26" s="20" t="s">
        <v>73</v>
      </c>
      <c r="B26" s="20">
        <v>2</v>
      </c>
      <c r="C26" s="32" t="s">
        <v>74</v>
      </c>
      <c r="D26" s="23" t="s">
        <v>75</v>
      </c>
      <c r="E26" s="23" t="s">
        <v>76</v>
      </c>
      <c r="F26" s="23" t="s">
        <v>77</v>
      </c>
      <c r="G26" s="23" t="s">
        <v>78</v>
      </c>
      <c r="H26" s="23" t="s">
        <v>79</v>
      </c>
      <c r="I26" s="23" t="s">
        <v>80</v>
      </c>
      <c r="J26" s="23" t="s">
        <v>81</v>
      </c>
      <c r="K26" s="23" t="s">
        <v>82</v>
      </c>
      <c r="L26" s="23" t="s">
        <v>83</v>
      </c>
      <c r="M26" s="23" t="s">
        <v>84</v>
      </c>
      <c r="N26" s="23" t="s">
        <v>85</v>
      </c>
      <c r="O26" s="23" t="s">
        <v>86</v>
      </c>
      <c r="P26" s="84"/>
      <c r="Q26" s="84"/>
      <c r="R26" s="83"/>
      <c r="S26" s="83"/>
      <c r="T26" s="83"/>
      <c r="U26" s="83"/>
      <c r="V26" s="84"/>
      <c r="W26" s="84"/>
      <c r="X26" s="84"/>
      <c r="Y26" s="84"/>
    </row>
    <row r="27" s="13" customFormat="1" ht="21.6" customHeight="1" spans="1:25">
      <c r="A27" s="20"/>
      <c r="B27" s="20"/>
      <c r="C27" s="33">
        <v>2</v>
      </c>
      <c r="D27" s="34">
        <v>0</v>
      </c>
      <c r="E27" s="34">
        <v>-2.5</v>
      </c>
      <c r="F27" s="35"/>
      <c r="G27" s="35"/>
      <c r="H27" s="35"/>
      <c r="I27" s="34"/>
      <c r="J27" s="34"/>
      <c r="K27" s="34"/>
      <c r="L27" s="34"/>
      <c r="M27" s="34"/>
      <c r="N27" s="34"/>
      <c r="O27" s="34"/>
      <c r="P27" s="64"/>
      <c r="Q27" s="88"/>
      <c r="R27" s="88"/>
      <c r="S27" s="88"/>
      <c r="T27" s="88"/>
      <c r="U27" s="88"/>
      <c r="V27" s="84"/>
      <c r="W27" s="84"/>
      <c r="X27" s="84"/>
      <c r="Y27" s="84"/>
    </row>
    <row r="28" s="14" customFormat="1" ht="22.2" customHeight="1" spans="1:21">
      <c r="A28" s="36" t="s">
        <v>87</v>
      </c>
      <c r="B28" s="36" t="s">
        <v>88</v>
      </c>
      <c r="C28" s="36" t="s">
        <v>89</v>
      </c>
      <c r="D28" s="36" t="s">
        <v>90</v>
      </c>
      <c r="E28" s="36">
        <v>33081</v>
      </c>
      <c r="F28" s="36" t="s">
        <v>91</v>
      </c>
      <c r="G28" s="36" t="s">
        <v>92</v>
      </c>
      <c r="H28" s="36" t="s">
        <v>93</v>
      </c>
      <c r="I28" s="36" t="s">
        <v>94</v>
      </c>
      <c r="J28" s="66" t="s">
        <v>95</v>
      </c>
      <c r="K28" s="67">
        <v>575</v>
      </c>
      <c r="L28" s="67">
        <v>580</v>
      </c>
      <c r="M28" s="67">
        <v>585</v>
      </c>
      <c r="N28" s="67">
        <v>590</v>
      </c>
      <c r="O28" s="67">
        <v>595</v>
      </c>
      <c r="P28" s="67">
        <v>600</v>
      </c>
      <c r="Q28" s="67">
        <v>605</v>
      </c>
      <c r="R28" s="67">
        <v>610</v>
      </c>
      <c r="S28" s="67">
        <v>615</v>
      </c>
      <c r="T28" s="67">
        <v>620</v>
      </c>
      <c r="U28" s="89" t="s">
        <v>96</v>
      </c>
    </row>
    <row r="29" s="13" customFormat="1" ht="18" customHeight="1" spans="1:21">
      <c r="A29" s="37" t="s">
        <v>97</v>
      </c>
      <c r="B29" s="37" t="s">
        <v>98</v>
      </c>
      <c r="C29" s="119">
        <v>0.247</v>
      </c>
      <c r="D29" s="39"/>
      <c r="E29" s="40">
        <v>33472</v>
      </c>
      <c r="F29" s="41">
        <f t="shared" ref="F29:F48" si="0">C29*E29/1000</f>
        <v>8.267584</v>
      </c>
      <c r="G29" s="41">
        <f>F29*72</f>
        <v>595.266048</v>
      </c>
      <c r="H29" s="42">
        <f>I29/G29</f>
        <v>0.985054776016286</v>
      </c>
      <c r="I29" s="68">
        <f>G29*(H30+0.15%)</f>
        <v>586.36966358274</v>
      </c>
      <c r="J29" s="68"/>
      <c r="K29" s="69">
        <f>(NORMSDIST((I29-$K$28)/B15)-NORMSDIST((I29-$L$28)/B15))</f>
        <v>8.95306343460245e-5</v>
      </c>
      <c r="L29" s="69">
        <f>(NORMSDIST((I29-$L$28)/B15)-NORMSDIST((I29-$M$28)/B15))</f>
        <v>0.210122875268249</v>
      </c>
      <c r="M29" s="70">
        <f>(NORMSDIST((I29-$M$28)/B15)-NORMSDIST((I29-$N$28)/B15))</f>
        <v>0.773427173017784</v>
      </c>
      <c r="N29" s="70">
        <f>(NORMSDIST((I29-$N$28)/B15)-NORMSDIST((I29-$O$28)/B15))</f>
        <v>0.0163602290132085</v>
      </c>
      <c r="O29" s="70">
        <f>(NORMSDIST((I29-$O$28)/B15)-NORMSDIST((I29-$P$28)/B15))</f>
        <v>1.92055102403284e-7</v>
      </c>
      <c r="P29" s="70">
        <f>(NORMSDIST((I29-$P$28)/B15)-NORMSDIST((I29-$Q$28)/B15))</f>
        <v>5.38082638676586e-16</v>
      </c>
      <c r="Q29" s="70">
        <f>(NORMSDIST((I29-$Q$28)/B15)-NORMSDIST((I29-$R$28)/B15))</f>
        <v>3.00731011166684e-28</v>
      </c>
      <c r="R29" s="70">
        <f>(NORMSDIST((I29-$R$28)/B15)-NORMSDIST((I29-$S$28)/B15))</f>
        <v>3.15832399296944e-44</v>
      </c>
      <c r="S29" s="70">
        <f>(NORMSDIST((I29-$S$28)/B15)-NORMSDIST((I29-$T$28)/B15))</f>
        <v>6.06920990922853e-64</v>
      </c>
      <c r="T29" s="70"/>
      <c r="U29" s="90">
        <f t="shared" ref="U29:U48" si="1">SUM(K29:T29)</f>
        <v>0.99999999998869</v>
      </c>
    </row>
    <row r="30" s="13" customFormat="1" ht="18" customHeight="1" spans="1:21">
      <c r="A30" s="43"/>
      <c r="B30" s="43"/>
      <c r="C30" s="38">
        <f t="shared" ref="C30:C48" si="2">C29+0.1%</f>
        <v>0.248</v>
      </c>
      <c r="D30" s="44"/>
      <c r="E30" s="40">
        <v>33472</v>
      </c>
      <c r="F30" s="41">
        <f t="shared" si="0"/>
        <v>8.301056</v>
      </c>
      <c r="G30" s="41">
        <f t="shared" ref="G30:G48" si="3">F30*72</f>
        <v>597.676032</v>
      </c>
      <c r="H30" s="42">
        <f t="shared" ref="H30:H48" si="4">I30/G30</f>
        <v>0.983554776016286</v>
      </c>
      <c r="I30" s="68">
        <f t="shared" ref="I30:I35" si="5">G30*(H31+0.15%)</f>
        <v>587.847115784063</v>
      </c>
      <c r="J30" s="68"/>
      <c r="K30" s="69">
        <f>(NORMSDIST((I30-$K$28)/B15)-NORMSDIST((I30-$L$28)/B15))</f>
        <v>1.95650141610049e-6</v>
      </c>
      <c r="L30" s="69">
        <f>(NORMSDIST((I30-$L$28)/B15)-NORMSDIST((I30-$M$28)/B15))</f>
        <v>0.046987335420314</v>
      </c>
      <c r="M30" s="70">
        <f>(NORMSDIST((I30-$M$28)/B15)-NORMSDIST((I30-$N$28)/B15))</f>
        <v>0.850326196324179</v>
      </c>
      <c r="N30" s="70">
        <f>(NORMSDIST((I30-$N$28)/B15)-NORMSDIST((I30-$O$28)/B15))</f>
        <v>0.102671605692309</v>
      </c>
      <c r="O30" s="70">
        <f>(NORMSDIST((I30-$O$28)/B15)-NORMSDIST((I30-$P$28)/B15))</f>
        <v>1.29060613230658e-5</v>
      </c>
      <c r="P30" s="70">
        <f>(NORMSDIST((I30-$P$28)/B15)-NORMSDIST((I30-$Q$28)/B15))</f>
        <v>4.37840951137301e-13</v>
      </c>
      <c r="Q30" s="70">
        <f>(NORMSDIST((I30-$Q$28)/B15)-NORMSDIST((I30-$R$28)/B15))</f>
        <v>3.06059873572499e-24</v>
      </c>
      <c r="R30" s="70">
        <f>(NORMSDIST((I30-$R$28)/B15)-NORMSDIST((I30-$S$28)/B15))</f>
        <v>4.07081574194819e-39</v>
      </c>
      <c r="S30" s="70">
        <f>(NORMSDIST((I30-$S$28)/B15)-NORMSDIST((I30-$T$28)/B15))</f>
        <v>9.96738555235818e-58</v>
      </c>
      <c r="T30" s="70"/>
      <c r="U30" s="90">
        <f t="shared" si="1"/>
        <v>0.999999999999979</v>
      </c>
    </row>
    <row r="31" s="13" customFormat="1" ht="18" customHeight="1" spans="1:21">
      <c r="A31" s="43"/>
      <c r="B31" s="43"/>
      <c r="C31" s="38">
        <f t="shared" si="2"/>
        <v>0.249</v>
      </c>
      <c r="D31" s="45"/>
      <c r="E31" s="40">
        <v>33472</v>
      </c>
      <c r="F31" s="41">
        <f t="shared" si="0"/>
        <v>8.334528</v>
      </c>
      <c r="G31" s="41">
        <f t="shared" si="3"/>
        <v>600.086016</v>
      </c>
      <c r="H31" s="42">
        <f t="shared" si="4"/>
        <v>0.982054776016286</v>
      </c>
      <c r="I31" s="68">
        <f t="shared" si="5"/>
        <v>589.317338033386</v>
      </c>
      <c r="J31" s="71"/>
      <c r="K31" s="69">
        <f>(NORMSDIST((I31-$K$28)/B15)-NORMSDIST((I31-$L$28)/B15))</f>
        <v>2.11718914622239e-8</v>
      </c>
      <c r="L31" s="69">
        <f>(NORMSDIST((I31-$L$28)/B15)-NORMSDIST((I31-$M$28)/B15))</f>
        <v>0.00554877624622407</v>
      </c>
      <c r="M31" s="70">
        <f>(NORMSDIST((I31-$M$28)/B15)-NORMSDIST((I31-$N$28)/B15))</f>
        <v>0.650449423881602</v>
      </c>
      <c r="N31" s="72">
        <f>(NORMSDIST((I31-$N$28)/B15)-NORMSDIST((I31-$O$28)/B15))</f>
        <v>0.343587004260053</v>
      </c>
      <c r="O31" s="72">
        <f>(NORMSDIST((I31-$O$28)/B15)-NORMSDIST((I31-$P$28)/B15))</f>
        <v>0.000414774275157913</v>
      </c>
      <c r="P31" s="70">
        <f>(NORMSDIST((I31-$P$28)/B15)-NORMSDIST((I31-$Q$28)/B15))</f>
        <v>1.65071591183722e-10</v>
      </c>
      <c r="Q31" s="70">
        <f>(NORMSDIST((I31-$Q$28)/B15)-NORMSDIST((I31-$R$28)/B15))</f>
        <v>1.41654462570441e-20</v>
      </c>
      <c r="R31" s="70">
        <f>(NORMSDIST((I31-$R$28)/B15)-NORMSDIST((I31-$S$28)/B15))</f>
        <v>2.35033431128331e-34</v>
      </c>
      <c r="S31" s="70">
        <f>(NORMSDIST((I31-$S$28)/B15)-NORMSDIST((I31-$T$28)/B15))</f>
        <v>7.23165678499991e-52</v>
      </c>
      <c r="T31" s="70"/>
      <c r="U31" s="90">
        <f t="shared" si="1"/>
        <v>1</v>
      </c>
    </row>
    <row r="32" s="15" customFormat="1" ht="18" customHeight="1" spans="1:21">
      <c r="A32" s="43"/>
      <c r="B32" s="43"/>
      <c r="C32" s="38">
        <f t="shared" si="2"/>
        <v>0.25</v>
      </c>
      <c r="D32" s="45"/>
      <c r="E32" s="40">
        <v>33472</v>
      </c>
      <c r="F32" s="46">
        <f t="shared" si="0"/>
        <v>8.368</v>
      </c>
      <c r="G32" s="41">
        <f t="shared" si="3"/>
        <v>602.496</v>
      </c>
      <c r="H32" s="47">
        <f t="shared" si="4"/>
        <v>0.980554776016287</v>
      </c>
      <c r="I32" s="68">
        <f t="shared" si="5"/>
        <v>590.780330330709</v>
      </c>
      <c r="J32" s="73"/>
      <c r="K32" s="74">
        <f>(NORMSDIST((I32-$K$28)/B15)-NORMSDIST((I32-$L$28)/B15))</f>
        <v>1.13864806472463e-10</v>
      </c>
      <c r="L32" s="74">
        <f>(NORMSDIST((I32-$L$28)/B15)-NORMSDIST((I32-$M$28)/B15))</f>
        <v>0.000336689795694234</v>
      </c>
      <c r="M32" s="74">
        <f>(NORMSDIST((I32-$M$28)/B15)-NORMSDIST((I32-$N$28)/B15))</f>
        <v>0.322773987038102</v>
      </c>
      <c r="N32" s="74">
        <f>(NORMSDIST((I32-$N$28)/B15)-NORMSDIST((I32-$O$28)/B15))</f>
        <v>0.67035986671835</v>
      </c>
      <c r="O32" s="74">
        <f>(NORMSDIST((I32-$O$28)/B15)-NORMSDIST((I32-$P$28)/B15))</f>
        <v>0.00652942708539858</v>
      </c>
      <c r="P32" s="74">
        <f>(NORMSDIST((I32-$P$28)/B15)-NORMSDIST((I32-$Q$28)/B15))</f>
        <v>2.9248590031386e-8</v>
      </c>
      <c r="Q32" s="74">
        <f>(NORMSDIST((I32-$Q$28)/B15)-NORMSDIST((I32-$R$28)/B15))</f>
        <v>3.01822320684792e-17</v>
      </c>
      <c r="R32" s="74">
        <f>(NORMSDIST((I32-$R$28)/B15)-NORMSDIST((I32-$S$28)/B15))</f>
        <v>6.14931743160794e-30</v>
      </c>
      <c r="S32" s="70">
        <f>(NORMSDIST((I32-$S$28)/B15)-NORMSDIST((I32-$T$28)/B15))</f>
        <v>2.34432424319155e-46</v>
      </c>
      <c r="T32" s="70"/>
      <c r="U32" s="90">
        <f t="shared" si="1"/>
        <v>1</v>
      </c>
    </row>
    <row r="33" s="13" customFormat="1" ht="18" customHeight="1" spans="1:21">
      <c r="A33" s="43"/>
      <c r="B33" s="43"/>
      <c r="C33" s="38">
        <f t="shared" si="2"/>
        <v>0.251</v>
      </c>
      <c r="D33" s="49"/>
      <c r="E33" s="40">
        <v>33472</v>
      </c>
      <c r="F33" s="41">
        <f t="shared" si="0"/>
        <v>8.401472</v>
      </c>
      <c r="G33" s="41">
        <f t="shared" si="3"/>
        <v>604.905984</v>
      </c>
      <c r="H33" s="42">
        <f t="shared" si="4"/>
        <v>0.979054776016287</v>
      </c>
      <c r="I33" s="68">
        <f t="shared" si="5"/>
        <v>592.236092676031</v>
      </c>
      <c r="J33" s="73"/>
      <c r="K33" s="69">
        <f>(NORMSDIST((I33-$K$28)/B15)-NORMSDIST((I33-$L$28)/B15))</f>
        <v>3.06199510191618e-13</v>
      </c>
      <c r="L33" s="69">
        <f>(NORMSDIST((I33-$L$28)/B15)-NORMSDIST((I33-$M$28)/B15))</f>
        <v>1.03814363486832e-5</v>
      </c>
      <c r="M33" s="70">
        <f>(NORMSDIST((I33-$M$28)/B15)-NORMSDIST((I33-$N$28)/B15))</f>
        <v>0.0941859988182611</v>
      </c>
      <c r="N33" s="70">
        <f>(NORMSDIST((I33-$N$28)/B15)-NORMSDIST((I33-$O$28)/B15))</f>
        <v>0.853810477411153</v>
      </c>
      <c r="O33" s="70">
        <f>(NORMSDIST((I33-$O$28)/B15)-NORMSDIST((I33-$P$28)/B15))</f>
        <v>0.051990668614698</v>
      </c>
      <c r="P33" s="70">
        <f>(NORMSDIST((I33-$P$28)/B15)-NORMSDIST((I33-$Q$28)/B15))</f>
        <v>2.47371920260241e-6</v>
      </c>
      <c r="Q33" s="70">
        <f>(NORMSDIST((I33-$Q$28)/B15)-NORMSDIST((I33-$R$28)/B15))</f>
        <v>2.99773375724566e-14</v>
      </c>
      <c r="R33" s="70">
        <f>(NORMSDIST((I33-$R$28)/B15)-NORMSDIST((I33-$S$28)/B15))</f>
        <v>7.37607989074986e-26</v>
      </c>
      <c r="S33" s="70">
        <f>(NORMSDIST((I33-$S$28)/B15)-NORMSDIST((I33-$T$28)/B15))</f>
        <v>3.43426957971402e-41</v>
      </c>
      <c r="T33" s="70"/>
      <c r="U33" s="90">
        <f t="shared" si="1"/>
        <v>1</v>
      </c>
    </row>
    <row r="34" s="13" customFormat="1" ht="18" customHeight="1" spans="1:21">
      <c r="A34" s="43"/>
      <c r="B34" s="43"/>
      <c r="C34" s="38">
        <f t="shared" si="2"/>
        <v>0.252</v>
      </c>
      <c r="D34" s="49"/>
      <c r="E34" s="40">
        <v>33472</v>
      </c>
      <c r="F34" s="41">
        <f t="shared" si="0"/>
        <v>8.434944</v>
      </c>
      <c r="G34" s="41">
        <f t="shared" si="3"/>
        <v>607.315968</v>
      </c>
      <c r="H34" s="42">
        <f t="shared" si="4"/>
        <v>0.977554776016286</v>
      </c>
      <c r="I34" s="68">
        <f t="shared" si="5"/>
        <v>593.684625069354</v>
      </c>
      <c r="J34" s="75"/>
      <c r="K34" s="69">
        <f>(NORMSDIST((I34-$K$28)/B15)-NORMSDIST((I34-$L$28)/B15))</f>
        <v>0</v>
      </c>
      <c r="L34" s="69">
        <f>(NORMSDIST((I34-$L$28)/B15)-NORMSDIST((I34-$M$28)/B15))</f>
        <v>1.62274748749525e-7</v>
      </c>
      <c r="M34" s="70">
        <f>(NORMSDIST((I34-$M$28)/B15)-NORMSDIST((I34-$N$28)/B15))</f>
        <v>0.0151010115193414</v>
      </c>
      <c r="N34" s="70">
        <f>(NORMSDIST((I34-$N$28)/B15)-NORMSDIST((I34-$O$28)/B15))</f>
        <v>0.765359491290173</v>
      </c>
      <c r="O34" s="70">
        <f>(NORMSDIST((I34-$O$28)/B15)-NORMSDIST((I34-$P$28)/B15))</f>
        <v>0.219437703503814</v>
      </c>
      <c r="P34" s="70">
        <f>(NORMSDIST((I34-$P$28)/B15)-NORMSDIST((I34-$Q$28)/B15))</f>
        <v>0.000101631397863446</v>
      </c>
      <c r="Q34" s="70">
        <f>(NORMSDIST((I34-$Q$28)/B15)-NORMSDIST((I34-$R$28)/B15))</f>
        <v>1.40591714240004e-11</v>
      </c>
      <c r="R34" s="70">
        <f>(NORMSDIST((I34-$R$28)/B15)-NORMSDIST((I34-$S$28)/B15))</f>
        <v>4.10412003094049e-22</v>
      </c>
      <c r="S34" s="70">
        <f>(NORMSDIST((I34-$S$28)/B15)-NORMSDIST((I34-$T$28)/B15))</f>
        <v>2.29934497762361e-36</v>
      </c>
      <c r="T34" s="70"/>
      <c r="U34" s="90">
        <f t="shared" si="1"/>
        <v>1</v>
      </c>
    </row>
    <row r="35" s="13" customFormat="1" ht="18" customHeight="1" spans="1:21">
      <c r="A35" s="43"/>
      <c r="B35" s="43"/>
      <c r="C35" s="38">
        <f t="shared" si="2"/>
        <v>0.253</v>
      </c>
      <c r="D35" s="49"/>
      <c r="E35" s="40">
        <v>33472</v>
      </c>
      <c r="F35" s="41">
        <f t="shared" si="0"/>
        <v>8.468416</v>
      </c>
      <c r="G35" s="41">
        <f t="shared" si="3"/>
        <v>609.725952</v>
      </c>
      <c r="H35" s="42">
        <f t="shared" si="4"/>
        <v>0.976054776016286</v>
      </c>
      <c r="I35" s="68">
        <f t="shared" si="5"/>
        <v>595.125927510677</v>
      </c>
      <c r="J35" s="76"/>
      <c r="K35" s="69">
        <f>(NORMSDIST((I35-$K$28)/B15)-NORMSDIST((I35-$L$28)/B15))</f>
        <v>0</v>
      </c>
      <c r="L35" s="69">
        <f>(NORMSDIST((I35-$L$28)/B15)-NORMSDIST((I35-$M$28)/B15))</f>
        <v>1.28905353058428e-9</v>
      </c>
      <c r="M35" s="70">
        <f>(NORMSDIST((I35-$M$28)/B15)-NORMSDIST((I35-$N$28)/B15))</f>
        <v>0.00128383004676069</v>
      </c>
      <c r="N35" s="70">
        <f>(NORMSDIST((I35-$N$28)/B15)-NORMSDIST((I35-$O$28)/B15))</f>
        <v>0.469191520019103</v>
      </c>
      <c r="O35" s="70">
        <f>(NORMSDIST((I35-$O$28)/B15)-NORMSDIST((I35-$P$28)/B15))</f>
        <v>0.527453397749354</v>
      </c>
      <c r="P35" s="70">
        <f>(NORMSDIST((I35-$P$28)/B15)-NORMSDIST((I35-$Q$28)/B15))</f>
        <v>0.00207124773979548</v>
      </c>
      <c r="Q35" s="70">
        <f>(NORMSDIST((I35-$Q$28)/B15)-NORMSDIST((I35-$R$28)/B15))</f>
        <v>3.15593374405595e-9</v>
      </c>
      <c r="R35" s="70">
        <f>(NORMSDIST((I35-$R$28)/B15)-NORMSDIST((I35-$S$28)/B15))</f>
        <v>1.07193362951661e-18</v>
      </c>
      <c r="S35" s="70">
        <f>(NORMSDIST((I35-$S$28)/B15)-NORMSDIST((I35-$T$28)/B15))</f>
        <v>7.11627175652626e-32</v>
      </c>
      <c r="T35" s="70"/>
      <c r="U35" s="90">
        <f t="shared" si="1"/>
        <v>1</v>
      </c>
    </row>
    <row r="36" s="15" customFormat="1" ht="18" customHeight="1" spans="1:21">
      <c r="A36" s="43"/>
      <c r="B36" s="43"/>
      <c r="C36" s="50">
        <f t="shared" si="2"/>
        <v>0.254</v>
      </c>
      <c r="D36" s="49"/>
      <c r="E36" s="51">
        <v>33472</v>
      </c>
      <c r="F36" s="52">
        <f t="shared" si="0"/>
        <v>8.501888</v>
      </c>
      <c r="G36" s="52">
        <f t="shared" si="3"/>
        <v>612.135936</v>
      </c>
      <c r="H36" s="53">
        <f t="shared" si="4"/>
        <v>0.974554776016286</v>
      </c>
      <c r="I36" s="77">
        <v>596.56</v>
      </c>
      <c r="J36" s="77" t="s">
        <v>99</v>
      </c>
      <c r="K36" s="78">
        <f>(NORMSDIST((I36-$K$28)/B15)-NORMSDIST((I36-$L$28)/B15))</f>
        <v>0</v>
      </c>
      <c r="L36" s="78">
        <f>(NORMSDIST((I36-$L$28)/B15)-NORMSDIST((I36-$M$28)/B15))</f>
        <v>5.23092680282389e-12</v>
      </c>
      <c r="M36" s="79">
        <f>(NORMSDIST((I36-$M$28)/B15)-NORMSDIST((I36-$N$28)/B15))</f>
        <v>5.69670785727228e-5</v>
      </c>
      <c r="N36" s="79">
        <f>(NORMSDIST((I36-$N$28)/B15)-NORMSDIST((I36-$O$28)/B15))</f>
        <v>0.179344869161007</v>
      </c>
      <c r="O36" s="79">
        <f>(NORMSDIST((I36-$O$28)/B15)-NORMSDIST((I36-$P$28)/B15))</f>
        <v>0.799088866563172</v>
      </c>
      <c r="P36" s="70">
        <f>(NORMSDIST((I36-$P$28)/B15)-NORMSDIST((I36-$Q$28)/B15))</f>
        <v>0.0215089531657098</v>
      </c>
      <c r="Q36" s="70">
        <f>(NORMSDIST((I36-$Q$28)/B15)-NORMSDIST((I36-$R$28)/B15))</f>
        <v>3.44026306602368e-7</v>
      </c>
      <c r="R36" s="148">
        <f>(NORMSDIST((I36-$R$28)/B15)-NORMSDIST((I36-$S$28)/B15))</f>
        <v>1.33021174160637e-15</v>
      </c>
      <c r="S36" s="148">
        <f>(NORMSDIST((I36-$S$28)/B15)-NORMSDIST((I36-$T$28)/B15))</f>
        <v>1.0297301057844e-27</v>
      </c>
      <c r="T36" s="148"/>
      <c r="U36" s="149">
        <f t="shared" si="1"/>
        <v>1</v>
      </c>
    </row>
    <row r="37" s="13" customFormat="1" ht="18" customHeight="1" spans="1:21">
      <c r="A37" s="43"/>
      <c r="B37" s="43"/>
      <c r="C37" s="38">
        <f t="shared" si="2"/>
        <v>0.255</v>
      </c>
      <c r="D37" s="49"/>
      <c r="E37" s="40">
        <v>33472</v>
      </c>
      <c r="F37" s="41">
        <f t="shared" si="0"/>
        <v>8.53536</v>
      </c>
      <c r="G37" s="41">
        <f t="shared" si="3"/>
        <v>614.54592</v>
      </c>
      <c r="H37" s="42">
        <f t="shared" si="4"/>
        <v>0.973054776016286</v>
      </c>
      <c r="I37" s="68">
        <f>G37*(H36-0.15%)</f>
        <v>597.986842537323</v>
      </c>
      <c r="J37" s="75"/>
      <c r="K37" s="69">
        <f>(NORMSDIST((I37-$K$28)/B15)-NORMSDIST((I37-$L$28)/B15))</f>
        <v>0</v>
      </c>
      <c r="L37" s="69">
        <f>(NORMSDIST((I37-$L$28)/B15)-NORMSDIST((I37-$M$28)/B15))</f>
        <v>1.08801856413265e-14</v>
      </c>
      <c r="M37" s="70">
        <f>(NORMSDIST((I37-$M$28)/B15)-NORMSDIST((I37-$N$28)/B15))</f>
        <v>1.31269009895352e-6</v>
      </c>
      <c r="N37" s="70">
        <f>(NORMSDIST((I37-$N$28)/B15)-NORMSDIST((I37-$O$28)/B15))</f>
        <v>0.0394604727277019</v>
      </c>
      <c r="O37" s="70">
        <f>(NORMSDIST((I37-$O$28)/B15)-NORMSDIST((I37-$P$28)/B15))</f>
        <v>0.842373296134326</v>
      </c>
      <c r="P37" s="70">
        <f>(NORMSDIST((I37-$P$28)/B15)-NORMSDIST((I37-$Q$28)/B15))</f>
        <v>0.118146412833617</v>
      </c>
      <c r="Q37" s="70">
        <f>(NORMSDIST((I37-$Q$28)/B15)-NORMSDIST((I37-$R$28)/B15))</f>
        <v>1.85056134507751e-5</v>
      </c>
      <c r="R37" s="70">
        <f>(NORMSDIST((I37-$R$28)/B15)-NORMSDIST((I37-$S$28)/B15))</f>
        <v>7.94089218789507e-13</v>
      </c>
      <c r="S37" s="70">
        <f>(NORMSDIST((I37-$S$28)/B15)-NORMSDIST((I37-$T$28)/B15))</f>
        <v>7.04678414316252e-24</v>
      </c>
      <c r="T37" s="70"/>
      <c r="U37" s="90">
        <f t="shared" si="1"/>
        <v>1</v>
      </c>
    </row>
    <row r="38" s="13" customFormat="1" ht="18" customHeight="1" spans="1:21">
      <c r="A38" s="114"/>
      <c r="B38" s="114"/>
      <c r="C38" s="38">
        <f t="shared" si="2"/>
        <v>0.256</v>
      </c>
      <c r="D38" s="49"/>
      <c r="E38" s="40">
        <v>33472</v>
      </c>
      <c r="F38" s="41">
        <f t="shared" si="0"/>
        <v>8.568832</v>
      </c>
      <c r="G38" s="41">
        <f t="shared" si="3"/>
        <v>616.955904</v>
      </c>
      <c r="H38" s="42">
        <f t="shared" si="4"/>
        <v>0.971554776016286</v>
      </c>
      <c r="I38" s="68">
        <f t="shared" ref="I38:I48" si="6">G38*(H37-0.15%)</f>
        <v>599.406455122646</v>
      </c>
      <c r="J38" s="68"/>
      <c r="K38" s="69">
        <f>(NORMSDIST((I38-$K$28)/B15)-NORMSDIST((I38-$L$28)/B15))</f>
        <v>0</v>
      </c>
      <c r="L38" s="69">
        <f>(NORMSDIST((I38-$L$28)/B15)-NORMSDIST((I38-$M$28)/B15))</f>
        <v>0</v>
      </c>
      <c r="M38" s="70">
        <f>(NORMSDIST((I38-$M$28)/B15)-NORMSDIST((I38-$N$28)/B15))</f>
        <v>1.57212312057453e-8</v>
      </c>
      <c r="N38" s="70">
        <f>(NORMSDIST((I38-$N$28)/B15)-NORMSDIST((I38-$O$28)/B15))</f>
        <v>0.00477052320587679</v>
      </c>
      <c r="O38" s="70">
        <f>(NORMSDIST((I38-$O$28)/B15)-NORMSDIST((I38-$P$28)/B15))</f>
        <v>0.631738875508894</v>
      </c>
      <c r="P38" s="70">
        <f>(NORMSDIST((I38-$P$28)/B15)-NORMSDIST((I38-$Q$28)/B15))</f>
        <v>0.362990218955612</v>
      </c>
      <c r="Q38" s="70">
        <f>(NORMSDIST((I38-$Q$28)/B15)-NORMSDIST((I38-$R$28)/B15))</f>
        <v>0.000500366377386383</v>
      </c>
      <c r="R38" s="70">
        <f>(NORMSDIST((I38-$R$28)/B15)-NORMSDIST((I38-$S$28)/B15))</f>
        <v>2.30999441503673e-10</v>
      </c>
      <c r="S38" s="70">
        <f>(NORMSDIST((I38-$S$28)/B15)-NORMSDIST((I38-$T$28)/B15))</f>
        <v>2.30715265736779e-20</v>
      </c>
      <c r="T38" s="70"/>
      <c r="U38" s="90">
        <f t="shared" si="1"/>
        <v>1</v>
      </c>
    </row>
    <row r="39" s="13" customFormat="1" ht="18" customHeight="1" spans="1:21">
      <c r="A39" s="43"/>
      <c r="B39" s="43"/>
      <c r="C39" s="38">
        <f t="shared" si="2"/>
        <v>0.257</v>
      </c>
      <c r="D39" s="49"/>
      <c r="E39" s="40">
        <v>33472</v>
      </c>
      <c r="F39" s="41">
        <f t="shared" si="0"/>
        <v>8.602304</v>
      </c>
      <c r="G39" s="41">
        <f t="shared" si="3"/>
        <v>619.365888</v>
      </c>
      <c r="H39" s="42">
        <f t="shared" si="4"/>
        <v>0.970054776016286</v>
      </c>
      <c r="I39" s="68">
        <f t="shared" si="6"/>
        <v>600.818837755968</v>
      </c>
      <c r="J39" s="68"/>
      <c r="K39" s="69">
        <f>(NORMSDIST((I39-$K$28)/B15)-NORMSDIST((I39-$L$28)/B15))</f>
        <v>0</v>
      </c>
      <c r="L39" s="69">
        <f>(NORMSDIST((I39-$L$28)/B15)-NORMSDIST((I39-$M$28)/B15))</f>
        <v>0</v>
      </c>
      <c r="M39" s="70">
        <f>(NORMSDIST((I39-$M$28)/B15)-NORMSDIST((I39-$N$28)/B15))</f>
        <v>9.82688375117391e-11</v>
      </c>
      <c r="N39" s="70">
        <f>(NORMSDIST((I39-$N$28)/B15)-NORMSDIST((I39-$O$28)/B15))</f>
        <v>0.000309846073654696</v>
      </c>
      <c r="O39" s="70">
        <f>(NORMSDIST((I39-$O$28)/B15)-NORMSDIST((I39-$P$28)/B15))</f>
        <v>0.314710609168635</v>
      </c>
      <c r="P39" s="70">
        <f>(NORMSDIST((I39-$P$28)/B15)-NORMSDIST((I39-$Q$28)/B15))</f>
        <v>0.678023149359783</v>
      </c>
      <c r="Q39" s="70">
        <f>(NORMSDIST((I39-$Q$28)/B15)-NORMSDIST((I39-$R$28)/B15))</f>
        <v>0.00695636210595895</v>
      </c>
      <c r="R39" s="70">
        <f>(NORMSDIST((I39-$R$28)/B15)-NORMSDIST((I39-$S$28)/B15))</f>
        <v>3.31936997632966e-8</v>
      </c>
      <c r="S39" s="70">
        <f>(NORMSDIST((I39-$S$28)/B15)-NORMSDIST((I39-$T$28)/B15))</f>
        <v>3.65654578507259e-17</v>
      </c>
      <c r="T39" s="70"/>
      <c r="U39" s="90">
        <f t="shared" si="1"/>
        <v>1</v>
      </c>
    </row>
    <row r="40" s="13" customFormat="1" ht="18" customHeight="1" spans="1:21">
      <c r="A40" s="43"/>
      <c r="B40" s="43"/>
      <c r="C40" s="38">
        <f t="shared" si="2"/>
        <v>0.258</v>
      </c>
      <c r="D40" s="49"/>
      <c r="E40" s="40">
        <v>33472</v>
      </c>
      <c r="F40" s="41">
        <f t="shared" si="0"/>
        <v>8.635776</v>
      </c>
      <c r="G40" s="41">
        <f t="shared" si="3"/>
        <v>621.775872</v>
      </c>
      <c r="H40" s="42">
        <f t="shared" si="4"/>
        <v>0.968554776016286</v>
      </c>
      <c r="I40" s="68">
        <f t="shared" si="6"/>
        <v>602.223990437291</v>
      </c>
      <c r="J40" s="68"/>
      <c r="K40" s="69">
        <f>(NORMSDIST((I40-$K$28)/B15)-NORMSDIST((I40-$L$28)/B15))</f>
        <v>0</v>
      </c>
      <c r="L40" s="69">
        <f>(NORMSDIST((I40-$L$28)/B15)-NORMSDIST((I40-$M$28)/B15))</f>
        <v>0</v>
      </c>
      <c r="M40" s="70">
        <f>(NORMSDIST((I40-$M$28)/B15)-NORMSDIST((I40-$N$28)/B15))</f>
        <v>3.2263081095607e-13</v>
      </c>
      <c r="N40" s="70">
        <f>(NORMSDIST((I40-$N$28)/B15)-NORMSDIST((I40-$O$28)/B15))</f>
        <v>1.0716899451646e-5</v>
      </c>
      <c r="O40" s="70">
        <f>(NORMSDIST((I40-$O$28)/B15)-NORMSDIST((I40-$P$28)/B15))</f>
        <v>0.0953869939899695</v>
      </c>
      <c r="P40" s="70">
        <f>(NORMSDIST((I40-$P$28)/B15)-NORMSDIST((I40-$Q$28)/B15))</f>
        <v>0.853362196248671</v>
      </c>
      <c r="Q40" s="70">
        <f>(NORMSDIST((I40-$Q$28)/B15)-NORMSDIST((I40-$R$28)/B15))</f>
        <v>0.0512377017704302</v>
      </c>
      <c r="R40" s="70">
        <f>(NORMSDIST((I40-$R$28)/B15)-NORMSDIST((I40-$S$28)/B15))</f>
        <v>2.39109112625694e-6</v>
      </c>
      <c r="S40" s="70">
        <f>(NORMSDIST((I40-$S$28)/B15)-NORMSDIST((I40-$T$28)/B15))</f>
        <v>2.83903446971446e-14</v>
      </c>
      <c r="T40" s="70"/>
      <c r="U40" s="90">
        <f t="shared" si="1"/>
        <v>1</v>
      </c>
    </row>
    <row r="41" s="13" customFormat="1" ht="18" customHeight="1" spans="1:21">
      <c r="A41" s="43"/>
      <c r="B41" s="43"/>
      <c r="C41" s="38">
        <f t="shared" si="2"/>
        <v>0.259</v>
      </c>
      <c r="D41" s="49"/>
      <c r="E41" s="40">
        <v>33472</v>
      </c>
      <c r="F41" s="41">
        <f t="shared" si="0"/>
        <v>8.669248</v>
      </c>
      <c r="G41" s="41">
        <f t="shared" si="3"/>
        <v>624.185856</v>
      </c>
      <c r="H41" s="42">
        <f t="shared" si="4"/>
        <v>0.967054776016287</v>
      </c>
      <c r="I41" s="68">
        <f t="shared" si="6"/>
        <v>603.621913166614</v>
      </c>
      <c r="J41" s="68"/>
      <c r="K41" s="69">
        <f>(NORMSDIST((I41-$K$28)/B15)-NORMSDIST((I41-$L$28)/B15))</f>
        <v>0</v>
      </c>
      <c r="L41" s="69">
        <f>(NORMSDIST((I41-$L$28)/B15)-NORMSDIST((I41-$M$28)/B15))</f>
        <v>0</v>
      </c>
      <c r="M41" s="70">
        <f>(NORMSDIST((I41-$M$28)/B15)-NORMSDIST((I41-$N$28)/B15))</f>
        <v>5.55111512312578e-16</v>
      </c>
      <c r="N41" s="70">
        <f>(NORMSDIST((I41-$N$28)/B15)-NORMSDIST((I41-$O$28)/B15))</f>
        <v>1.97124679912619e-7</v>
      </c>
      <c r="O41" s="70">
        <f>(NORMSDIST((I41-$O$28)/B15)-NORMSDIST((I41-$P$28)/B15))</f>
        <v>0.016563448658258</v>
      </c>
      <c r="P41" s="70">
        <f>(NORMSDIST((I41-$P$28)/B15)-NORMSDIST((I41-$Q$28)/B15))</f>
        <v>0.774649937661309</v>
      </c>
      <c r="Q41" s="70">
        <f>(NORMSDIST((I41-$Q$28)/B15)-NORMSDIST((I41-$R$28)/B15))</f>
        <v>0.208698637333111</v>
      </c>
      <c r="R41" s="70">
        <f>(NORMSDIST((I41-$R$28)/B15)-NORMSDIST((I41-$S$28)/B15))</f>
        <v>8.77792117096668e-5</v>
      </c>
      <c r="S41" s="70">
        <f>(NORMSDIST((I41-$S$28)/B15)-NORMSDIST((I41-$T$28)/B15))</f>
        <v>1.09326358277547e-11</v>
      </c>
      <c r="T41" s="70"/>
      <c r="U41" s="90">
        <f t="shared" si="1"/>
        <v>1</v>
      </c>
    </row>
    <row r="42" s="13" customFormat="1" ht="18" customHeight="1" spans="1:21">
      <c r="A42" s="43"/>
      <c r="B42" s="43"/>
      <c r="C42" s="38">
        <f t="shared" si="2"/>
        <v>0.26</v>
      </c>
      <c r="D42" s="49"/>
      <c r="E42" s="40">
        <v>33472</v>
      </c>
      <c r="F42" s="41">
        <f t="shared" si="0"/>
        <v>8.70272</v>
      </c>
      <c r="G42" s="41">
        <f t="shared" si="3"/>
        <v>626.59584</v>
      </c>
      <c r="H42" s="42">
        <f t="shared" si="4"/>
        <v>0.965554776016287</v>
      </c>
      <c r="I42" s="68">
        <f t="shared" si="6"/>
        <v>605.012605943937</v>
      </c>
      <c r="J42" s="68"/>
      <c r="K42" s="69">
        <f>(NORMSDIST((I42-$K$28)/B15)-NORMSDIST((I42-$L$28)/B15))</f>
        <v>0</v>
      </c>
      <c r="L42" s="69">
        <f>(NORMSDIST((I42-$L$28)/B15)-NORMSDIST((I42-$M$28)/B15))</f>
        <v>0</v>
      </c>
      <c r="M42" s="70">
        <f>(NORMSDIST((I42-$M$28)/B15)-NORMSDIST((I42-$N$28)/B15))</f>
        <v>0</v>
      </c>
      <c r="N42" s="70">
        <f>(NORMSDIST((I42-$N$28)/B15)-NORMSDIST((I42-$O$28)/B15))</f>
        <v>1.93368843159902e-9</v>
      </c>
      <c r="O42" s="70">
        <f>(NORMSDIST((I42-$O$28)/B15)-NORMSDIST((I42-$P$28)/B15))</f>
        <v>0.00159612499368111</v>
      </c>
      <c r="P42" s="70">
        <f>(NORMSDIST((I42-$P$28)/B15)-NORMSDIST((I42-$Q$28)/B15))</f>
        <v>0.495445638994207</v>
      </c>
      <c r="Q42" s="70">
        <f>(NORMSDIST((I42-$Q$28)/B15)-NORMSDIST((I42-$R$28)/B15))</f>
        <v>0.501283825384164</v>
      </c>
      <c r="R42" s="70">
        <f>(NORMSDIST((I42-$R$28)/B15)-NORMSDIST((I42-$S$28)/B15))</f>
        <v>0.00167440657924773</v>
      </c>
      <c r="S42" s="70">
        <f>(NORMSDIST((I42-$S$28)/B15)-NORMSDIST((I42-$T$28)/B15))</f>
        <v>2.11501224887514e-9</v>
      </c>
      <c r="T42" s="70"/>
      <c r="U42" s="90">
        <f t="shared" si="1"/>
        <v>1</v>
      </c>
    </row>
    <row r="43" s="13" customFormat="1" ht="18" hidden="1" customHeight="1" spans="1:21">
      <c r="A43" s="43"/>
      <c r="B43" s="43"/>
      <c r="C43" s="38">
        <f t="shared" si="2"/>
        <v>0.261</v>
      </c>
      <c r="D43" s="49"/>
      <c r="E43" s="40">
        <v>33472</v>
      </c>
      <c r="F43" s="41">
        <f t="shared" si="0"/>
        <v>8.736192</v>
      </c>
      <c r="G43" s="41">
        <f t="shared" si="3"/>
        <v>629.005824</v>
      </c>
      <c r="H43" s="42">
        <f t="shared" si="4"/>
        <v>0.964054776016287</v>
      </c>
      <c r="I43" s="68">
        <f t="shared" si="6"/>
        <v>606.39606876926</v>
      </c>
      <c r="J43" s="68"/>
      <c r="K43" s="69">
        <f>(NORMSDIST((I43-$K$28)/B15)-NORMSDIST((I43-$L$28)/B15))</f>
        <v>0</v>
      </c>
      <c r="L43" s="69">
        <f>(NORMSDIST((I43-$L$28)/B15)-NORMSDIST((I43-$M$28)/B15))</f>
        <v>0</v>
      </c>
      <c r="M43" s="70">
        <f>(NORMSDIST((I43-$M$28)/B15)-NORMSDIST((I43-$N$28)/B15))</f>
        <v>0</v>
      </c>
      <c r="N43" s="70">
        <f>(NORMSDIST((I43-$N$28)/B15)-NORMSDIST((I43-$O$28)/B15))</f>
        <v>1.01694208609615e-11</v>
      </c>
      <c r="O43" s="70">
        <f>(NORMSDIST((I43-$O$28)/B15)-NORMSDIST((I43-$P$28)/B15))</f>
        <v>8.41475160128224e-5</v>
      </c>
      <c r="P43" s="70">
        <f>(NORMSDIST((I43-$P$28)/B15)-NORMSDIST((I43-$Q$28)/B15))</f>
        <v>0.205677211825799</v>
      </c>
      <c r="Q43" s="70">
        <f>(NORMSDIST((I43-$Q$28)/B15)-NORMSDIST((I43-$R$28)/B15))</f>
        <v>0.777233912202557</v>
      </c>
      <c r="R43" s="70">
        <f>(NORMSDIST((I43-$R$28)/B15)-NORMSDIST((I43-$S$28)/B15))</f>
        <v>0.0170045200625868</v>
      </c>
      <c r="S43" s="70">
        <f>(NORMSDIST((I43-$S$28)/B15)-NORMSDIST((I43-$T$28)/B15))</f>
        <v>2.08382873857209e-7</v>
      </c>
      <c r="T43" s="70"/>
      <c r="U43" s="90">
        <f t="shared" si="1"/>
        <v>0.999999999999999</v>
      </c>
    </row>
    <row r="44" s="13" customFormat="1" ht="18" hidden="1" customHeight="1" spans="1:21">
      <c r="A44" s="43"/>
      <c r="B44" s="43"/>
      <c r="C44" s="38">
        <f t="shared" si="2"/>
        <v>0.262</v>
      </c>
      <c r="D44" s="49"/>
      <c r="E44" s="40">
        <v>33472</v>
      </c>
      <c r="F44" s="41">
        <f t="shared" si="0"/>
        <v>8.769664</v>
      </c>
      <c r="G44" s="41">
        <f t="shared" si="3"/>
        <v>631.415808</v>
      </c>
      <c r="H44" s="42">
        <f t="shared" si="4"/>
        <v>0.962554776016286</v>
      </c>
      <c r="I44" s="68">
        <f t="shared" si="6"/>
        <v>607.772301642583</v>
      </c>
      <c r="J44" s="68"/>
      <c r="K44" s="69">
        <f>(NORMSDIST((I44-$K$28)/B15)-NORMSDIST((I44-$L$28)/B15))</f>
        <v>0</v>
      </c>
      <c r="L44" s="69">
        <f>(NORMSDIST((I44-$L$28)/B15)-NORMSDIST((I44-$M$28)/B15))</f>
        <v>0</v>
      </c>
      <c r="M44" s="70">
        <f>(NORMSDIST((I44-$M$28)/B15)-NORMSDIST((I44-$N$28)/B15))</f>
        <v>0</v>
      </c>
      <c r="N44" s="70">
        <f>(NORMSDIST((I44-$N$28)/B15)-NORMSDIST((I44-$O$28)/B15))</f>
        <v>2.88657986402541e-14</v>
      </c>
      <c r="O44" s="70">
        <f>(NORMSDIST((I44-$O$28)/B15)-NORMSDIST((I44-$P$28)/B15))</f>
        <v>2.41612186790974e-6</v>
      </c>
      <c r="P44" s="70">
        <f>(NORMSDIST((I44-$P$28)/B15)-NORMSDIST((I44-$Q$28)/B15))</f>
        <v>0.0514674705757522</v>
      </c>
      <c r="Q44" s="70">
        <f>(NORMSDIST((I44-$Q$28)/B15)-NORMSDIST((I44-$R$28)/B15))</f>
        <v>0.853501662044321</v>
      </c>
      <c r="R44" s="70">
        <f>(NORMSDIST((I44-$R$28)/B15)-NORMSDIST((I44-$S$28)/B15))</f>
        <v>0.0950178382196375</v>
      </c>
      <c r="S44" s="70">
        <f>(NORMSDIST((I44-$S$28)/B15)-NORMSDIST((I44-$T$28)/B15))</f>
        <v>1.06130380746149e-5</v>
      </c>
      <c r="T44" s="70"/>
      <c r="U44" s="90">
        <f t="shared" si="1"/>
        <v>0.999999999999682</v>
      </c>
    </row>
    <row r="45" s="13" customFormat="1" ht="18" hidden="1" customHeight="1" spans="1:21">
      <c r="A45" s="43"/>
      <c r="B45" s="43"/>
      <c r="C45" s="38">
        <f t="shared" si="2"/>
        <v>0.263</v>
      </c>
      <c r="D45" s="55"/>
      <c r="E45" s="40">
        <v>33472</v>
      </c>
      <c r="F45" s="41">
        <f t="shared" si="0"/>
        <v>8.803136</v>
      </c>
      <c r="G45" s="41">
        <f t="shared" si="3"/>
        <v>633.825792</v>
      </c>
      <c r="H45" s="42">
        <f t="shared" si="4"/>
        <v>0.961054776016286</v>
      </c>
      <c r="I45" s="68">
        <f t="shared" si="6"/>
        <v>609.141304563905</v>
      </c>
      <c r="J45" s="68"/>
      <c r="K45" s="69">
        <f>(NORMSDIST((I45-$K$28)/B15)-NORMSDIST((I45-$L$28)/B15))</f>
        <v>0</v>
      </c>
      <c r="L45" s="69">
        <f>(NORMSDIST((I45-$L$28)/B15)-NORMSDIST((I45-$M$28)/B15))</f>
        <v>0</v>
      </c>
      <c r="M45" s="70">
        <f>(NORMSDIST((I45-$M$28)/B15)-NORMSDIST((I45-$N$28)/B15))</f>
        <v>0</v>
      </c>
      <c r="N45" s="70">
        <f>(NORMSDIST((I45-$N$28)/B15)-NORMSDIST((I45-$O$28)/B15))</f>
        <v>0</v>
      </c>
      <c r="O45" s="70">
        <f>(NORMSDIST((I45-$O$28)/B15)-NORMSDIST((I45-$P$28)/B15))</f>
        <v>3.78185854854607e-8</v>
      </c>
      <c r="P45" s="70">
        <f>(NORMSDIST((I45-$P$28)/B15)-NORMSDIST((I45-$Q$28)/B15))</f>
        <v>0.0074240419261703</v>
      </c>
      <c r="Q45" s="70">
        <f>(NORMSDIST((I45-$Q$28)/B15)-NORMSDIST((I45-$R$28)/B15))</f>
        <v>0.685836873808356</v>
      </c>
      <c r="R45" s="70">
        <f>(NORMSDIST((I45-$R$28)/B15)-NORMSDIST((I45-$S$28)/B15))</f>
        <v>0.30645487790489</v>
      </c>
      <c r="S45" s="70">
        <f>(NORMSDIST((I45-$S$28)/B15)-NORMSDIST((I45-$T$28)/B15))</f>
        <v>0.000284168457671019</v>
      </c>
      <c r="T45" s="70"/>
      <c r="U45" s="90">
        <f t="shared" si="1"/>
        <v>0.999999999915673</v>
      </c>
    </row>
    <row r="46" s="13" customFormat="1" ht="18" hidden="1" customHeight="1" spans="1:21">
      <c r="A46" s="43"/>
      <c r="B46" s="43"/>
      <c r="C46" s="38">
        <f t="shared" si="2"/>
        <v>0.264</v>
      </c>
      <c r="D46" s="55"/>
      <c r="E46" s="40">
        <v>33472</v>
      </c>
      <c r="F46" s="41">
        <f t="shared" si="0"/>
        <v>8.836608</v>
      </c>
      <c r="G46" s="41">
        <f t="shared" si="3"/>
        <v>636.235776</v>
      </c>
      <c r="H46" s="42">
        <f t="shared" si="4"/>
        <v>0.959554776016286</v>
      </c>
      <c r="I46" s="68">
        <f t="shared" si="6"/>
        <v>610.503077533228</v>
      </c>
      <c r="J46" s="68"/>
      <c r="K46" s="69">
        <f>(NORMSDIST((I46-$K$28)/B15)-NORMSDIST((I46-$L$28)/B15))</f>
        <v>0</v>
      </c>
      <c r="L46" s="69">
        <f>(NORMSDIST((I46-$L$28)/B15)-NORMSDIST((I46-$M$28)/B15))</f>
        <v>0</v>
      </c>
      <c r="M46" s="70">
        <f>(NORMSDIST((I46-$M$28)/B15)-NORMSDIST((I46-$N$28)/B15))</f>
        <v>0</v>
      </c>
      <c r="N46" s="70">
        <f>(NORMSDIST((I46-$N$28)/B15)-NORMSDIST((I46-$O$28)/B15))</f>
        <v>0</v>
      </c>
      <c r="O46" s="70">
        <f>(NORMSDIST((I46-$O$28)/B15)-NORMSDIST((I46-$P$28)/B15))</f>
        <v>3.2401670235771e-10</v>
      </c>
      <c r="P46" s="70">
        <f>(NORMSDIST((I46-$P$28)/B15)-NORMSDIST((I46-$Q$28)/B15))</f>
        <v>0.000603745750214713</v>
      </c>
      <c r="Q46" s="70">
        <f>(NORMSDIST((I46-$Q$28)/B15)-NORMSDIST((I46-$R$28)/B15))</f>
        <v>0.383038802589427</v>
      </c>
      <c r="R46" s="70">
        <f>(NORMSDIST((I46-$R$28)/B15)-NORMSDIST((I46-$S$28)/B15))</f>
        <v>0.612275904256536</v>
      </c>
      <c r="S46" s="70">
        <f>(NORMSDIST((I46-$S$28)/B15)-NORMSDIST((I46-$T$28)/B15))</f>
        <v>0.00408153549022543</v>
      </c>
      <c r="T46" s="70"/>
      <c r="U46" s="90">
        <f t="shared" si="1"/>
        <v>0.99999998841042</v>
      </c>
    </row>
    <row r="47" s="13" customFormat="1" ht="18" hidden="1" customHeight="1" spans="1:21">
      <c r="A47" s="43"/>
      <c r="B47" s="43"/>
      <c r="C47" s="38">
        <f t="shared" si="2"/>
        <v>0.265</v>
      </c>
      <c r="D47" s="55"/>
      <c r="E47" s="40">
        <v>33472</v>
      </c>
      <c r="F47" s="41">
        <f t="shared" si="0"/>
        <v>8.87008</v>
      </c>
      <c r="G47" s="41">
        <f t="shared" si="3"/>
        <v>638.64576</v>
      </c>
      <c r="H47" s="42">
        <f t="shared" si="4"/>
        <v>0.958054776016286</v>
      </c>
      <c r="I47" s="68">
        <f t="shared" si="6"/>
        <v>611.857620550551</v>
      </c>
      <c r="J47" s="68"/>
      <c r="K47" s="69">
        <f>(NORMSDIST((I47-$K$28)/B15)-NORMSDIST((I47-$L$28)/B15))</f>
        <v>0</v>
      </c>
      <c r="L47" s="69">
        <f>(NORMSDIST((I47-$L$28)/B15)-NORMSDIST((I47-$M$28)/B15))</f>
        <v>0</v>
      </c>
      <c r="M47" s="70">
        <f>(NORMSDIST((I47-$M$28)/B15)-NORMSDIST((I47-$N$28)/B15))</f>
        <v>0</v>
      </c>
      <c r="N47" s="70">
        <f>(NORMSDIST((I47-$N$28)/B15)-NORMSDIST((I47-$O$28)/B15))</f>
        <v>0</v>
      </c>
      <c r="O47" s="70">
        <f>(NORMSDIST((I47-$O$28)/B15)-NORMSDIST((I47-$P$28)/B15))</f>
        <v>1.52855506030392e-12</v>
      </c>
      <c r="P47" s="70">
        <f>(NORMSDIST((I47-$P$28)/B15)-NORMSDIST((I47-$Q$28)/B15))</f>
        <v>2.7429983385785e-5</v>
      </c>
      <c r="Q47" s="70">
        <f>(NORMSDIST((I47-$Q$28)/B15)-NORMSDIST((I47-$R$28)/B15))</f>
        <v>0.137231393485007</v>
      </c>
      <c r="R47" s="70">
        <f>(NORMSDIST((I47-$R$28)/B15)-NORMSDIST((I47-$S$28)/B15))</f>
        <v>0.830473155201664</v>
      </c>
      <c r="S47" s="70">
        <f>(NORMSDIST((I47-$S$28)/B15)-NORMSDIST((I47-$T$28)/B15))</f>
        <v>0.0322671859035056</v>
      </c>
      <c r="T47" s="70"/>
      <c r="U47" s="90">
        <f t="shared" si="1"/>
        <v>0.999999164575091</v>
      </c>
    </row>
    <row r="48" s="13" customFormat="1" ht="18" hidden="1" customHeight="1" spans="1:21">
      <c r="A48" s="43"/>
      <c r="B48" s="43"/>
      <c r="C48" s="38">
        <f t="shared" si="2"/>
        <v>0.266</v>
      </c>
      <c r="D48" s="55"/>
      <c r="E48" s="40">
        <v>33472</v>
      </c>
      <c r="F48" s="41">
        <f t="shared" si="0"/>
        <v>8.903552</v>
      </c>
      <c r="G48" s="41">
        <f t="shared" si="3"/>
        <v>641.055744</v>
      </c>
      <c r="H48" s="42">
        <f t="shared" si="4"/>
        <v>0.956554776016286</v>
      </c>
      <c r="I48" s="68">
        <f t="shared" si="6"/>
        <v>613.204933615874</v>
      </c>
      <c r="J48" s="68"/>
      <c r="K48" s="69">
        <f>(NORMSDIST((I48-$K$28)/B15)-NORMSDIST((I48-$L$28)/B15))</f>
        <v>0</v>
      </c>
      <c r="L48" s="69">
        <f>(NORMSDIST((I48-$L$28)/B15)-NORMSDIST((I48-$M$28)/B15))</f>
        <v>0</v>
      </c>
      <c r="M48" s="70">
        <f>(NORMSDIST((I48-$M$28)/B15)-NORMSDIST((I48-$N$28)/B15))</f>
        <v>0</v>
      </c>
      <c r="N48" s="70">
        <f>(NORMSDIST((I48-$N$28)/B15)-NORMSDIST((I48-$O$28)/B15))</f>
        <v>0</v>
      </c>
      <c r="O48" s="70">
        <f>(NORMSDIST((I48-$O$28)/B15)-NORMSDIST((I48-$P$28)/B15))</f>
        <v>3.99680288865056e-15</v>
      </c>
      <c r="P48" s="70">
        <f>(NORMSDIST((I48-$P$28)/B15)-NORMSDIST((I48-$Q$28)/B15))</f>
        <v>6.95005724526965e-7</v>
      </c>
      <c r="Q48" s="70">
        <f>(NORMSDIST((I48-$Q$28)/B15)-NORMSDIST((I48-$R$28)/B15))</f>
        <v>0.0296970096208643</v>
      </c>
      <c r="R48" s="70">
        <f>(NORMSDIST((I48-$R$28)/B15)-NORMSDIST((I48-$S$28)/B15))</f>
        <v>0.82480023281361</v>
      </c>
      <c r="S48" s="70">
        <f>(NORMSDIST((I48-$S$28)/B15)-NORMSDIST((I48-$T$28)/B15))</f>
        <v>0.145470000663128</v>
      </c>
      <c r="T48" s="70"/>
      <c r="U48" s="90">
        <f t="shared" si="1"/>
        <v>0.999967938103331</v>
      </c>
    </row>
    <row r="49" s="13" customFormat="1" ht="9.6" customHeight="1" spans="4:4">
      <c r="D49" s="56"/>
    </row>
    <row r="50" s="13" customFormat="1" ht="18" customHeight="1" spans="4:21">
      <c r="D50" s="57"/>
      <c r="I50" s="80" t="s">
        <v>90</v>
      </c>
      <c r="J50" s="80" t="s">
        <v>89</v>
      </c>
      <c r="K50" s="67">
        <f>K28</f>
        <v>575</v>
      </c>
      <c r="L50" s="67">
        <f t="shared" ref="L50:T50" si="7">L28</f>
        <v>580</v>
      </c>
      <c r="M50" s="67">
        <f t="shared" si="7"/>
        <v>585</v>
      </c>
      <c r="N50" s="67">
        <f t="shared" si="7"/>
        <v>590</v>
      </c>
      <c r="O50" s="67">
        <f t="shared" si="7"/>
        <v>595</v>
      </c>
      <c r="P50" s="67">
        <f t="shared" si="7"/>
        <v>600</v>
      </c>
      <c r="Q50" s="67">
        <f t="shared" si="7"/>
        <v>605</v>
      </c>
      <c r="R50" s="67">
        <f t="shared" si="7"/>
        <v>610</v>
      </c>
      <c r="S50" s="67">
        <f t="shared" si="7"/>
        <v>615</v>
      </c>
      <c r="T50" s="67">
        <f t="shared" si="7"/>
        <v>620</v>
      </c>
      <c r="U50" s="89" t="s">
        <v>96</v>
      </c>
    </row>
    <row r="51" s="13" customFormat="1" ht="18" customHeight="1" spans="9:21">
      <c r="I51" s="81">
        <f t="shared" ref="I51:I70" si="8">D29</f>
        <v>0</v>
      </c>
      <c r="J51" s="38">
        <f t="shared" ref="J51:J70" si="9">C29</f>
        <v>0.247</v>
      </c>
      <c r="K51" s="70">
        <f t="shared" ref="K51:K70" si="10">D29*K29</f>
        <v>0</v>
      </c>
      <c r="L51" s="70">
        <f t="shared" ref="L51:L70" si="11">D29*L29</f>
        <v>0</v>
      </c>
      <c r="M51" s="70">
        <f t="shared" ref="M51:M70" si="12">D29*M29</f>
        <v>0</v>
      </c>
      <c r="N51" s="70">
        <f t="shared" ref="N51:N70" si="13">D29*N29</f>
        <v>0</v>
      </c>
      <c r="O51" s="70">
        <f t="shared" ref="O51:O70" si="14">D29*O29</f>
        <v>0</v>
      </c>
      <c r="P51" s="70">
        <f t="shared" ref="P51:P70" si="15">D29*P29</f>
        <v>0</v>
      </c>
      <c r="Q51" s="70">
        <f t="shared" ref="Q51:Q70" si="16">D29*Q29</f>
        <v>0</v>
      </c>
      <c r="R51" s="70">
        <f t="shared" ref="R51:R70" si="17">D29*R29</f>
        <v>0</v>
      </c>
      <c r="S51" s="70">
        <f t="shared" ref="S51:S70" si="18">S29*D29</f>
        <v>0</v>
      </c>
      <c r="T51" s="70"/>
      <c r="U51" s="90"/>
    </row>
    <row r="52" s="13" customFormat="1" ht="18" customHeight="1" spans="9:21">
      <c r="I52" s="81">
        <f t="shared" si="8"/>
        <v>0</v>
      </c>
      <c r="J52" s="38">
        <f t="shared" si="9"/>
        <v>0.248</v>
      </c>
      <c r="K52" s="70">
        <f t="shared" si="10"/>
        <v>0</v>
      </c>
      <c r="L52" s="70">
        <f t="shared" si="11"/>
        <v>0</v>
      </c>
      <c r="M52" s="70">
        <f t="shared" si="12"/>
        <v>0</v>
      </c>
      <c r="N52" s="70">
        <f t="shared" si="13"/>
        <v>0</v>
      </c>
      <c r="O52" s="70">
        <f t="shared" si="14"/>
        <v>0</v>
      </c>
      <c r="P52" s="70">
        <f t="shared" si="15"/>
        <v>0</v>
      </c>
      <c r="Q52" s="70">
        <f t="shared" si="16"/>
        <v>0</v>
      </c>
      <c r="R52" s="70">
        <f t="shared" si="17"/>
        <v>0</v>
      </c>
      <c r="S52" s="70">
        <f t="shared" si="18"/>
        <v>0</v>
      </c>
      <c r="T52" s="70"/>
      <c r="U52" s="90"/>
    </row>
    <row r="53" s="13" customFormat="1" ht="18" customHeight="1" spans="9:21">
      <c r="I53" s="81">
        <f t="shared" si="8"/>
        <v>0</v>
      </c>
      <c r="J53" s="38">
        <f t="shared" si="9"/>
        <v>0.249</v>
      </c>
      <c r="K53" s="70">
        <f t="shared" si="10"/>
        <v>0</v>
      </c>
      <c r="L53" s="70">
        <f t="shared" si="11"/>
        <v>0</v>
      </c>
      <c r="M53" s="70">
        <f t="shared" si="12"/>
        <v>0</v>
      </c>
      <c r="N53" s="70">
        <f t="shared" si="13"/>
        <v>0</v>
      </c>
      <c r="O53" s="70">
        <f t="shared" si="14"/>
        <v>0</v>
      </c>
      <c r="P53" s="70">
        <f t="shared" si="15"/>
        <v>0</v>
      </c>
      <c r="Q53" s="70">
        <f t="shared" si="16"/>
        <v>0</v>
      </c>
      <c r="R53" s="70">
        <f t="shared" si="17"/>
        <v>0</v>
      </c>
      <c r="S53" s="70">
        <f t="shared" si="18"/>
        <v>0</v>
      </c>
      <c r="T53" s="70"/>
      <c r="U53" s="90"/>
    </row>
    <row r="54" s="13" customFormat="1" ht="18" customHeight="1" spans="9:21">
      <c r="I54" s="81">
        <f t="shared" si="8"/>
        <v>0</v>
      </c>
      <c r="J54" s="38">
        <f t="shared" si="9"/>
        <v>0.25</v>
      </c>
      <c r="K54" s="74">
        <f t="shared" si="10"/>
        <v>0</v>
      </c>
      <c r="L54" s="74">
        <f t="shared" si="11"/>
        <v>0</v>
      </c>
      <c r="M54" s="74">
        <f t="shared" si="12"/>
        <v>0</v>
      </c>
      <c r="N54" s="74">
        <f t="shared" si="13"/>
        <v>0</v>
      </c>
      <c r="O54" s="74">
        <f t="shared" si="14"/>
        <v>0</v>
      </c>
      <c r="P54" s="74">
        <f t="shared" si="15"/>
        <v>0</v>
      </c>
      <c r="Q54" s="74">
        <f t="shared" si="16"/>
        <v>0</v>
      </c>
      <c r="R54" s="74">
        <f t="shared" si="17"/>
        <v>0</v>
      </c>
      <c r="S54" s="74">
        <f t="shared" si="18"/>
        <v>0</v>
      </c>
      <c r="T54" s="70"/>
      <c r="U54" s="90"/>
    </row>
    <row r="55" s="13" customFormat="1" ht="18" customHeight="1" spans="9:21">
      <c r="I55" s="81">
        <f t="shared" si="8"/>
        <v>0</v>
      </c>
      <c r="J55" s="38">
        <f t="shared" si="9"/>
        <v>0.251</v>
      </c>
      <c r="K55" s="70">
        <f t="shared" si="10"/>
        <v>0</v>
      </c>
      <c r="L55" s="70">
        <f t="shared" si="11"/>
        <v>0</v>
      </c>
      <c r="M55" s="70">
        <f t="shared" si="12"/>
        <v>0</v>
      </c>
      <c r="N55" s="70">
        <f t="shared" si="13"/>
        <v>0</v>
      </c>
      <c r="O55" s="70">
        <f t="shared" si="14"/>
        <v>0</v>
      </c>
      <c r="P55" s="70">
        <f t="shared" si="15"/>
        <v>0</v>
      </c>
      <c r="Q55" s="70">
        <f t="shared" si="16"/>
        <v>0</v>
      </c>
      <c r="R55" s="70">
        <f t="shared" si="17"/>
        <v>0</v>
      </c>
      <c r="S55" s="70">
        <f t="shared" si="18"/>
        <v>0</v>
      </c>
      <c r="T55" s="70"/>
      <c r="U55" s="90"/>
    </row>
    <row r="56" s="13" customFormat="1" ht="18" customHeight="1" spans="9:21">
      <c r="I56" s="81">
        <f t="shared" si="8"/>
        <v>0</v>
      </c>
      <c r="J56" s="38">
        <f t="shared" si="9"/>
        <v>0.252</v>
      </c>
      <c r="K56" s="70">
        <f t="shared" si="10"/>
        <v>0</v>
      </c>
      <c r="L56" s="70">
        <f t="shared" si="11"/>
        <v>0</v>
      </c>
      <c r="M56" s="70">
        <f t="shared" si="12"/>
        <v>0</v>
      </c>
      <c r="N56" s="70">
        <f t="shared" si="13"/>
        <v>0</v>
      </c>
      <c r="O56" s="70">
        <f t="shared" si="14"/>
        <v>0</v>
      </c>
      <c r="P56" s="70">
        <f t="shared" si="15"/>
        <v>0</v>
      </c>
      <c r="Q56" s="70">
        <f t="shared" si="16"/>
        <v>0</v>
      </c>
      <c r="R56" s="70">
        <f t="shared" si="17"/>
        <v>0</v>
      </c>
      <c r="S56" s="70">
        <f t="shared" si="18"/>
        <v>0</v>
      </c>
      <c r="T56" s="70"/>
      <c r="U56" s="90"/>
    </row>
    <row r="57" s="13" customFormat="1" ht="18" customHeight="1" spans="9:21">
      <c r="I57" s="81">
        <f t="shared" si="8"/>
        <v>0</v>
      </c>
      <c r="J57" s="38">
        <f t="shared" si="9"/>
        <v>0.253</v>
      </c>
      <c r="K57" s="70">
        <f t="shared" si="10"/>
        <v>0</v>
      </c>
      <c r="L57" s="70">
        <f t="shared" si="11"/>
        <v>0</v>
      </c>
      <c r="M57" s="70">
        <f t="shared" si="12"/>
        <v>0</v>
      </c>
      <c r="N57" s="70">
        <f t="shared" si="13"/>
        <v>0</v>
      </c>
      <c r="O57" s="70">
        <f t="shared" si="14"/>
        <v>0</v>
      </c>
      <c r="P57" s="70">
        <f t="shared" si="15"/>
        <v>0</v>
      </c>
      <c r="Q57" s="70">
        <f t="shared" si="16"/>
        <v>0</v>
      </c>
      <c r="R57" s="70">
        <f t="shared" si="17"/>
        <v>0</v>
      </c>
      <c r="S57" s="70">
        <f t="shared" si="18"/>
        <v>0</v>
      </c>
      <c r="T57" s="70"/>
      <c r="U57" s="90"/>
    </row>
    <row r="58" s="13" customFormat="1" ht="18" customHeight="1" spans="9:21">
      <c r="I58" s="81">
        <f t="shared" si="8"/>
        <v>0</v>
      </c>
      <c r="J58" s="38">
        <f t="shared" si="9"/>
        <v>0.254</v>
      </c>
      <c r="K58" s="70">
        <f t="shared" si="10"/>
        <v>0</v>
      </c>
      <c r="L58" s="70">
        <f t="shared" si="11"/>
        <v>0</v>
      </c>
      <c r="M58" s="70">
        <f t="shared" si="12"/>
        <v>0</v>
      </c>
      <c r="N58" s="70">
        <f t="shared" si="13"/>
        <v>0</v>
      </c>
      <c r="O58" s="70">
        <f t="shared" si="14"/>
        <v>0</v>
      </c>
      <c r="P58" s="70">
        <f t="shared" si="15"/>
        <v>0</v>
      </c>
      <c r="Q58" s="70">
        <f t="shared" si="16"/>
        <v>0</v>
      </c>
      <c r="R58" s="70">
        <f t="shared" si="17"/>
        <v>0</v>
      </c>
      <c r="S58" s="70">
        <f t="shared" si="18"/>
        <v>0</v>
      </c>
      <c r="T58" s="70"/>
      <c r="U58" s="90"/>
    </row>
    <row r="59" s="13" customFormat="1" ht="18" customHeight="1" spans="9:21">
      <c r="I59" s="81">
        <f t="shared" si="8"/>
        <v>0</v>
      </c>
      <c r="J59" s="38">
        <f t="shared" si="9"/>
        <v>0.255</v>
      </c>
      <c r="K59" s="70">
        <f t="shared" si="10"/>
        <v>0</v>
      </c>
      <c r="L59" s="70">
        <f t="shared" si="11"/>
        <v>0</v>
      </c>
      <c r="M59" s="70">
        <f t="shared" si="12"/>
        <v>0</v>
      </c>
      <c r="N59" s="70">
        <f t="shared" si="13"/>
        <v>0</v>
      </c>
      <c r="O59" s="70">
        <f t="shared" si="14"/>
        <v>0</v>
      </c>
      <c r="P59" s="70">
        <f t="shared" si="15"/>
        <v>0</v>
      </c>
      <c r="Q59" s="70">
        <f t="shared" si="16"/>
        <v>0</v>
      </c>
      <c r="R59" s="70">
        <f t="shared" si="17"/>
        <v>0</v>
      </c>
      <c r="S59" s="70">
        <f t="shared" si="18"/>
        <v>0</v>
      </c>
      <c r="T59" s="70"/>
      <c r="U59" s="90"/>
    </row>
    <row r="60" s="13" customFormat="1" ht="18" customHeight="1" spans="9:21">
      <c r="I60" s="81">
        <f t="shared" si="8"/>
        <v>0</v>
      </c>
      <c r="J60" s="38">
        <f t="shared" si="9"/>
        <v>0.256</v>
      </c>
      <c r="K60" s="70">
        <f t="shared" si="10"/>
        <v>0</v>
      </c>
      <c r="L60" s="70">
        <f t="shared" si="11"/>
        <v>0</v>
      </c>
      <c r="M60" s="70">
        <f t="shared" si="12"/>
        <v>0</v>
      </c>
      <c r="N60" s="70">
        <f t="shared" si="13"/>
        <v>0</v>
      </c>
      <c r="O60" s="70">
        <f t="shared" si="14"/>
        <v>0</v>
      </c>
      <c r="P60" s="70">
        <f t="shared" si="15"/>
        <v>0</v>
      </c>
      <c r="Q60" s="70">
        <f t="shared" si="16"/>
        <v>0</v>
      </c>
      <c r="R60" s="70">
        <f t="shared" si="17"/>
        <v>0</v>
      </c>
      <c r="S60" s="70">
        <f t="shared" si="18"/>
        <v>0</v>
      </c>
      <c r="T60" s="70"/>
      <c r="U60" s="90"/>
    </row>
    <row r="61" s="13" customFormat="1" ht="18" customHeight="1" spans="9:21">
      <c r="I61" s="81">
        <f t="shared" si="8"/>
        <v>0</v>
      </c>
      <c r="J61" s="38">
        <f t="shared" si="9"/>
        <v>0.257</v>
      </c>
      <c r="K61" s="70">
        <f t="shared" si="10"/>
        <v>0</v>
      </c>
      <c r="L61" s="70">
        <f t="shared" si="11"/>
        <v>0</v>
      </c>
      <c r="M61" s="70">
        <f t="shared" si="12"/>
        <v>0</v>
      </c>
      <c r="N61" s="70">
        <f t="shared" si="13"/>
        <v>0</v>
      </c>
      <c r="O61" s="70">
        <f t="shared" si="14"/>
        <v>0</v>
      </c>
      <c r="P61" s="70">
        <f t="shared" si="15"/>
        <v>0</v>
      </c>
      <c r="Q61" s="70">
        <f t="shared" si="16"/>
        <v>0</v>
      </c>
      <c r="R61" s="70">
        <f t="shared" si="17"/>
        <v>0</v>
      </c>
      <c r="S61" s="70">
        <f t="shared" si="18"/>
        <v>0</v>
      </c>
      <c r="T61" s="70"/>
      <c r="U61" s="90"/>
    </row>
    <row r="62" s="13" customFormat="1" ht="18" customHeight="1" spans="9:21">
      <c r="I62" s="81">
        <f t="shared" si="8"/>
        <v>0</v>
      </c>
      <c r="J62" s="38">
        <f t="shared" si="9"/>
        <v>0.258</v>
      </c>
      <c r="K62" s="70">
        <f t="shared" si="10"/>
        <v>0</v>
      </c>
      <c r="L62" s="70">
        <f t="shared" si="11"/>
        <v>0</v>
      </c>
      <c r="M62" s="70">
        <f t="shared" si="12"/>
        <v>0</v>
      </c>
      <c r="N62" s="70">
        <f t="shared" si="13"/>
        <v>0</v>
      </c>
      <c r="O62" s="70">
        <f t="shared" si="14"/>
        <v>0</v>
      </c>
      <c r="P62" s="70">
        <f t="shared" si="15"/>
        <v>0</v>
      </c>
      <c r="Q62" s="70">
        <f t="shared" si="16"/>
        <v>0</v>
      </c>
      <c r="R62" s="70">
        <f t="shared" si="17"/>
        <v>0</v>
      </c>
      <c r="S62" s="70">
        <f t="shared" si="18"/>
        <v>0</v>
      </c>
      <c r="T62" s="70"/>
      <c r="U62" s="90"/>
    </row>
    <row r="63" s="13" customFormat="1" ht="18" customHeight="1" spans="9:21">
      <c r="I63" s="81">
        <f t="shared" si="8"/>
        <v>0</v>
      </c>
      <c r="J63" s="38">
        <f t="shared" si="9"/>
        <v>0.259</v>
      </c>
      <c r="K63" s="70">
        <f t="shared" si="10"/>
        <v>0</v>
      </c>
      <c r="L63" s="70">
        <f t="shared" si="11"/>
        <v>0</v>
      </c>
      <c r="M63" s="70">
        <f t="shared" si="12"/>
        <v>0</v>
      </c>
      <c r="N63" s="70">
        <f t="shared" si="13"/>
        <v>0</v>
      </c>
      <c r="O63" s="70">
        <f t="shared" si="14"/>
        <v>0</v>
      </c>
      <c r="P63" s="70">
        <f t="shared" si="15"/>
        <v>0</v>
      </c>
      <c r="Q63" s="70">
        <f t="shared" si="16"/>
        <v>0</v>
      </c>
      <c r="R63" s="70">
        <f t="shared" si="17"/>
        <v>0</v>
      </c>
      <c r="S63" s="70">
        <f t="shared" si="18"/>
        <v>0</v>
      </c>
      <c r="T63" s="70"/>
      <c r="U63" s="90"/>
    </row>
    <row r="64" s="13" customFormat="1" ht="18" customHeight="1" spans="9:21">
      <c r="I64" s="81">
        <f t="shared" si="8"/>
        <v>0</v>
      </c>
      <c r="J64" s="38">
        <f t="shared" si="9"/>
        <v>0.26</v>
      </c>
      <c r="K64" s="70">
        <f t="shared" si="10"/>
        <v>0</v>
      </c>
      <c r="L64" s="70">
        <f t="shared" si="11"/>
        <v>0</v>
      </c>
      <c r="M64" s="70">
        <f t="shared" si="12"/>
        <v>0</v>
      </c>
      <c r="N64" s="70">
        <f t="shared" si="13"/>
        <v>0</v>
      </c>
      <c r="O64" s="70">
        <f t="shared" si="14"/>
        <v>0</v>
      </c>
      <c r="P64" s="70">
        <f t="shared" si="15"/>
        <v>0</v>
      </c>
      <c r="Q64" s="70">
        <f t="shared" si="16"/>
        <v>0</v>
      </c>
      <c r="R64" s="70">
        <f t="shared" si="17"/>
        <v>0</v>
      </c>
      <c r="S64" s="70">
        <f t="shared" si="18"/>
        <v>0</v>
      </c>
      <c r="T64" s="70"/>
      <c r="U64" s="90"/>
    </row>
    <row r="65" s="13" customFormat="1" ht="18" customHeight="1" spans="9:21">
      <c r="I65" s="81">
        <f t="shared" si="8"/>
        <v>0</v>
      </c>
      <c r="J65" s="38">
        <f t="shared" si="9"/>
        <v>0.261</v>
      </c>
      <c r="K65" s="70">
        <f t="shared" si="10"/>
        <v>0</v>
      </c>
      <c r="L65" s="70">
        <f t="shared" si="11"/>
        <v>0</v>
      </c>
      <c r="M65" s="70">
        <f t="shared" si="12"/>
        <v>0</v>
      </c>
      <c r="N65" s="70">
        <f t="shared" si="13"/>
        <v>0</v>
      </c>
      <c r="O65" s="70">
        <f t="shared" si="14"/>
        <v>0</v>
      </c>
      <c r="P65" s="70">
        <f t="shared" si="15"/>
        <v>0</v>
      </c>
      <c r="Q65" s="70">
        <f t="shared" si="16"/>
        <v>0</v>
      </c>
      <c r="R65" s="70">
        <f t="shared" si="17"/>
        <v>0</v>
      </c>
      <c r="S65" s="70">
        <f t="shared" si="18"/>
        <v>0</v>
      </c>
      <c r="T65" s="70"/>
      <c r="U65" s="90"/>
    </row>
    <row r="66" s="13" customFormat="1" ht="18" customHeight="1" spans="9:21">
      <c r="I66" s="81">
        <f t="shared" si="8"/>
        <v>0</v>
      </c>
      <c r="J66" s="38">
        <f t="shared" si="9"/>
        <v>0.262</v>
      </c>
      <c r="K66" s="70">
        <f t="shared" si="10"/>
        <v>0</v>
      </c>
      <c r="L66" s="70">
        <f t="shared" si="11"/>
        <v>0</v>
      </c>
      <c r="M66" s="70">
        <f t="shared" si="12"/>
        <v>0</v>
      </c>
      <c r="N66" s="70">
        <f t="shared" si="13"/>
        <v>0</v>
      </c>
      <c r="O66" s="70">
        <f t="shared" si="14"/>
        <v>0</v>
      </c>
      <c r="P66" s="70">
        <f t="shared" si="15"/>
        <v>0</v>
      </c>
      <c r="Q66" s="70">
        <f t="shared" si="16"/>
        <v>0</v>
      </c>
      <c r="R66" s="70">
        <f t="shared" si="17"/>
        <v>0</v>
      </c>
      <c r="S66" s="70">
        <f t="shared" si="18"/>
        <v>0</v>
      </c>
      <c r="T66" s="70"/>
      <c r="U66" s="90"/>
    </row>
    <row r="67" s="13" customFormat="1" ht="18" customHeight="1" spans="9:21">
      <c r="I67" s="81">
        <f t="shared" si="8"/>
        <v>0</v>
      </c>
      <c r="J67" s="38">
        <f t="shared" si="9"/>
        <v>0.263</v>
      </c>
      <c r="K67" s="70">
        <f t="shared" si="10"/>
        <v>0</v>
      </c>
      <c r="L67" s="70">
        <f t="shared" si="11"/>
        <v>0</v>
      </c>
      <c r="M67" s="70">
        <f t="shared" si="12"/>
        <v>0</v>
      </c>
      <c r="N67" s="70">
        <f t="shared" si="13"/>
        <v>0</v>
      </c>
      <c r="O67" s="70">
        <f t="shared" si="14"/>
        <v>0</v>
      </c>
      <c r="P67" s="70">
        <f t="shared" si="15"/>
        <v>0</v>
      </c>
      <c r="Q67" s="70">
        <f t="shared" si="16"/>
        <v>0</v>
      </c>
      <c r="R67" s="70">
        <f t="shared" si="17"/>
        <v>0</v>
      </c>
      <c r="S67" s="70">
        <f t="shared" si="18"/>
        <v>0</v>
      </c>
      <c r="T67" s="70"/>
      <c r="U67" s="90"/>
    </row>
    <row r="68" s="13" customFormat="1" ht="18" customHeight="1" spans="9:21">
      <c r="I68" s="81">
        <f t="shared" si="8"/>
        <v>0</v>
      </c>
      <c r="J68" s="38">
        <f t="shared" si="9"/>
        <v>0.264</v>
      </c>
      <c r="K68" s="70">
        <f t="shared" si="10"/>
        <v>0</v>
      </c>
      <c r="L68" s="70">
        <f t="shared" si="11"/>
        <v>0</v>
      </c>
      <c r="M68" s="70">
        <f t="shared" si="12"/>
        <v>0</v>
      </c>
      <c r="N68" s="70">
        <f t="shared" si="13"/>
        <v>0</v>
      </c>
      <c r="O68" s="70">
        <f t="shared" si="14"/>
        <v>0</v>
      </c>
      <c r="P68" s="70">
        <f t="shared" si="15"/>
        <v>0</v>
      </c>
      <c r="Q68" s="70">
        <f t="shared" si="16"/>
        <v>0</v>
      </c>
      <c r="R68" s="70">
        <f t="shared" si="17"/>
        <v>0</v>
      </c>
      <c r="S68" s="70">
        <f t="shared" si="18"/>
        <v>0</v>
      </c>
      <c r="T68" s="70"/>
      <c r="U68" s="90"/>
    </row>
    <row r="69" s="13" customFormat="1" ht="18" customHeight="1" spans="9:21">
      <c r="I69" s="81">
        <f t="shared" si="8"/>
        <v>0</v>
      </c>
      <c r="J69" s="38">
        <f t="shared" si="9"/>
        <v>0.265</v>
      </c>
      <c r="K69" s="70">
        <f t="shared" si="10"/>
        <v>0</v>
      </c>
      <c r="L69" s="70">
        <f t="shared" si="11"/>
        <v>0</v>
      </c>
      <c r="M69" s="70">
        <f t="shared" si="12"/>
        <v>0</v>
      </c>
      <c r="N69" s="70">
        <f t="shared" si="13"/>
        <v>0</v>
      </c>
      <c r="O69" s="70">
        <f t="shared" si="14"/>
        <v>0</v>
      </c>
      <c r="P69" s="70">
        <f t="shared" si="15"/>
        <v>0</v>
      </c>
      <c r="Q69" s="70">
        <f t="shared" si="16"/>
        <v>0</v>
      </c>
      <c r="R69" s="70">
        <f t="shared" si="17"/>
        <v>0</v>
      </c>
      <c r="S69" s="70">
        <f t="shared" si="18"/>
        <v>0</v>
      </c>
      <c r="T69" s="70"/>
      <c r="U69" s="90"/>
    </row>
    <row r="70" s="13" customFormat="1" ht="18" customHeight="1" spans="9:21">
      <c r="I70" s="81">
        <f t="shared" si="8"/>
        <v>0</v>
      </c>
      <c r="J70" s="38">
        <f t="shared" si="9"/>
        <v>0.266</v>
      </c>
      <c r="K70" s="70">
        <f t="shared" si="10"/>
        <v>0</v>
      </c>
      <c r="L70" s="70">
        <f t="shared" si="11"/>
        <v>0</v>
      </c>
      <c r="M70" s="70">
        <f t="shared" si="12"/>
        <v>0</v>
      </c>
      <c r="N70" s="70">
        <f t="shared" si="13"/>
        <v>0</v>
      </c>
      <c r="O70" s="70">
        <f t="shared" si="14"/>
        <v>0</v>
      </c>
      <c r="P70" s="70">
        <f t="shared" si="15"/>
        <v>0</v>
      </c>
      <c r="Q70" s="70">
        <f t="shared" si="16"/>
        <v>0</v>
      </c>
      <c r="R70" s="70">
        <f t="shared" si="17"/>
        <v>0</v>
      </c>
      <c r="S70" s="70">
        <f t="shared" si="18"/>
        <v>0</v>
      </c>
      <c r="T70" s="70"/>
      <c r="U70" s="90"/>
    </row>
    <row r="71" s="13" customFormat="1" ht="18" customHeight="1" spans="9:21">
      <c r="I71" s="97" t="s">
        <v>100</v>
      </c>
      <c r="J71" s="98"/>
      <c r="K71" s="99">
        <f t="shared" ref="K71:S71" si="19">SUM(K51:K70)</f>
        <v>0</v>
      </c>
      <c r="L71" s="99">
        <f t="shared" si="19"/>
        <v>0</v>
      </c>
      <c r="M71" s="99">
        <f t="shared" si="19"/>
        <v>0</v>
      </c>
      <c r="N71" s="99">
        <f t="shared" si="19"/>
        <v>0</v>
      </c>
      <c r="O71" s="99">
        <f t="shared" si="19"/>
        <v>0</v>
      </c>
      <c r="P71" s="151">
        <f t="shared" si="19"/>
        <v>0</v>
      </c>
      <c r="Q71" s="151">
        <f t="shared" si="19"/>
        <v>0</v>
      </c>
      <c r="R71" s="99">
        <f t="shared" si="19"/>
        <v>0</v>
      </c>
      <c r="S71" s="99">
        <f t="shared" si="19"/>
        <v>0</v>
      </c>
      <c r="T71" s="99"/>
      <c r="U71" s="101">
        <f>SUM(K71:T71)</f>
        <v>0</v>
      </c>
    </row>
    <row r="72" ht="18" customHeight="1" spans="11:20">
      <c r="K72" s="67">
        <f>K50</f>
        <v>575</v>
      </c>
      <c r="L72" s="67">
        <f t="shared" ref="L72:T72" si="20">L50</f>
        <v>580</v>
      </c>
      <c r="M72" s="67">
        <f t="shared" si="20"/>
        <v>585</v>
      </c>
      <c r="N72" s="67">
        <f t="shared" si="20"/>
        <v>590</v>
      </c>
      <c r="O72" s="67">
        <f t="shared" si="20"/>
        <v>595</v>
      </c>
      <c r="P72" s="67">
        <f t="shared" si="20"/>
        <v>600</v>
      </c>
      <c r="Q72" s="67">
        <f t="shared" si="20"/>
        <v>605</v>
      </c>
      <c r="R72" s="67">
        <f t="shared" si="20"/>
        <v>610</v>
      </c>
      <c r="S72" s="67">
        <f t="shared" si="20"/>
        <v>615</v>
      </c>
      <c r="T72" s="67">
        <f t="shared" si="20"/>
        <v>620</v>
      </c>
    </row>
    <row r="73" ht="4.8" customHeight="1" spans="9:9">
      <c r="I73" s="100"/>
    </row>
    <row r="74" ht="4.8" customHeight="1" spans="9:9">
      <c r="I74" s="100"/>
    </row>
    <row r="75" ht="4.8" customHeight="1" spans="9:9">
      <c r="I75" s="100"/>
    </row>
    <row r="76" ht="26.4" customHeight="1" spans="1:16">
      <c r="A76" s="92" t="s">
        <v>101</v>
      </c>
      <c r="B76" s="93" t="s">
        <v>89</v>
      </c>
      <c r="C76" s="93" t="str">
        <f>C9</f>
        <v>芜湖</v>
      </c>
      <c r="D76" s="93" t="str">
        <f t="shared" ref="D76:O76" si="21">D9</f>
        <v>弘元</v>
      </c>
      <c r="E76" s="93" t="str">
        <f t="shared" si="21"/>
        <v>英发</v>
      </c>
      <c r="F76" s="93" t="str">
        <f t="shared" si="21"/>
        <v>润阳</v>
      </c>
      <c r="G76" s="93" t="str">
        <f t="shared" si="21"/>
        <v>和光同程</v>
      </c>
      <c r="H76" s="93" t="str">
        <f t="shared" si="21"/>
        <v>中润</v>
      </c>
      <c r="I76" s="93" t="str">
        <f t="shared" si="21"/>
        <v>通威</v>
      </c>
      <c r="J76" s="93" t="str">
        <f t="shared" si="21"/>
        <v>赛福天</v>
      </c>
      <c r="K76" s="93" t="str">
        <f t="shared" si="21"/>
        <v>卓耀</v>
      </c>
      <c r="L76" s="93" t="str">
        <f t="shared" si="21"/>
        <v>爱旭</v>
      </c>
      <c r="M76" s="93" t="str">
        <f t="shared" si="21"/>
        <v>厂家11</v>
      </c>
      <c r="N76" s="93" t="str">
        <f t="shared" si="21"/>
        <v>厂家12</v>
      </c>
      <c r="O76" s="93" t="str">
        <f t="shared" si="21"/>
        <v>厂家13</v>
      </c>
      <c r="P76" s="152"/>
    </row>
    <row r="77" ht="17.4" customHeight="1" spans="1:15">
      <c r="A77" s="92"/>
      <c r="B77" s="94">
        <f>C29</f>
        <v>0.247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</row>
    <row r="78" ht="17.4" customHeight="1" spans="1:15">
      <c r="A78" s="92"/>
      <c r="B78" s="94">
        <f t="shared" ref="B78:B96" si="22">C30</f>
        <v>0.248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</row>
    <row r="79" ht="17.4" customHeight="1" spans="1:15">
      <c r="A79" s="92"/>
      <c r="B79" s="94">
        <f t="shared" si="22"/>
        <v>0.249</v>
      </c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</row>
    <row r="80" ht="17.4" customHeight="1" spans="1:15">
      <c r="A80" s="92"/>
      <c r="B80" s="94">
        <f t="shared" si="22"/>
        <v>0.25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</row>
    <row r="81" ht="17.4" customHeight="1" spans="1:15">
      <c r="A81" s="92"/>
      <c r="B81" s="94">
        <f t="shared" si="22"/>
        <v>0.251</v>
      </c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</row>
    <row r="82" ht="17.4" customHeight="1" spans="1:15">
      <c r="A82" s="92"/>
      <c r="B82" s="94">
        <f t="shared" si="22"/>
        <v>0.252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</row>
    <row r="83" ht="17.4" customHeight="1" spans="1:15">
      <c r="A83" s="92"/>
      <c r="B83" s="94">
        <f t="shared" si="22"/>
        <v>0.253</v>
      </c>
      <c r="C83" s="95">
        <v>0.106283422459893</v>
      </c>
      <c r="D83" s="95"/>
      <c r="E83" s="95"/>
      <c r="F83" s="95">
        <v>0.175219023779725</v>
      </c>
      <c r="G83" s="95">
        <v>0.168942405477905</v>
      </c>
      <c r="H83" s="95">
        <v>0.0973329245861435</v>
      </c>
      <c r="I83" s="95">
        <v>0.0673575129533679</v>
      </c>
      <c r="J83" s="95"/>
      <c r="K83" s="95"/>
      <c r="L83" s="95"/>
      <c r="M83" s="95"/>
      <c r="N83" s="95"/>
      <c r="O83" s="95"/>
    </row>
    <row r="84" ht="17.4" customHeight="1" spans="1:15">
      <c r="A84" s="92"/>
      <c r="B84" s="94">
        <f t="shared" si="22"/>
        <v>0.254</v>
      </c>
      <c r="C84" s="95">
        <v>0.195187165775401</v>
      </c>
      <c r="D84" s="95"/>
      <c r="E84" s="95">
        <v>0.206521739130435</v>
      </c>
      <c r="F84" s="95">
        <v>0.350438047559449</v>
      </c>
      <c r="G84" s="95">
        <v>0.544458384336261</v>
      </c>
      <c r="H84" s="95">
        <v>0.369681177191907</v>
      </c>
      <c r="I84" s="95">
        <v>0.362694300518135</v>
      </c>
      <c r="J84" s="95"/>
      <c r="K84" s="95"/>
      <c r="L84" s="95"/>
      <c r="M84" s="95"/>
      <c r="N84" s="95"/>
      <c r="O84" s="95"/>
    </row>
    <row r="85" ht="17.4" customHeight="1" spans="1:15">
      <c r="A85" s="92"/>
      <c r="B85" s="94">
        <f t="shared" si="22"/>
        <v>0.255</v>
      </c>
      <c r="C85" s="150">
        <v>0.372103386809269</v>
      </c>
      <c r="D85" s="95"/>
      <c r="E85" s="95">
        <v>0.358695652173913</v>
      </c>
      <c r="F85" s="95">
        <v>0.394972882770129</v>
      </c>
      <c r="G85" s="95">
        <v>0.280308818864851</v>
      </c>
      <c r="H85" s="95">
        <v>0.43032904148784</v>
      </c>
      <c r="I85" s="95">
        <v>0.518134715025907</v>
      </c>
      <c r="J85" s="95"/>
      <c r="K85" s="95"/>
      <c r="L85" s="95"/>
      <c r="M85" s="95"/>
      <c r="N85" s="95"/>
      <c r="O85" s="95"/>
    </row>
    <row r="86" ht="17.4" customHeight="1" spans="1:15">
      <c r="A86" s="92"/>
      <c r="B86" s="94">
        <f t="shared" si="22"/>
        <v>0.256</v>
      </c>
      <c r="C86" s="150">
        <v>0.301916221033868</v>
      </c>
      <c r="D86" s="95"/>
      <c r="E86" s="95">
        <v>0.434782608695652</v>
      </c>
      <c r="F86" s="95">
        <v>0.0677930746766792</v>
      </c>
      <c r="G86" s="95">
        <v>0.00629039132098217</v>
      </c>
      <c r="H86" s="95">
        <v>0.100275904353158</v>
      </c>
      <c r="I86" s="95">
        <v>0.0518134715025907</v>
      </c>
      <c r="J86" s="95"/>
      <c r="K86" s="95"/>
      <c r="L86" s="95"/>
      <c r="M86" s="95"/>
      <c r="N86" s="95"/>
      <c r="O86" s="95"/>
    </row>
    <row r="87" ht="17.4" customHeight="1" spans="1:15">
      <c r="A87" s="92"/>
      <c r="B87" s="94">
        <f t="shared" si="22"/>
        <v>0.257</v>
      </c>
      <c r="C87" s="150">
        <v>0.0245098039215686</v>
      </c>
      <c r="D87" s="95"/>
      <c r="E87" s="95">
        <v>0</v>
      </c>
      <c r="F87" s="95">
        <v>0.0115769712140175</v>
      </c>
      <c r="G87" s="95">
        <v>0</v>
      </c>
      <c r="H87" s="95">
        <v>0.00238095238095238</v>
      </c>
      <c r="I87" s="95"/>
      <c r="J87" s="95"/>
      <c r="K87" s="95"/>
      <c r="L87" s="95"/>
      <c r="M87" s="95"/>
      <c r="N87" s="95"/>
      <c r="O87" s="95"/>
    </row>
    <row r="88" ht="17.4" customHeight="1" spans="1:15">
      <c r="A88" s="92"/>
      <c r="B88" s="94">
        <f t="shared" si="22"/>
        <v>0.258</v>
      </c>
      <c r="C88" s="150">
        <v>0</v>
      </c>
      <c r="D88" s="95"/>
      <c r="E88" s="95"/>
      <c r="F88" s="95"/>
      <c r="G88" s="95"/>
      <c r="H88" s="95">
        <v>0</v>
      </c>
      <c r="I88" s="95"/>
      <c r="J88" s="95"/>
      <c r="K88" s="95"/>
      <c r="L88" s="95"/>
      <c r="M88" s="95"/>
      <c r="N88" s="95"/>
      <c r="O88" s="95"/>
    </row>
    <row r="89" ht="17.4" customHeight="1" spans="1:15">
      <c r="A89" s="92"/>
      <c r="B89" s="94">
        <f t="shared" si="22"/>
        <v>0.259</v>
      </c>
      <c r="C89" s="150">
        <v>0</v>
      </c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</row>
    <row r="90" ht="17.4" customHeight="1" spans="1:15">
      <c r="A90" s="92"/>
      <c r="B90" s="94">
        <f t="shared" si="22"/>
        <v>0.26</v>
      </c>
      <c r="C90" s="150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</row>
    <row r="91" ht="17.4" customHeight="1" spans="1:15">
      <c r="A91" s="92"/>
      <c r="B91" s="94">
        <f t="shared" si="22"/>
        <v>0.261</v>
      </c>
      <c r="C91" s="150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</row>
    <row r="92" ht="17.4" customHeight="1" spans="1:15">
      <c r="A92" s="92"/>
      <c r="B92" s="94">
        <f t="shared" si="22"/>
        <v>0.262</v>
      </c>
      <c r="C92" s="150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</row>
    <row r="93" ht="17.4" customHeight="1" spans="1:15">
      <c r="A93" s="92"/>
      <c r="B93" s="94">
        <f t="shared" si="22"/>
        <v>0.263</v>
      </c>
      <c r="C93" s="150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</row>
    <row r="94" ht="17.4" customHeight="1" spans="1:15">
      <c r="A94" s="92"/>
      <c r="B94" s="94">
        <f t="shared" si="22"/>
        <v>0.264</v>
      </c>
      <c r="C94" s="150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</row>
    <row r="95" ht="17.4" customHeight="1" spans="1:15">
      <c r="A95" s="92"/>
      <c r="B95" s="94">
        <f t="shared" si="22"/>
        <v>0.265</v>
      </c>
      <c r="C95" s="150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</row>
    <row r="96" ht="17.4" customHeight="1" spans="1:15">
      <c r="A96" s="92"/>
      <c r="B96" s="94">
        <f t="shared" si="22"/>
        <v>0.266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</row>
  </sheetData>
  <sheetProtection formatCells="0" formatColumns="0" formatRows="0" insertRows="0" insertColumns="0" insertHyperlinks="0" deleteColumns="0" deleteRows="0" sort="0" autoFilter="0" pivotTables="0"/>
  <mergeCells count="22">
    <mergeCell ref="A1:F1"/>
    <mergeCell ref="G1:I1"/>
    <mergeCell ref="L1:O1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{ac96d843-c76b-4fc5-aad1-f3a46fe63143}</x14:id>
        </ext>
      </extLst>
    </cfRule>
  </conditionalFormatting>
  <conditionalFormatting sqref="D3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{a93db2bb-14a2-4701-a623-74a52c138cf9}</x14:id>
        </ext>
      </extLst>
    </cfRule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{85bc3c15-2302-4300-85ff-aa54c1e42200}</x14:id>
        </ext>
      </extLst>
    </cfRule>
  </conditionalFormatting>
  <conditionalFormatting sqref="C85:C95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{ab42f55a-7bba-40b2-8a40-bac933836928}</x14:id>
        </ext>
      </extLst>
    </cfRule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{2d494bb9-9e2e-4386-b840-5963c64e38bb}</x14:id>
        </ext>
      </extLst>
    </cfRule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{502da7c2-2aef-4e04-b665-643cc3e675d7}</x14:id>
        </ext>
      </extLst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{3aa2d846-0997-4476-be76-3c00811753e6}</x14:id>
        </ext>
      </extLst>
    </cfRule>
  </conditionalFormatting>
  <conditionalFormatting sqref="D29:D48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{99c0445e-2a92-47b1-a53a-86330fda3f89}</x14:id>
        </ext>
      </extLst>
    </cfRule>
  </conditionalFormatting>
  <conditionalFormatting sqref="D33:D44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{acd212a7-75fd-4bdb-8006-a6dfc50cfe59}</x14:id>
        </ext>
      </extLst>
    </cfRule>
  </conditionalFormatting>
  <conditionalFormatting sqref="D45:D48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{0b784d88-e283-43e0-857d-deb690e1920e}</x14:id>
        </ext>
      </extLst>
    </cfRule>
    <cfRule type="dataBar" priority="1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{be143f78-bd51-46b1-90c5-c721fe7eb7e0}</x14:id>
        </ext>
      </extLst>
    </cfRule>
  </conditionalFormatting>
  <conditionalFormatting sqref="D49:D50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{7c71e6aa-0b0b-4f75-900f-5971c1442361}</x14:id>
        </ext>
      </extLst>
    </cfRule>
    <cfRule type="dataBar" priority="1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{354a746b-dcb9-4e32-8125-d80895ae1655}</x14:id>
        </ext>
      </extLst>
    </cfRule>
  </conditionalFormatting>
  <conditionalFormatting sqref="D29:D32 D45:D48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{dd4fc992-56d4-435a-ae54-0c3d740f4c27}</x14:id>
        </ext>
      </extLst>
    </cfRule>
  </conditionalFormatting>
  <conditionalFormatting sqref="K29:R48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{4626f905-a907-4e76-b9a0-736694ce465e}</x14:id>
        </ext>
      </extLst>
    </cfRule>
  </conditionalFormatting>
  <conditionalFormatting sqref="K29:T48">
    <cfRule type="dataBar" priority="3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{23759b62-694a-4183-9492-3196971273b7}</x14:id>
        </ext>
      </extLst>
    </cfRule>
  </conditionalFormatting>
  <conditionalFormatting sqref="K29:S48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{2b652d6d-63ce-4173-be3c-bf5b1c9d0d07}</x14:id>
        </ext>
      </extLst>
    </cfRule>
  </conditionalFormatting>
  <conditionalFormatting sqref="M29:O30 O35 N31:O34 M31:M48">
    <cfRule type="dataBar" priority="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{12fecb2f-0f73-43db-80c0-689bf7a383b1}</x14:id>
        </ext>
      </extLst>
    </cfRule>
    <cfRule type="colorScale" priority="28">
      <colorScale>
        <cfvo type="percent" val="0"/>
        <cfvo type="percent" val="0"/>
        <color theme="0"/>
        <color theme="0"/>
      </colorScale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{32376e54-e9fb-4463-b84b-35fcf49923c2}</x14:id>
        </ext>
      </extLst>
    </cfRule>
    <cfRule type="dataBar" priority="3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{cb8c4229-dfc9-4a4a-b5f3-64aca7658562}</x14:id>
        </ext>
      </extLst>
    </cfRule>
    <cfRule type="dataBar" priority="3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{f6324c62-27e2-401b-af9e-b5bf8d786ba5}</x14:id>
        </ext>
      </extLst>
    </cfRule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{f7a2c135-8511-42b3-ad3f-3aced69105a9}</x14:id>
        </ext>
      </extLst>
    </cfRule>
  </conditionalFormatting>
  <conditionalFormatting sqref="P29:R3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{b0ae282d-1d45-43a9-a76a-ed5ad60663f2}</x14:id>
        </ext>
      </extLst>
    </cfRule>
    <cfRule type="colorScale" priority="21">
      <colorScale>
        <cfvo type="percent" val="0"/>
        <cfvo type="percent" val="0"/>
        <color theme="0"/>
        <color theme="0"/>
      </colorScale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{9b1c0035-8a0a-4bbb-92aa-0b6cb6bbe5d0}</x14:id>
        </ext>
      </extLst>
    </cfRule>
    <cfRule type="dataBar" priority="2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{f57466c2-cff3-4fb1-a554-c92040ecc7f1}</x14:id>
        </ext>
      </extLst>
    </cfRule>
    <cfRule type="dataBar" priority="2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{214a443c-9ff3-468d-972c-8306b28a229a}</x14:id>
        </ext>
      </extLst>
    </cfRule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{987fa93d-9002-4cf0-9509-3b39734a1ff6}</x14:id>
        </ext>
      </extLst>
    </cfRule>
  </conditionalFormatting>
  <conditionalFormatting sqref="S29:T48">
    <cfRule type="dataBar" priority="3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{2f85a117-50a2-4799-b634-95bd3e8d661c}</x14:id>
        </ext>
      </extLst>
    </cfRule>
    <cfRule type="dataBar" priority="35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{dffcc100-55d7-42b9-8c72-58007ce78045}</x14:id>
        </ext>
      </extLst>
    </cfRule>
    <cfRule type="colorScale" priority="351">
      <colorScale>
        <cfvo type="percent" val="0"/>
        <cfvo type="percent" val="0"/>
        <color theme="0"/>
        <color theme="0"/>
      </colorScale>
    </cfRule>
    <cfRule type="dataBar" priority="3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{32509e66-8734-4874-af13-d77167adadb3}</x14:id>
        </ext>
      </extLst>
    </cfRule>
    <cfRule type="dataBar" priority="35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{2ee471b4-c064-4a84-bf16-f6bebfc30080}</x14:id>
        </ext>
      </extLst>
    </cfRule>
    <cfRule type="dataBar" priority="35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{b9af9e28-32f8-476a-aacd-f77602ba1ff0}</x14:id>
        </ext>
      </extLst>
    </cfRule>
    <cfRule type="dataBar" priority="3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{895225d1-7d34-42e0-a5a7-5ae6692ca8e6}</x14:id>
        </ext>
      </extLst>
    </cfRule>
  </conditionalFormatting>
  <conditionalFormatting sqref="P36:R48"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{ad3d0dba-920b-4dbd-8b4d-a2ff0a9cc967}</x14:id>
        </ext>
      </extLst>
    </cfRule>
    <cfRule type="colorScale" priority="34">
      <colorScale>
        <cfvo type="percent" val="0"/>
        <cfvo type="percent" val="0"/>
        <color theme="0"/>
        <color theme="0"/>
      </colorScale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{6eed7b4f-64f0-4c1a-b47b-63fbf9709501}</x14:id>
        </ext>
      </extLst>
    </cfRule>
    <cfRule type="dataBar" priority="3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{56f62d55-568f-4711-8450-87c8a1f1e980}</x14:id>
        </ext>
      </extLst>
    </cfRule>
    <cfRule type="dataBar" priority="3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{883d1192-53fb-4ba0-ae15-84632f1bee6f}</x14:id>
        </ext>
      </extLst>
    </cfRule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{7132449a-1c54-4b73-be51-f745cdb79645}</x14:id>
        </ext>
      </extLst>
    </cfRule>
  </conditionalFormatting>
  <conditionalFormatting sqref="C77:O9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{92b0cd07-5427-44ec-a78e-2549201ff0b3}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96d843-c76b-4fc5-aad1-f3a46fe6314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a93db2bb-14a2-4701-a623-74a52c138c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5bc3c15-2302-4300-85ff-aa54c1e4220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ab42f55a-7bba-40b2-8a40-bac93383692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d494bb9-9e2e-4386-b840-5963c64e38b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502da7c2-2aef-4e04-b665-643cc3e675d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3aa2d846-0997-4476-be76-3c00811753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C85:C95</xm:sqref>
        </x14:conditionalFormatting>
        <x14:conditionalFormatting xmlns:xm="http://schemas.microsoft.com/office/excel/2006/main">
          <x14:cfRule type="dataBar" id="{99c0445e-2a92-47b1-a53a-86330fda3f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D29:D48</xm:sqref>
        </x14:conditionalFormatting>
        <x14:conditionalFormatting xmlns:xm="http://schemas.microsoft.com/office/excel/2006/main">
          <x14:cfRule type="dataBar" id="{acd212a7-75fd-4bdb-8006-a6dfc50cf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0b784d88-e283-43e0-857d-deb690e192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e143f78-bd51-46b1-90c5-c721fe7eb7e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7c71e6aa-0b0b-4f75-900f-5971c14423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54a746b-dcb9-4e32-8125-d80895ae1655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dd4fc992-56d4-435a-ae54-0c3d740f4c2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4626f905-a907-4e76-b9a0-736694ce46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23759b62-694a-4183-9492-3196971273b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2b652d6d-63ce-4173-be3c-bf5b1c9d0d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</xm:sqref>
        </x14:conditionalFormatting>
        <x14:conditionalFormatting xmlns:xm="http://schemas.microsoft.com/office/excel/2006/main">
          <x14:cfRule type="dataBar" id="{12fecb2f-0f73-43db-80c0-689bf7a383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32376e54-e9fb-4463-b84b-35fcf49923c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cb8c4229-dfc9-4a4a-b5f3-64aca765856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6324c62-27e2-401b-af9e-b5bf8d786ba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7a2c135-8511-42b3-ad3f-3aced69105a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b0ae282d-1d45-43a9-a76a-ed5ad60663f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9b1c0035-8a0a-4bbb-92aa-0b6cb6bbe5d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57466c2-cff3-4fb1-a554-c92040ecc7f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14a443c-9ff3-468d-972c-8306b28a229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87fa93d-9002-4cf0-9509-3b39734a1ff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2f85a117-50a2-4799-b634-95bd3e8d66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dffcc100-55d7-42b9-8c72-58007ce7804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32509e66-8734-4874-af13-d77167adadb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ee471b4-c064-4a84-bf16-f6bebfc3008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9af9e28-32f8-476a-aacd-f77602ba1ff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95225d1-7d34-42e0-a5a7-5ae6692ca8e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ad3d0dba-920b-4dbd-8b4d-a2ff0a9cc96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6eed7b4f-64f0-4c1a-b47b-63fbf970950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6f62d55-568f-4711-8450-87c8a1f1e98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83d1192-53fb-4ba0-ae15-84632f1bee6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7132449a-1c54-4b73-be51-f745cdb7964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92b0cd07-5427-44ec-a78e-2549201ff0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C77:O96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tabColor theme="4" tint="0.399945066682943"/>
  </sheetPr>
  <dimension ref="A1:Y96"/>
  <sheetViews>
    <sheetView showGridLines="0" zoomScale="70" zoomScaleNormal="70" topLeftCell="A7" workbookViewId="0">
      <selection activeCell="R32" sqref="R32"/>
    </sheetView>
  </sheetViews>
  <sheetFormatPr defaultColWidth="8.44444444444444" defaultRowHeight="13.2"/>
  <cols>
    <col min="1" max="19" width="10.5555555555556" style="16" customWidth="1"/>
    <col min="20" max="20" width="10.5555555555556" style="16" hidden="1" customWidth="1"/>
    <col min="21" max="21" width="10.5555555555556" style="16" customWidth="1"/>
    <col min="22" max="16384" width="8.44444444444444" style="16"/>
  </cols>
  <sheetData>
    <row r="1" s="12" customFormat="1" ht="40.8" customHeight="1" spans="1:21">
      <c r="A1" s="17" t="s">
        <v>102</v>
      </c>
      <c r="B1" s="17"/>
      <c r="C1" s="17"/>
      <c r="D1" s="17"/>
      <c r="E1" s="17"/>
      <c r="F1" s="17"/>
      <c r="G1" s="18" t="s">
        <v>1</v>
      </c>
      <c r="H1" s="18"/>
      <c r="I1" s="18"/>
      <c r="J1" s="136">
        <f>641.86-3.3</f>
        <v>638.56</v>
      </c>
      <c r="K1" s="58" t="s">
        <v>2</v>
      </c>
      <c r="L1" s="58" t="s">
        <v>3</v>
      </c>
      <c r="M1" s="58"/>
      <c r="N1" s="58"/>
      <c r="O1" s="58"/>
      <c r="Q1" s="82"/>
      <c r="R1" s="82"/>
      <c r="S1" s="82"/>
      <c r="T1" s="82"/>
      <c r="U1" s="82"/>
    </row>
    <row r="2" ht="1.95" customHeight="1" spans="8:21">
      <c r="H2" s="19"/>
      <c r="P2" s="12"/>
      <c r="Q2" s="82"/>
      <c r="R2" s="82"/>
      <c r="S2" s="82"/>
      <c r="T2" s="82"/>
      <c r="U2" s="82"/>
    </row>
    <row r="3" s="13" customFormat="1" ht="21.9" customHeight="1" spans="1:25">
      <c r="A3" s="20" t="s">
        <v>4</v>
      </c>
      <c r="B3" s="20">
        <v>0</v>
      </c>
      <c r="C3" s="24">
        <v>0.26</v>
      </c>
      <c r="D3" s="10">
        <v>0.24</v>
      </c>
      <c r="E3" s="10">
        <v>0.23</v>
      </c>
      <c r="F3" s="10" t="s">
        <v>5</v>
      </c>
      <c r="G3" s="10" t="s">
        <v>6</v>
      </c>
      <c r="H3" s="10" t="s">
        <v>7</v>
      </c>
      <c r="I3" s="10" t="s">
        <v>8</v>
      </c>
      <c r="J3" s="10" t="s">
        <v>9</v>
      </c>
      <c r="K3" s="10" t="s">
        <v>10</v>
      </c>
      <c r="L3" s="10" t="s">
        <v>11</v>
      </c>
      <c r="M3" s="10" t="s">
        <v>12</v>
      </c>
      <c r="N3" s="10" t="s">
        <v>13</v>
      </c>
      <c r="O3" s="10" t="s">
        <v>14</v>
      </c>
      <c r="P3" s="59"/>
      <c r="Q3" s="83"/>
      <c r="R3" s="83"/>
      <c r="S3" s="83"/>
      <c r="T3" s="83"/>
      <c r="U3" s="83"/>
      <c r="V3" s="84"/>
      <c r="W3" s="84"/>
      <c r="X3" s="84"/>
      <c r="Y3" s="84"/>
    </row>
    <row r="4" s="13" customFormat="1" ht="21.9" customHeight="1" spans="1:25">
      <c r="A4" s="20"/>
      <c r="B4" s="20"/>
      <c r="C4" s="24">
        <v>0</v>
      </c>
      <c r="D4" s="10">
        <v>-2</v>
      </c>
      <c r="E4" s="10">
        <v>-3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59"/>
      <c r="Q4" s="83"/>
      <c r="R4" s="83"/>
      <c r="S4" s="83"/>
      <c r="T4" s="83"/>
      <c r="U4" s="83"/>
      <c r="V4" s="84"/>
      <c r="W4" s="84"/>
      <c r="X4" s="84"/>
      <c r="Y4" s="84"/>
    </row>
    <row r="5" ht="1.95" customHeight="1" spans="16:21">
      <c r="P5" s="12"/>
      <c r="Q5" s="82"/>
      <c r="R5" s="82"/>
      <c r="S5" s="82"/>
      <c r="T5" s="82"/>
      <c r="U5" s="82"/>
    </row>
    <row r="6" s="13" customFormat="1" ht="24.6" customHeight="1" spans="1:25">
      <c r="A6" s="20" t="s">
        <v>15</v>
      </c>
      <c r="B6" s="20">
        <v>0</v>
      </c>
      <c r="C6" s="24" t="s">
        <v>16</v>
      </c>
      <c r="D6" s="23" t="s">
        <v>17</v>
      </c>
      <c r="E6" s="23" t="s">
        <v>18</v>
      </c>
      <c r="F6" s="10" t="s">
        <v>19</v>
      </c>
      <c r="G6" s="10" t="s">
        <v>20</v>
      </c>
      <c r="H6" s="10" t="s">
        <v>21</v>
      </c>
      <c r="I6" s="10" t="s">
        <v>22</v>
      </c>
      <c r="J6" s="10" t="s">
        <v>23</v>
      </c>
      <c r="K6" s="10" t="s">
        <v>24</v>
      </c>
      <c r="L6" s="10" t="s">
        <v>25</v>
      </c>
      <c r="M6" s="10" t="s">
        <v>26</v>
      </c>
      <c r="N6" s="10" t="s">
        <v>27</v>
      </c>
      <c r="O6" s="10" t="s">
        <v>28</v>
      </c>
      <c r="P6" s="59"/>
      <c r="Q6" s="83"/>
      <c r="R6" s="83"/>
      <c r="S6" s="83"/>
      <c r="T6" s="83"/>
      <c r="U6" s="83"/>
      <c r="V6" s="84"/>
      <c r="W6" s="84"/>
      <c r="X6" s="84"/>
      <c r="Y6" s="84"/>
    </row>
    <row r="7" s="13" customFormat="1" ht="24.6" customHeight="1" spans="1:25">
      <c r="A7" s="20"/>
      <c r="B7" s="20"/>
      <c r="C7" s="24">
        <v>0</v>
      </c>
      <c r="D7" s="10">
        <v>1.1</v>
      </c>
      <c r="E7" s="10">
        <v>1.6</v>
      </c>
      <c r="F7" s="10">
        <f>E7+D7</f>
        <v>2.7</v>
      </c>
      <c r="G7" s="10">
        <v>-4.6</v>
      </c>
      <c r="H7" s="10">
        <f>G7+E7</f>
        <v>-3</v>
      </c>
      <c r="I7" s="10"/>
      <c r="J7" s="10"/>
      <c r="K7" s="10"/>
      <c r="L7" s="10"/>
      <c r="M7" s="10"/>
      <c r="N7" s="10"/>
      <c r="O7" s="10"/>
      <c r="P7" s="59"/>
      <c r="Q7" s="83"/>
      <c r="R7" s="83"/>
      <c r="S7" s="83"/>
      <c r="T7" s="83"/>
      <c r="U7" s="83"/>
      <c r="V7" s="84"/>
      <c r="W7" s="84"/>
      <c r="X7" s="84"/>
      <c r="Y7" s="84"/>
    </row>
    <row r="8" ht="1.95" customHeight="1" spans="16:21">
      <c r="P8" s="12"/>
      <c r="Q8" s="82"/>
      <c r="R8" s="82"/>
      <c r="S8" s="82"/>
      <c r="T8" s="82"/>
      <c r="U8" s="82"/>
    </row>
    <row r="9" s="13" customFormat="1" ht="22.2" customHeight="1" spans="1:25">
      <c r="A9" s="20" t="s">
        <v>29</v>
      </c>
      <c r="B9" s="20">
        <v>5</v>
      </c>
      <c r="C9" s="127" t="s">
        <v>30</v>
      </c>
      <c r="D9" s="121" t="s">
        <v>33</v>
      </c>
      <c r="E9" s="121" t="s">
        <v>32</v>
      </c>
      <c r="F9" s="121" t="s">
        <v>35</v>
      </c>
      <c r="G9" s="121" t="s">
        <v>38</v>
      </c>
      <c r="H9" s="10" t="s">
        <v>34</v>
      </c>
      <c r="I9" s="121" t="s">
        <v>31</v>
      </c>
      <c r="J9" s="23" t="s">
        <v>103</v>
      </c>
      <c r="K9" s="121" t="s">
        <v>37</v>
      </c>
      <c r="L9" s="121" t="s">
        <v>36</v>
      </c>
      <c r="M9" s="121" t="s">
        <v>39</v>
      </c>
      <c r="N9" s="10" t="s">
        <v>41</v>
      </c>
      <c r="O9" s="10" t="s">
        <v>42</v>
      </c>
      <c r="P9" s="60"/>
      <c r="Q9" s="84"/>
      <c r="R9" s="84"/>
      <c r="S9" s="84"/>
      <c r="T9" s="84"/>
      <c r="U9" s="84"/>
      <c r="V9" s="84"/>
      <c r="W9" s="84"/>
      <c r="X9" s="84"/>
      <c r="Y9" s="84"/>
    </row>
    <row r="10" s="13" customFormat="1" ht="22.2" customHeight="1" spans="1:25">
      <c r="A10" s="20"/>
      <c r="B10" s="20"/>
      <c r="C10" s="130">
        <v>5</v>
      </c>
      <c r="D10" s="131">
        <v>4.3</v>
      </c>
      <c r="E10" s="131">
        <v>-1</v>
      </c>
      <c r="F10" s="131">
        <v>2.8</v>
      </c>
      <c r="G10" s="131">
        <v>-1</v>
      </c>
      <c r="H10" s="108">
        <v>1.3</v>
      </c>
      <c r="I10" s="131">
        <v>5.4</v>
      </c>
      <c r="J10" s="108">
        <v>5</v>
      </c>
      <c r="K10" s="131">
        <v>3.9</v>
      </c>
      <c r="L10" s="131">
        <v>5.5</v>
      </c>
      <c r="M10" s="131">
        <v>2.8</v>
      </c>
      <c r="N10" s="25"/>
      <c r="O10" s="25"/>
      <c r="P10" s="59"/>
      <c r="Q10" s="85"/>
      <c r="R10" s="85"/>
      <c r="S10" s="85"/>
      <c r="T10" s="85"/>
      <c r="U10" s="85"/>
      <c r="V10" s="85"/>
      <c r="W10" s="85"/>
      <c r="X10" s="84"/>
      <c r="Y10" s="84"/>
    </row>
    <row r="11" ht="1.95" customHeight="1" spans="16:21">
      <c r="P11" s="12"/>
      <c r="Q11" s="82"/>
      <c r="R11" s="82"/>
      <c r="S11" s="82"/>
      <c r="T11" s="82"/>
      <c r="U11" s="82"/>
    </row>
    <row r="12" s="13" customFormat="1" ht="25.2" customHeight="1" spans="1:25">
      <c r="A12" s="20" t="s">
        <v>43</v>
      </c>
      <c r="B12" s="20">
        <v>0</v>
      </c>
      <c r="C12" s="22" t="s">
        <v>104</v>
      </c>
      <c r="D12" s="23" t="s">
        <v>45</v>
      </c>
      <c r="E12" s="10" t="s">
        <v>46</v>
      </c>
      <c r="F12" s="10" t="s">
        <v>5</v>
      </c>
      <c r="G12" s="10" t="s">
        <v>6</v>
      </c>
      <c r="H12" s="10" t="s">
        <v>7</v>
      </c>
      <c r="I12" s="10" t="s">
        <v>8</v>
      </c>
      <c r="J12" s="10" t="s">
        <v>9</v>
      </c>
      <c r="K12" s="10" t="s">
        <v>10</v>
      </c>
      <c r="L12" s="10" t="s">
        <v>11</v>
      </c>
      <c r="M12" s="10" t="s">
        <v>12</v>
      </c>
      <c r="N12" s="10" t="s">
        <v>13</v>
      </c>
      <c r="O12" s="10" t="s">
        <v>14</v>
      </c>
      <c r="P12" s="62"/>
      <c r="Q12" s="83"/>
      <c r="R12" s="83"/>
      <c r="S12" s="83"/>
      <c r="T12" s="83"/>
      <c r="U12" s="83"/>
      <c r="V12" s="84"/>
      <c r="W12" s="84"/>
      <c r="X12" s="84"/>
      <c r="Y12" s="84"/>
    </row>
    <row r="13" s="13" customFormat="1" ht="21.9" customHeight="1" spans="1:25">
      <c r="A13" s="20"/>
      <c r="B13" s="20"/>
      <c r="C13" s="21">
        <v>0</v>
      </c>
      <c r="D13" s="10">
        <v>-2.3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59"/>
      <c r="Q13" s="143"/>
      <c r="R13" s="83"/>
      <c r="S13" s="83"/>
      <c r="T13" s="83"/>
      <c r="U13" s="83"/>
      <c r="V13" s="84"/>
      <c r="W13" s="84"/>
      <c r="X13" s="84"/>
      <c r="Y13" s="84"/>
    </row>
    <row r="14" s="13" customFormat="1" ht="21.9" customHeight="1" spans="1:25">
      <c r="A14" s="20" t="s">
        <v>47</v>
      </c>
      <c r="B14" s="20">
        <v>33472</v>
      </c>
      <c r="C14" s="21">
        <v>33472</v>
      </c>
      <c r="D14" s="10">
        <v>33320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59"/>
      <c r="Q14" s="83"/>
      <c r="R14" s="83"/>
      <c r="S14" s="83"/>
      <c r="T14" s="83"/>
      <c r="U14" s="83"/>
      <c r="V14" s="84"/>
      <c r="W14" s="84"/>
      <c r="X14" s="84"/>
      <c r="Y14" s="84"/>
    </row>
    <row r="15" s="13" customFormat="1" ht="21.9" customHeight="1" spans="1:25">
      <c r="A15" s="20" t="s">
        <v>48</v>
      </c>
      <c r="B15" s="20">
        <v>1.7</v>
      </c>
      <c r="C15" s="21">
        <v>1.7</v>
      </c>
      <c r="D15" s="10">
        <v>1.7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9"/>
      <c r="Q15" s="83"/>
      <c r="R15" s="83"/>
      <c r="S15" s="83"/>
      <c r="T15" s="83"/>
      <c r="U15" s="83"/>
      <c r="V15" s="84"/>
      <c r="W15" s="84"/>
      <c r="X15" s="84"/>
      <c r="Y15" s="84"/>
    </row>
    <row r="16" ht="1.95" customHeight="1" spans="16:21">
      <c r="P16" s="12"/>
      <c r="Q16" s="82"/>
      <c r="R16" s="82"/>
      <c r="S16" s="82"/>
      <c r="T16" s="82"/>
      <c r="U16" s="82"/>
    </row>
    <row r="17" s="13" customFormat="1" ht="31.2" customHeight="1" spans="1:25">
      <c r="A17" s="20" t="s">
        <v>49</v>
      </c>
      <c r="B17" s="27">
        <v>0</v>
      </c>
      <c r="C17" s="28" t="s">
        <v>50</v>
      </c>
      <c r="D17" s="29" t="s">
        <v>51</v>
      </c>
      <c r="E17" s="29" t="s">
        <v>52</v>
      </c>
      <c r="F17" s="29" t="s">
        <v>53</v>
      </c>
      <c r="G17" s="29" t="s">
        <v>54</v>
      </c>
      <c r="H17" s="29" t="s">
        <v>55</v>
      </c>
      <c r="I17" s="29" t="s">
        <v>56</v>
      </c>
      <c r="J17" s="29" t="s">
        <v>57</v>
      </c>
      <c r="K17" s="10" t="s">
        <v>10</v>
      </c>
      <c r="L17" s="10" t="s">
        <v>11</v>
      </c>
      <c r="M17" s="10" t="s">
        <v>12</v>
      </c>
      <c r="N17" s="10" t="s">
        <v>13</v>
      </c>
      <c r="O17" s="10" t="s">
        <v>14</v>
      </c>
      <c r="P17" s="83"/>
      <c r="Q17" s="83"/>
      <c r="R17" s="83"/>
      <c r="S17" s="84"/>
      <c r="T17" s="84"/>
      <c r="U17" s="84"/>
      <c r="V17" s="84"/>
      <c r="W17" s="84"/>
      <c r="X17" s="84"/>
      <c r="Y17" s="84"/>
    </row>
    <row r="18" s="13" customFormat="1" ht="21.9" customHeight="1" spans="1:25">
      <c r="A18" s="20"/>
      <c r="B18" s="30"/>
      <c r="C18" s="24">
        <v>0</v>
      </c>
      <c r="D18" s="10">
        <v>-0.1</v>
      </c>
      <c r="E18" s="10">
        <v>-1.8</v>
      </c>
      <c r="F18" s="10">
        <v>-2.2</v>
      </c>
      <c r="G18" s="10">
        <v>0.2</v>
      </c>
      <c r="H18" s="10">
        <v>0.1</v>
      </c>
      <c r="I18" s="10">
        <v>-1.2</v>
      </c>
      <c r="J18" s="10">
        <v>-1.4</v>
      </c>
      <c r="K18" s="10"/>
      <c r="L18" s="10"/>
      <c r="M18" s="10"/>
      <c r="N18" s="10"/>
      <c r="O18" s="10"/>
      <c r="P18" s="83"/>
      <c r="Q18" s="83"/>
      <c r="R18" s="83"/>
      <c r="S18" s="84"/>
      <c r="T18" s="84"/>
      <c r="U18" s="84"/>
      <c r="V18" s="84"/>
      <c r="W18" s="84"/>
      <c r="X18" s="84"/>
      <c r="Y18" s="84"/>
    </row>
    <row r="19" ht="2.1" customHeight="1" spans="16:21">
      <c r="P19" s="12"/>
      <c r="Q19" s="82"/>
      <c r="R19" s="82"/>
      <c r="S19" s="82"/>
      <c r="T19" s="82"/>
      <c r="U19" s="82"/>
    </row>
    <row r="20" s="13" customFormat="1" ht="34.8" customHeight="1" spans="1:25">
      <c r="A20" s="20" t="s">
        <v>58</v>
      </c>
      <c r="B20" s="20">
        <v>0</v>
      </c>
      <c r="C20" s="32" t="s">
        <v>59</v>
      </c>
      <c r="D20" s="23" t="s">
        <v>60</v>
      </c>
      <c r="E20" s="23" t="s">
        <v>61</v>
      </c>
      <c r="F20" s="23" t="s">
        <v>62</v>
      </c>
      <c r="G20" s="23" t="s">
        <v>63</v>
      </c>
      <c r="H20" s="23" t="s">
        <v>64</v>
      </c>
      <c r="I20" s="23" t="s">
        <v>65</v>
      </c>
      <c r="J20" s="10" t="s">
        <v>9</v>
      </c>
      <c r="K20" s="10" t="s">
        <v>10</v>
      </c>
      <c r="L20" s="10" t="s">
        <v>11</v>
      </c>
      <c r="M20" s="10" t="s">
        <v>12</v>
      </c>
      <c r="N20" s="10" t="s">
        <v>13</v>
      </c>
      <c r="O20" s="10" t="s">
        <v>14</v>
      </c>
      <c r="P20" s="60"/>
      <c r="Q20" s="83"/>
      <c r="R20" s="83"/>
      <c r="S20" s="83"/>
      <c r="T20" s="83"/>
      <c r="U20" s="83"/>
      <c r="V20" s="84"/>
      <c r="W20" s="84"/>
      <c r="X20" s="84"/>
      <c r="Y20" s="84"/>
    </row>
    <row r="21" s="13" customFormat="1" ht="21.6" customHeight="1" spans="1:25">
      <c r="A21" s="20"/>
      <c r="B21" s="20"/>
      <c r="C21" s="24">
        <v>0</v>
      </c>
      <c r="D21" s="10">
        <v>0.3</v>
      </c>
      <c r="E21" s="10">
        <v>0.7</v>
      </c>
      <c r="F21" s="10">
        <v>0.9</v>
      </c>
      <c r="G21" s="10">
        <v>1.2</v>
      </c>
      <c r="H21" s="10">
        <v>0.1</v>
      </c>
      <c r="I21" s="10">
        <v>0.3</v>
      </c>
      <c r="J21" s="10"/>
      <c r="K21" s="10"/>
      <c r="L21" s="10"/>
      <c r="M21" s="10"/>
      <c r="N21" s="10"/>
      <c r="O21" s="10"/>
      <c r="P21" s="63"/>
      <c r="Q21" s="86"/>
      <c r="R21" s="86"/>
      <c r="S21" s="86"/>
      <c r="T21" s="86"/>
      <c r="U21" s="86"/>
      <c r="V21" s="87"/>
      <c r="W21" s="84"/>
      <c r="X21" s="84"/>
      <c r="Y21" s="84"/>
    </row>
    <row r="22" ht="2.1" customHeight="1" spans="16:21">
      <c r="P22" s="12"/>
      <c r="Q22" s="82"/>
      <c r="R22" s="82"/>
      <c r="S22" s="82"/>
      <c r="T22" s="82"/>
      <c r="U22" s="82"/>
    </row>
    <row r="23" s="13" customFormat="1" ht="21.6" hidden="1" customHeight="1" spans="1:25">
      <c r="A23" s="20" t="s">
        <v>105</v>
      </c>
      <c r="B23" s="20">
        <v>0</v>
      </c>
      <c r="C23" s="22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60"/>
      <c r="Q23" s="83"/>
      <c r="R23" s="83"/>
      <c r="S23" s="83"/>
      <c r="T23" s="83"/>
      <c r="U23" s="83"/>
      <c r="V23" s="84"/>
      <c r="W23" s="84"/>
      <c r="X23" s="84"/>
      <c r="Y23" s="84"/>
    </row>
    <row r="24" s="13" customFormat="1" ht="21.6" hidden="1" customHeight="1" spans="1:25">
      <c r="A24" s="20"/>
      <c r="B24" s="20"/>
      <c r="C24" s="21"/>
      <c r="D24" s="10"/>
      <c r="E24" s="10"/>
      <c r="F24" s="10"/>
      <c r="G24" s="31"/>
      <c r="H24" s="31"/>
      <c r="I24" s="10"/>
      <c r="J24" s="10"/>
      <c r="K24" s="10"/>
      <c r="L24" s="10"/>
      <c r="M24" s="10"/>
      <c r="N24" s="10"/>
      <c r="O24" s="10"/>
      <c r="P24" s="64"/>
      <c r="Q24" s="88"/>
      <c r="R24" s="88"/>
      <c r="S24" s="88"/>
      <c r="T24" s="88"/>
      <c r="U24" s="88"/>
      <c r="V24" s="84"/>
      <c r="W24" s="84"/>
      <c r="X24" s="84"/>
      <c r="Y24" s="84"/>
    </row>
    <row r="25" ht="2.1" hidden="1" customHeight="1" spans="16:21">
      <c r="P25" s="12"/>
      <c r="Q25" s="82"/>
      <c r="R25" s="82"/>
      <c r="S25" s="82"/>
      <c r="T25" s="82"/>
      <c r="U25" s="82"/>
    </row>
    <row r="26" s="13" customFormat="1" ht="21.6" customHeight="1" spans="1:25">
      <c r="A26" s="20" t="s">
        <v>73</v>
      </c>
      <c r="B26" s="20">
        <v>-1</v>
      </c>
      <c r="C26" s="23" t="s">
        <v>74</v>
      </c>
      <c r="D26" s="32" t="s">
        <v>75</v>
      </c>
      <c r="E26" s="23" t="s">
        <v>76</v>
      </c>
      <c r="F26" s="23" t="s">
        <v>77</v>
      </c>
      <c r="G26" s="23" t="s">
        <v>78</v>
      </c>
      <c r="H26" s="23" t="s">
        <v>79</v>
      </c>
      <c r="I26" s="23" t="s">
        <v>80</v>
      </c>
      <c r="J26" s="23" t="s">
        <v>81</v>
      </c>
      <c r="K26" s="23" t="s">
        <v>82</v>
      </c>
      <c r="L26" s="23" t="s">
        <v>83</v>
      </c>
      <c r="M26" s="23" t="s">
        <v>84</v>
      </c>
      <c r="N26" s="23" t="s">
        <v>85</v>
      </c>
      <c r="O26" s="23" t="s">
        <v>86</v>
      </c>
      <c r="P26" s="60"/>
      <c r="Q26" s="83"/>
      <c r="R26" s="83"/>
      <c r="S26" s="83"/>
      <c r="T26" s="83"/>
      <c r="U26" s="83"/>
      <c r="V26" s="84"/>
      <c r="W26" s="84"/>
      <c r="X26" s="84"/>
      <c r="Y26" s="84"/>
    </row>
    <row r="27" s="13" customFormat="1" ht="21.6" customHeight="1" spans="1:25">
      <c r="A27" s="20"/>
      <c r="B27" s="20"/>
      <c r="C27" s="34">
        <v>2</v>
      </c>
      <c r="D27" s="33">
        <v>-1</v>
      </c>
      <c r="E27" s="34">
        <v>-1.7</v>
      </c>
      <c r="F27" s="35"/>
      <c r="G27" s="35"/>
      <c r="H27" s="35"/>
      <c r="I27" s="34"/>
      <c r="J27" s="34"/>
      <c r="K27" s="34"/>
      <c r="L27" s="34"/>
      <c r="M27" s="34"/>
      <c r="N27" s="34"/>
      <c r="O27" s="34"/>
      <c r="P27" s="64"/>
      <c r="Q27" s="88"/>
      <c r="R27" s="88"/>
      <c r="S27" s="88"/>
      <c r="T27" s="88"/>
      <c r="U27" s="88"/>
      <c r="V27" s="84"/>
      <c r="W27" s="84"/>
      <c r="X27" s="84"/>
      <c r="Y27" s="84"/>
    </row>
    <row r="28" s="14" customFormat="1" ht="22.2" customHeight="1" spans="1:21">
      <c r="A28" s="36" t="s">
        <v>87</v>
      </c>
      <c r="B28" s="36" t="s">
        <v>88</v>
      </c>
      <c r="C28" s="36" t="s">
        <v>89</v>
      </c>
      <c r="D28" s="36" t="s">
        <v>90</v>
      </c>
      <c r="E28" s="36">
        <v>33081</v>
      </c>
      <c r="F28" s="36" t="s">
        <v>91</v>
      </c>
      <c r="G28" s="36" t="s">
        <v>92</v>
      </c>
      <c r="H28" s="36" t="s">
        <v>93</v>
      </c>
      <c r="I28" s="36" t="s">
        <v>94</v>
      </c>
      <c r="J28" s="66" t="s">
        <v>95</v>
      </c>
      <c r="K28" s="67">
        <v>620</v>
      </c>
      <c r="L28" s="67">
        <v>625</v>
      </c>
      <c r="M28" s="67">
        <v>630</v>
      </c>
      <c r="N28" s="67">
        <v>635</v>
      </c>
      <c r="O28" s="67">
        <v>640</v>
      </c>
      <c r="P28" s="67">
        <v>645</v>
      </c>
      <c r="Q28" s="67">
        <v>650</v>
      </c>
      <c r="R28" s="67">
        <v>655</v>
      </c>
      <c r="S28" s="67">
        <v>660</v>
      </c>
      <c r="T28" s="67">
        <v>665</v>
      </c>
      <c r="U28" s="89" t="s">
        <v>96</v>
      </c>
    </row>
    <row r="29" s="13" customFormat="1" ht="18" customHeight="1" spans="1:21">
      <c r="A29" s="37" t="s">
        <v>106</v>
      </c>
      <c r="B29" s="37" t="s">
        <v>98</v>
      </c>
      <c r="C29" s="119">
        <v>0.247</v>
      </c>
      <c r="D29" s="39"/>
      <c r="E29" s="40">
        <v>33472</v>
      </c>
      <c r="F29" s="41">
        <f t="shared" ref="F29:F48" si="0">C29*E29/1000</f>
        <v>8.267584</v>
      </c>
      <c r="G29" s="41">
        <f>F29*78</f>
        <v>644.871552</v>
      </c>
      <c r="H29" s="42">
        <f>I29/G29</f>
        <v>0.979455215353191</v>
      </c>
      <c r="I29" s="68">
        <f>G29*(H30+0.15%)</f>
        <v>631.622804839307</v>
      </c>
      <c r="J29" s="68"/>
      <c r="K29" s="69">
        <f>(NORMSDIST((I29-$K$28)/B15)-NORMSDIST((I29-$L$28)/B15))</f>
        <v>4.89441139592817e-5</v>
      </c>
      <c r="L29" s="69">
        <f>(NORMSDIST((I29-$L$28)/B15)-NORMSDIST((I29-$M$28)/B15))</f>
        <v>0.16984332028949</v>
      </c>
      <c r="M29" s="70">
        <f>(NORMSDIST((I29-$M$28)/B15)-NORMSDIST((I29-$N$28)/B15))</f>
        <v>0.806623554728916</v>
      </c>
      <c r="N29" s="70">
        <f>(NORMSDIST((I29-$N$28)/B15)-NORMSDIST((I29-$O$28)/B15))</f>
        <v>0.0234837649790517</v>
      </c>
      <c r="O29" s="70">
        <f>(NORMSDIST((I29-$O$28)/B15)-NORMSDIST((I29-$P$28)/B15))</f>
        <v>4.15884536198758e-7</v>
      </c>
      <c r="P29" s="70">
        <f>(NORMSDIST((I29-$P$28)/B15)-NORMSDIST((I29-$Q$28)/B15))</f>
        <v>1.78831708664406e-15</v>
      </c>
      <c r="Q29" s="70">
        <f>(NORMSDIST((I29-$Q$28)/B15)-NORMSDIST((I29-$R$28)/B15))</f>
        <v>1.54142013414626e-27</v>
      </c>
      <c r="R29" s="70">
        <f>(NORMSDIST((I29-$R$28)/B15)-NORMSDIST((I29-$S$28)/B15))</f>
        <v>2.50142812454945e-43</v>
      </c>
      <c r="S29" s="70">
        <f>(NORMSDIST((I29-$S$28)/B15)-NORMSDIST((I29-$T$28)/B15))</f>
        <v>7.43477155422914e-63</v>
      </c>
      <c r="T29" s="70"/>
      <c r="U29" s="90">
        <f t="shared" ref="U29:U48" si="1">SUM(K29:T29)</f>
        <v>0.999999999995955</v>
      </c>
    </row>
    <row r="30" s="13" customFormat="1" ht="18" customHeight="1" spans="1:21">
      <c r="A30" s="43"/>
      <c r="B30" s="43"/>
      <c r="C30" s="38">
        <f t="shared" ref="C30:C48" si="2">C29+0.1%</f>
        <v>0.248</v>
      </c>
      <c r="D30" s="44"/>
      <c r="E30" s="40">
        <v>33472</v>
      </c>
      <c r="F30" s="41">
        <f t="shared" si="0"/>
        <v>8.301056</v>
      </c>
      <c r="G30" s="41">
        <f t="shared" ref="G30:G48" si="3">F30*78</f>
        <v>647.482368</v>
      </c>
      <c r="H30" s="42">
        <f t="shared" ref="H30:H48" si="4">I30/G30</f>
        <v>0.977955215353191</v>
      </c>
      <c r="I30" s="68">
        <f t="shared" ref="I30:I35" si="5">G30*(H31+0.15%)</f>
        <v>633.208758634834</v>
      </c>
      <c r="J30" s="68"/>
      <c r="K30" s="69">
        <f>(NORMSDIST((I30-$K$28)/B15)-NORMSDIST((I30-$L$28)/B15))</f>
        <v>6.87199973259389e-7</v>
      </c>
      <c r="L30" s="69">
        <f>(NORMSDIST((I30-$L$28)/B15)-NORMSDIST((I30-$M$28)/B15))</f>
        <v>0.029545524707168</v>
      </c>
      <c r="M30" s="70">
        <f>(NORMSDIST((I30-$M$28)/B15)-NORMSDIST((I30-$N$28)/B15))</f>
        <v>0.824437092431138</v>
      </c>
      <c r="N30" s="70">
        <f>(NORMSDIST((I30-$N$28)/B15)-NORMSDIST((I30-$O$28)/B15))</f>
        <v>0.145984327757191</v>
      </c>
      <c r="O30" s="70">
        <f>(NORMSDIST((I30-$O$28)/B15)-NORMSDIST((I30-$P$28)/B15))</f>
        <v>3.23679025089137e-5</v>
      </c>
      <c r="P30" s="70">
        <f>(NORMSDIST((I30-$P$28)/B15)-NORMSDIST((I30-$Q$28)/B15))</f>
        <v>2.01644084044134e-12</v>
      </c>
      <c r="Q30" s="70">
        <f>(NORMSDIST((I30-$Q$28)/B15)-NORMSDIST((I30-$R$28)/B15))</f>
        <v>2.61363423364067e-23</v>
      </c>
      <c r="R30" s="70">
        <f>(NORMSDIST((I30-$R$28)/B15)-NORMSDIST((I30-$S$28)/B15))</f>
        <v>6.46899702193021e-38</v>
      </c>
      <c r="S30" s="70">
        <f>(NORMSDIST((I30-$S$28)/B15)-NORMSDIST((I30-$T$28)/B15))</f>
        <v>2.95242299647608e-56</v>
      </c>
      <c r="T30" s="70"/>
      <c r="U30" s="90">
        <f t="shared" si="1"/>
        <v>0.999999999999996</v>
      </c>
    </row>
    <row r="31" s="13" customFormat="1" ht="18" customHeight="1" spans="1:21">
      <c r="A31" s="43"/>
      <c r="B31" s="43"/>
      <c r="C31" s="38">
        <f t="shared" si="2"/>
        <v>0.249</v>
      </c>
      <c r="D31" s="45"/>
      <c r="E31" s="40">
        <v>33472</v>
      </c>
      <c r="F31" s="41">
        <f t="shared" si="0"/>
        <v>8.334528</v>
      </c>
      <c r="G31" s="41">
        <f t="shared" si="3"/>
        <v>650.093184</v>
      </c>
      <c r="H31" s="42">
        <f t="shared" si="4"/>
        <v>0.976455215353191</v>
      </c>
      <c r="I31" s="68">
        <f t="shared" si="5"/>
        <v>634.786879982362</v>
      </c>
      <c r="J31" s="71"/>
      <c r="K31" s="69">
        <f>(NORMSDIST((I31-$K$28)/B15)-NORMSDIST((I31-$L$28)/B15))</f>
        <v>4.2813940170916e-9</v>
      </c>
      <c r="L31" s="69">
        <f>(NORMSDIST((I31-$L$28)/B15)-NORMSDIST((I31-$M$28)/B15))</f>
        <v>0.00243270401630435</v>
      </c>
      <c r="M31" s="70">
        <f>(NORMSDIST((I31-$M$28)/B15)-NORMSDIST((I31-$N$28)/B15))</f>
        <v>0.547449881678252</v>
      </c>
      <c r="N31" s="72">
        <f>(NORMSDIST((I31-$N$28)/B15)-NORMSDIST((I31-$O$28)/B15))</f>
        <v>0.449034655163551</v>
      </c>
      <c r="O31" s="72">
        <f>(NORMSDIST((I31-$O$28)/B15)-NORMSDIST((I31-$P$28)/B15))</f>
        <v>0.00108275391973331</v>
      </c>
      <c r="P31" s="70">
        <f>(NORMSDIST((I31-$P$28)/B15)-NORMSDIST((I31-$Q$28)/B15))</f>
        <v>9.40765625951143e-10</v>
      </c>
      <c r="Q31" s="70">
        <f>(NORMSDIST((I31-$Q$28)/B15)-NORMSDIST((I31-$R$28)/B15))</f>
        <v>1.79530667118811e-19</v>
      </c>
      <c r="R31" s="70">
        <f>(NORMSDIST((I31-$R$28)/B15)-NORMSDIST((I31-$S$28)/B15))</f>
        <v>6.66469337013055e-33</v>
      </c>
      <c r="S31" s="70">
        <f>(NORMSDIST((I31-$S$28)/B15)-NORMSDIST((I31-$T$28)/B15))</f>
        <v>4.60038247127193e-50</v>
      </c>
      <c r="T31" s="70"/>
      <c r="U31" s="90">
        <f t="shared" si="1"/>
        <v>1</v>
      </c>
    </row>
    <row r="32" s="15" customFormat="1" ht="18" customHeight="1" spans="1:21">
      <c r="A32" s="43"/>
      <c r="B32" s="43"/>
      <c r="C32" s="38">
        <f t="shared" si="2"/>
        <v>0.25</v>
      </c>
      <c r="D32" s="45"/>
      <c r="E32" s="40">
        <v>33472</v>
      </c>
      <c r="F32" s="46">
        <f t="shared" si="0"/>
        <v>8.368</v>
      </c>
      <c r="G32" s="41">
        <f t="shared" si="3"/>
        <v>652.704</v>
      </c>
      <c r="H32" s="47">
        <f t="shared" si="4"/>
        <v>0.974955215353192</v>
      </c>
      <c r="I32" s="68">
        <f t="shared" si="5"/>
        <v>636.35716888189</v>
      </c>
      <c r="J32" s="73"/>
      <c r="K32" s="74">
        <f>(NORMSDIST((I32-$K$28)/B15)-NORMSDIST((I32-$L$28)/B15))</f>
        <v>1.18911547275502e-11</v>
      </c>
      <c r="L32" s="74">
        <f>(NORMSDIST((I32-$L$28)/B15)-NORMSDIST((I32-$M$28)/B15))</f>
        <v>9.21892389444956e-5</v>
      </c>
      <c r="M32" s="74">
        <f>(NORMSDIST((I32-$M$28)/B15)-NORMSDIST((I32-$N$28)/B15))</f>
        <v>0.212245972394045</v>
      </c>
      <c r="N32" s="74">
        <f>(NORMSDIST((I32-$N$28)/B15)-NORMSDIST((I32-$O$28)/B15))</f>
        <v>0.771598937928296</v>
      </c>
      <c r="O32" s="74">
        <f>(NORMSDIST((I32-$O$28)/B15)-NORMSDIST((I32-$P$28)/B15))</f>
        <v>0.0160627156606719</v>
      </c>
      <c r="P32" s="74">
        <f>(NORMSDIST((I32-$P$28)/B15)-NORMSDIST((I32-$Q$28)/B15))</f>
        <v>1.84766150675511e-7</v>
      </c>
      <c r="Q32" s="74">
        <f>(NORMSDIST((I32-$Q$28)/B15)-NORMSDIST((I32-$R$28)/B15))</f>
        <v>5.06824919855733e-16</v>
      </c>
      <c r="R32" s="74">
        <f>(NORMSDIST((I32-$R$28)/B15)-NORMSDIST((I32-$S$28)/B15))</f>
        <v>2.77267461608077e-28</v>
      </c>
      <c r="S32" s="70">
        <f>(NORMSDIST((I32-$S$28)/B15)-NORMSDIST((I32-$T$28)/B15))</f>
        <v>2.8500233922243e-44</v>
      </c>
      <c r="T32" s="70"/>
      <c r="U32" s="90">
        <f t="shared" si="1"/>
        <v>1</v>
      </c>
    </row>
    <row r="33" s="13" customFormat="1" ht="18" customHeight="1" spans="1:21">
      <c r="A33" s="43"/>
      <c r="B33" s="43"/>
      <c r="C33" s="38">
        <f t="shared" si="2"/>
        <v>0.251</v>
      </c>
      <c r="D33" s="48"/>
      <c r="E33" s="40">
        <v>33472</v>
      </c>
      <c r="F33" s="41">
        <f t="shared" si="0"/>
        <v>8.401472</v>
      </c>
      <c r="G33" s="41">
        <f t="shared" si="3"/>
        <v>655.314816</v>
      </c>
      <c r="H33" s="42">
        <f t="shared" si="4"/>
        <v>0.973455215353192</v>
      </c>
      <c r="I33" s="68">
        <f t="shared" si="5"/>
        <v>637.919625333417</v>
      </c>
      <c r="J33" s="73"/>
      <c r="K33" s="69">
        <f>(NORMSDIST((I33-$K$28)/B15)-NORMSDIST((I33-$L$28)/B15))</f>
        <v>1.48769885299771e-14</v>
      </c>
      <c r="L33" s="69">
        <f>(NORMSDIST((I33-$L$28)/B15)-NORMSDIST((I33-$M$28)/B15))</f>
        <v>1.59181143921661e-6</v>
      </c>
      <c r="M33" s="70">
        <f>(NORMSDIST((I33-$M$28)/B15)-NORMSDIST((I33-$N$28)/B15))</f>
        <v>0.0429490295711022</v>
      </c>
      <c r="N33" s="70">
        <f>(NORMSDIST((I33-$N$28)/B15)-NORMSDIST((I33-$O$28)/B15))</f>
        <v>0.846526065899329</v>
      </c>
      <c r="O33" s="70">
        <f>(NORMSDIST((I33-$O$28)/B15)-NORMSDIST((I33-$P$28)/B15))</f>
        <v>0.110507740058434</v>
      </c>
      <c r="P33" s="70">
        <f>(NORMSDIST((I33-$P$28)/B15)-NORMSDIST((I33-$Q$28)/B15))</f>
        <v>1.55726590832681e-5</v>
      </c>
      <c r="Q33" s="70">
        <f>(NORMSDIST((I33-$Q$28)/B15)-NORMSDIST((I33-$R$28)/B15))</f>
        <v>5.96827834576381e-13</v>
      </c>
      <c r="R33" s="70">
        <f>(NORMSDIST((I33-$R$28)/B15)-NORMSDIST((I33-$S$28)/B15))</f>
        <v>4.72194134562828e-24</v>
      </c>
      <c r="S33" s="70">
        <f>(NORMSDIST((I33-$S$28)/B15)-NORMSDIST((I33-$T$28)/B15))</f>
        <v>7.11344242558032e-39</v>
      </c>
      <c r="T33" s="70"/>
      <c r="U33" s="90">
        <f t="shared" si="1"/>
        <v>0.999999999999999</v>
      </c>
    </row>
    <row r="34" s="13" customFormat="1" ht="18" customHeight="1" spans="1:21">
      <c r="A34" s="43"/>
      <c r="B34" s="43"/>
      <c r="C34" s="38">
        <f t="shared" si="2"/>
        <v>0.252</v>
      </c>
      <c r="D34" s="48"/>
      <c r="E34" s="40">
        <v>33472</v>
      </c>
      <c r="F34" s="41">
        <f t="shared" si="0"/>
        <v>8.434944</v>
      </c>
      <c r="G34" s="41">
        <f t="shared" si="3"/>
        <v>657.925632</v>
      </c>
      <c r="H34" s="42">
        <f t="shared" si="4"/>
        <v>0.971955215353192</v>
      </c>
      <c r="I34" s="68">
        <f t="shared" si="5"/>
        <v>639.474249336945</v>
      </c>
      <c r="J34" s="75"/>
      <c r="K34" s="69">
        <f>(NORMSDIST((I34-$K$28)/B15)-NORMSDIST((I34-$L$28)/B15))</f>
        <v>0</v>
      </c>
      <c r="L34" s="69">
        <f>(NORMSDIST((I34-$L$28)/B15)-NORMSDIST((I34-$M$28)/B15))</f>
        <v>1.2513164726613e-8</v>
      </c>
      <c r="M34" s="70">
        <f>(NORMSDIST((I34-$M$28)/B15)-NORMSDIST((I34-$N$28)/B15))</f>
        <v>0.00424528788551537</v>
      </c>
      <c r="N34" s="70">
        <f>(NORMSDIST((I34-$N$28)/B15)-NORMSDIST((I34-$O$28)/B15))</f>
        <v>0.617194759714807</v>
      </c>
      <c r="O34" s="70">
        <f>(NORMSDIST((I34-$O$28)/B15)-NORMSDIST((I34-$P$28)/B15))</f>
        <v>0.377983810161164</v>
      </c>
      <c r="P34" s="70">
        <f>(NORMSDIST((I34-$P$28)/B15)-NORMSDIST((I34-$Q$28)/B15))</f>
        <v>0.00057612942760039</v>
      </c>
      <c r="Q34" s="70">
        <f>(NORMSDIST((I34-$Q$28)/B15)-NORMSDIST((I34-$R$28)/B15))</f>
        <v>2.9774858920894e-10</v>
      </c>
      <c r="R34" s="70">
        <f>(NORMSDIST((I34-$R$28)/B15)-NORMSDIST((I34-$S$28)/B15))</f>
        <v>3.33767453956776e-20</v>
      </c>
      <c r="S34" s="70">
        <f>(NORMSDIST((I34-$S$28)/B15)-NORMSDIST((I34-$T$28)/B15))</f>
        <v>7.24831685213744e-34</v>
      </c>
      <c r="T34" s="70"/>
      <c r="U34" s="90">
        <f t="shared" si="1"/>
        <v>1</v>
      </c>
    </row>
    <row r="35" s="13" customFormat="1" ht="18" customHeight="1" spans="1:21">
      <c r="A35" s="43"/>
      <c r="B35" s="43"/>
      <c r="C35" s="38">
        <f t="shared" si="2"/>
        <v>0.253</v>
      </c>
      <c r="D35" s="49">
        <v>0.26688674888391</v>
      </c>
      <c r="E35" s="40">
        <v>33472</v>
      </c>
      <c r="F35" s="41">
        <f t="shared" si="0"/>
        <v>8.468416</v>
      </c>
      <c r="G35" s="41">
        <f t="shared" si="3"/>
        <v>660.536448</v>
      </c>
      <c r="H35" s="42">
        <f t="shared" si="4"/>
        <v>0.970455215353192</v>
      </c>
      <c r="I35" s="137">
        <f t="shared" si="5"/>
        <v>641.021040892472</v>
      </c>
      <c r="J35" s="138"/>
      <c r="K35" s="69">
        <f>(NORMSDIST((I35-$K$28)/B15)-NORMSDIST((I35-$L$28)/B15))</f>
        <v>0</v>
      </c>
      <c r="L35" s="69">
        <f>(NORMSDIST((I35-$L$28)/B15)-NORMSDIST((I35-$M$28)/B15))</f>
        <v>4.49685844117198e-11</v>
      </c>
      <c r="M35" s="70">
        <f>(NORMSDIST((I35-$M$28)/B15)-NORMSDIST((I35-$N$28)/B15))</f>
        <v>0.000198711755471814</v>
      </c>
      <c r="N35" s="70">
        <f>(NORMSDIST((I35-$N$28)/B15)-NORMSDIST((I35-$O$28)/B15))</f>
        <v>0.273850413446773</v>
      </c>
      <c r="O35" s="70">
        <f>(NORMSDIST((I35-$O$28)/B15)-NORMSDIST((I35-$P$28)/B15))</f>
        <v>0.716323560415257</v>
      </c>
      <c r="P35" s="70">
        <f>(NORMSDIST((I35-$P$28)/B15)-NORMSDIST((I35-$Q$28)/B15))</f>
        <v>0.00962725035640134</v>
      </c>
      <c r="Q35" s="70">
        <f>(NORMSDIST((I35-$Q$28)/B15)-NORMSDIST((I35-$R$28)/B15))</f>
        <v>6.3981127959309e-8</v>
      </c>
      <c r="R35" s="70">
        <f>(NORMSDIST((I35-$R$28)/B15)-NORMSDIST((I35-$S$28)/B15))</f>
        <v>9.93060440611468e-17</v>
      </c>
      <c r="S35" s="70">
        <f>(NORMSDIST((I35-$S$28)/B15)-NORMSDIST((I35-$T$28)/B15))</f>
        <v>3.0555670686686e-29</v>
      </c>
      <c r="T35" s="70"/>
      <c r="U35" s="90">
        <f t="shared" si="1"/>
        <v>1</v>
      </c>
    </row>
    <row r="36" s="60" customFormat="1" ht="18" customHeight="1" spans="1:21">
      <c r="A36" s="43"/>
      <c r="B36" s="43"/>
      <c r="C36" s="132">
        <f t="shared" si="2"/>
        <v>0.254</v>
      </c>
      <c r="D36" s="44">
        <v>0.424199921317756</v>
      </c>
      <c r="E36" s="133">
        <v>33472</v>
      </c>
      <c r="F36" s="134">
        <f t="shared" si="0"/>
        <v>8.501888</v>
      </c>
      <c r="G36" s="134">
        <f t="shared" si="3"/>
        <v>663.147264</v>
      </c>
      <c r="H36" s="135">
        <f t="shared" si="4"/>
        <v>0.968955215353192</v>
      </c>
      <c r="I36" s="139">
        <v>642.56</v>
      </c>
      <c r="J36" s="139" t="s">
        <v>99</v>
      </c>
      <c r="K36" s="140">
        <f>(NORMSDIST((I36-$K$28)/B15)-NORMSDIST((I36-$L$28)/B15))</f>
        <v>0</v>
      </c>
      <c r="L36" s="140">
        <f>(NORMSDIST((I36-$L$28)/B15)-NORMSDIST((I36-$M$28)/B15))</f>
        <v>7.43849426498855e-14</v>
      </c>
      <c r="M36" s="140">
        <f>(NORMSDIST((I36-$M$28)/B15)-NORMSDIST((I36-$N$28)/B15))</f>
        <v>4.35270018650513e-6</v>
      </c>
      <c r="N36" s="140">
        <f>(NORMSDIST((I36-$N$28)/B15)-NORMSDIST((I36-$O$28)/B15))</f>
        <v>0.0660443360427232</v>
      </c>
      <c r="O36" s="140">
        <f>(NORMSDIST((I36-$O$28)/B15)-NORMSDIST((I36-$P$28)/B15))</f>
        <v>0.858349659606977</v>
      </c>
      <c r="P36" s="140">
        <f>(NORMSDIST((I36-$P$28)/B15)-NORMSDIST((I36-$Q$28)/B15))</f>
        <v>0.0755956208271222</v>
      </c>
      <c r="Q36" s="140">
        <f>(NORMSDIST((I36-$Q$28)/B15)-NORMSDIST((I36-$R$28)/B15))</f>
        <v>6.03082279054584e-6</v>
      </c>
      <c r="R36" s="140">
        <f>(NORMSDIST((I36-$R$28)/B15)-NORMSDIST((I36-$S$28)/B15))</f>
        <v>1.2617826168299e-13</v>
      </c>
      <c r="S36" s="140">
        <f>(NORMSDIST((I36-$S$28)/B15)-NORMSDIST((I36-$T$28)/B15))</f>
        <v>5.4007321826393e-25</v>
      </c>
      <c r="T36" s="140"/>
      <c r="U36" s="132">
        <f t="shared" si="1"/>
        <v>1</v>
      </c>
    </row>
    <row r="37" s="84" customFormat="1" ht="18" customHeight="1" spans="1:21">
      <c r="A37" s="43"/>
      <c r="B37" s="43"/>
      <c r="C37" s="103">
        <f t="shared" si="2"/>
        <v>0.255</v>
      </c>
      <c r="D37" s="44">
        <v>0.274703658724321</v>
      </c>
      <c r="E37" s="104">
        <v>33472</v>
      </c>
      <c r="F37" s="105">
        <f t="shared" si="0"/>
        <v>8.53536</v>
      </c>
      <c r="G37" s="105">
        <f t="shared" si="3"/>
        <v>665.75808</v>
      </c>
      <c r="H37" s="47">
        <f t="shared" si="4"/>
        <v>0.967455215353192</v>
      </c>
      <c r="I37" s="141">
        <f>G37*(H36-0.15%)</f>
        <v>644.091126659528</v>
      </c>
      <c r="J37" s="142"/>
      <c r="K37" s="74">
        <f>(NORMSDIST((I37-$K$28)/B15)-NORMSDIST((I37-$L$28)/B15))</f>
        <v>0</v>
      </c>
      <c r="L37" s="74">
        <f>(NORMSDIST((I37-$L$28)/B15)-NORMSDIST((I37-$M$28)/B15))</f>
        <v>0</v>
      </c>
      <c r="M37" s="74">
        <f>(NORMSDIST((I37-$M$28)/B15)-NORMSDIST((I37-$N$28)/B15))</f>
        <v>4.45341722388193e-8</v>
      </c>
      <c r="N37" s="74">
        <f>(NORMSDIST((I37-$N$28)/B15)-NORMSDIST((I37-$O$28)/B15))</f>
        <v>0.00805206332923247</v>
      </c>
      <c r="O37" s="74">
        <f>(NORMSDIST((I37-$O$28)/B15)-NORMSDIST((I37-$P$28)/B15))</f>
        <v>0.695495500934019</v>
      </c>
      <c r="P37" s="74">
        <f>(NORMSDIST((I37-$P$28)/B15)-NORMSDIST((I37-$Q$28)/B15))</f>
        <v>0.296197732668525</v>
      </c>
      <c r="Q37" s="74">
        <f>(NORMSDIST((I37-$Q$28)/B15)-NORMSDIST((I37-$R$28)/B15))</f>
        <v>0.000254658464550893</v>
      </c>
      <c r="R37" s="74">
        <f>(NORMSDIST((I37-$R$28)/B15)-NORMSDIST((I37-$S$28)/B15))</f>
        <v>6.95001175382092e-11</v>
      </c>
      <c r="S37" s="74">
        <f>(NORMSDIST((I37-$S$28)/B15)-NORMSDIST((I37-$T$28)/B15))</f>
        <v>4.05683526997089e-21</v>
      </c>
      <c r="T37" s="74"/>
      <c r="U37" s="103">
        <f t="shared" si="1"/>
        <v>1</v>
      </c>
    </row>
    <row r="38" s="13" customFormat="1" ht="18" customHeight="1" spans="1:21">
      <c r="A38" s="43"/>
      <c r="B38" s="43"/>
      <c r="C38" s="38">
        <f t="shared" si="2"/>
        <v>0.256</v>
      </c>
      <c r="D38" s="49">
        <v>0.0342096710740126</v>
      </c>
      <c r="E38" s="40">
        <v>33472</v>
      </c>
      <c r="F38" s="41">
        <f t="shared" si="0"/>
        <v>8.568832</v>
      </c>
      <c r="G38" s="41">
        <f t="shared" si="3"/>
        <v>668.368896</v>
      </c>
      <c r="H38" s="42">
        <f t="shared" si="4"/>
        <v>0.965955215353192</v>
      </c>
      <c r="I38" s="68">
        <f t="shared" ref="I38:I48" si="6">G38*(H37-0.15%)</f>
        <v>645.614420871055</v>
      </c>
      <c r="J38" s="68"/>
      <c r="K38" s="69">
        <f>(NORMSDIST((I38-$K$28)/B15)-NORMSDIST((I38-$L$28)/B15))</f>
        <v>0</v>
      </c>
      <c r="L38" s="69">
        <f>(NORMSDIST((I38-$L$28)/B15)-NORMSDIST((I38-$M$28)/B15))</f>
        <v>0</v>
      </c>
      <c r="M38" s="70">
        <f>(NORMSDIST((I38-$M$28)/B15)-NORMSDIST((I38-$N$28)/B15))</f>
        <v>2.13564499418339e-10</v>
      </c>
      <c r="N38" s="70">
        <f>(NORMSDIST((I38-$N$28)/B15)-NORMSDIST((I38-$O$28)/B15))</f>
        <v>0.000478963538217414</v>
      </c>
      <c r="O38" s="70">
        <f>(NORMSDIST((I38-$O$28)/B15)-NORMSDIST((I38-$P$28)/B15))</f>
        <v>0.358412275341645</v>
      </c>
      <c r="P38" s="70">
        <f>(NORMSDIST((I38-$P$28)/B15)-NORMSDIST((I38-$Q$28)/B15))</f>
        <v>0.636165202484423</v>
      </c>
      <c r="Q38" s="70">
        <f>(NORMSDIST((I38-$Q$28)/B15)-NORMSDIST((I38-$R$28)/B15))</f>
        <v>0.00494354156153886</v>
      </c>
      <c r="R38" s="70">
        <f>(NORMSDIST((I38-$R$28)/B15)-NORMSDIST((I38-$S$28)/B15))</f>
        <v>1.68606109265699e-8</v>
      </c>
      <c r="S38" s="70">
        <f>(NORMSDIST((I38-$S$28)/B15)-NORMSDIST((I38-$T$28)/B15))</f>
        <v>1.31296544198916e-17</v>
      </c>
      <c r="T38" s="70"/>
      <c r="U38" s="90">
        <f t="shared" si="1"/>
        <v>1</v>
      </c>
    </row>
    <row r="39" s="13" customFormat="1" ht="18" customHeight="1" spans="1:21">
      <c r="A39" s="43"/>
      <c r="B39" s="43"/>
      <c r="C39" s="38">
        <f t="shared" si="2"/>
        <v>0.257</v>
      </c>
      <c r="D39" s="49">
        <v>0</v>
      </c>
      <c r="E39" s="40">
        <v>33472</v>
      </c>
      <c r="F39" s="41">
        <f t="shared" si="0"/>
        <v>8.602304</v>
      </c>
      <c r="G39" s="41">
        <f t="shared" si="3"/>
        <v>670.979712</v>
      </c>
      <c r="H39" s="42">
        <f t="shared" si="4"/>
        <v>0.964455215353192</v>
      </c>
      <c r="I39" s="68">
        <f t="shared" si="6"/>
        <v>647.129882634583</v>
      </c>
      <c r="J39" s="68"/>
      <c r="K39" s="69">
        <f>(NORMSDIST((I39-$K$28)/B15)-NORMSDIST((I39-$L$28)/B15))</f>
        <v>0</v>
      </c>
      <c r="L39" s="69">
        <f>(NORMSDIST((I39-$L$28)/B15)-NORMSDIST((I39-$M$28)/B15))</f>
        <v>0</v>
      </c>
      <c r="M39" s="70">
        <f>(NORMSDIST((I39-$M$28)/B15)-NORMSDIST((I39-$N$28)/B15))</f>
        <v>4.83169060316868e-13</v>
      </c>
      <c r="N39" s="70">
        <f>(NORMSDIST((I39-$N$28)/B15)-NORMSDIST((I39-$O$28)/B15))</f>
        <v>1.37009606356875e-5</v>
      </c>
      <c r="O39" s="70">
        <f>(NORMSDIST((I39-$O$28)/B15)-NORMSDIST((I39-$P$28)/B15))</f>
        <v>0.10511242061252</v>
      </c>
      <c r="P39" s="70">
        <f>(NORMSDIST((I39-$P$28)/B15)-NORMSDIST((I39-$Q$28)/B15))</f>
        <v>0.849197466440053</v>
      </c>
      <c r="Q39" s="70">
        <f>(NORMSDIST((I39-$Q$28)/B15)-NORMSDIST((I39-$R$28)/B15))</f>
        <v>0.0456745790677735</v>
      </c>
      <c r="R39" s="70">
        <f>(NORMSDIST((I39-$R$28)/B15)-NORMSDIST((I39-$S$28)/B15))</f>
        <v>1.83291851591476e-6</v>
      </c>
      <c r="S39" s="70">
        <f>(NORMSDIST((I39-$S$28)/B15)-NORMSDIST((I39-$T$28)/B15))</f>
        <v>1.85670278229839e-14</v>
      </c>
      <c r="T39" s="70"/>
      <c r="U39" s="90">
        <f t="shared" si="1"/>
        <v>1</v>
      </c>
    </row>
    <row r="40" s="13" customFormat="1" ht="18" customHeight="1" spans="1:21">
      <c r="A40" s="43"/>
      <c r="B40" s="43"/>
      <c r="C40" s="38">
        <f t="shared" si="2"/>
        <v>0.258</v>
      </c>
      <c r="D40" s="54"/>
      <c r="E40" s="40">
        <v>33472</v>
      </c>
      <c r="F40" s="41">
        <f t="shared" si="0"/>
        <v>8.635776</v>
      </c>
      <c r="G40" s="41">
        <f t="shared" si="3"/>
        <v>673.590528</v>
      </c>
      <c r="H40" s="42">
        <f t="shared" si="4"/>
        <v>0.962955215353192</v>
      </c>
      <c r="I40" s="68">
        <f t="shared" si="6"/>
        <v>648.63751195011</v>
      </c>
      <c r="J40" s="68"/>
      <c r="K40" s="69">
        <f>(NORMSDIST((I40-$K$28)/B15)-NORMSDIST((I40-$L$28)/B15))</f>
        <v>0</v>
      </c>
      <c r="L40" s="69">
        <f>(NORMSDIST((I40-$L$28)/B15)-NORMSDIST((I40-$M$28)/B15))</f>
        <v>0</v>
      </c>
      <c r="M40" s="70">
        <f>(NORMSDIST((I40-$M$28)/B15)-NORMSDIST((I40-$N$28)/B15))</f>
        <v>5.55111512312578e-16</v>
      </c>
      <c r="N40" s="70">
        <f>(NORMSDIST((I40-$N$28)/B15)-NORMSDIST((I40-$O$28)/B15))</f>
        <v>1.87835919485124e-7</v>
      </c>
      <c r="O40" s="70">
        <f>(NORMSDIST((I40-$O$28)/B15)-NORMSDIST((I40-$P$28)/B15))</f>
        <v>0.016188799631051</v>
      </c>
      <c r="P40" s="70">
        <f>(NORMSDIST((I40-$P$28)/B15)-NORMSDIST((I40-$Q$28)/B15))</f>
        <v>0.77237934629643</v>
      </c>
      <c r="Q40" s="70">
        <f>(NORMSDIST((I40-$Q$28)/B15)-NORMSDIST((I40-$R$28)/B15))</f>
        <v>0.211340617737534</v>
      </c>
      <c r="R40" s="70">
        <f>(NORMSDIST((I40-$R$28)/B15)-NORMSDIST((I40-$S$28)/B15))</f>
        <v>9.10484874253883e-5</v>
      </c>
      <c r="S40" s="70">
        <f>(NORMSDIST((I40-$S$28)/B15)-NORMSDIST((I40-$T$28)/B15))</f>
        <v>1.16399140576804e-11</v>
      </c>
      <c r="T40" s="70"/>
      <c r="U40" s="90">
        <f t="shared" si="1"/>
        <v>1</v>
      </c>
    </row>
    <row r="41" s="13" customFormat="1" ht="18" customHeight="1" spans="1:21">
      <c r="A41" s="43"/>
      <c r="B41" s="43"/>
      <c r="C41" s="38">
        <f t="shared" si="2"/>
        <v>0.259</v>
      </c>
      <c r="D41" s="49"/>
      <c r="E41" s="40">
        <v>33472</v>
      </c>
      <c r="F41" s="41">
        <f t="shared" si="0"/>
        <v>8.669248</v>
      </c>
      <c r="G41" s="41">
        <f t="shared" si="3"/>
        <v>676.201344</v>
      </c>
      <c r="H41" s="42">
        <f t="shared" si="4"/>
        <v>0.961455215353192</v>
      </c>
      <c r="I41" s="68">
        <f t="shared" si="6"/>
        <v>650.137308817638</v>
      </c>
      <c r="J41" s="68"/>
      <c r="K41" s="69">
        <f>(NORMSDIST((I41-$K$28)/B15)-NORMSDIST((I41-$L$28)/B15))</f>
        <v>0</v>
      </c>
      <c r="L41" s="69">
        <f>(NORMSDIST((I41-$L$28)/B15)-NORMSDIST((I41-$M$28)/B15))</f>
        <v>0</v>
      </c>
      <c r="M41" s="70">
        <f>(NORMSDIST((I41-$M$28)/B15)-NORMSDIST((I41-$N$28)/B15))</f>
        <v>0</v>
      </c>
      <c r="N41" s="70">
        <f>(NORMSDIST((I41-$N$28)/B15)-NORMSDIST((I41-$O$28)/B15))</f>
        <v>1.23731125345472e-9</v>
      </c>
      <c r="O41" s="70">
        <f>(NORMSDIST((I41-$O$28)/B15)-NORMSDIST((I41-$P$28)/B15))</f>
        <v>0.0012557739952449</v>
      </c>
      <c r="P41" s="70">
        <f>(NORMSDIST((I41-$P$28)/B15)-NORMSDIST((I41-$Q$28)/B15))</f>
        <v>0.466556700737325</v>
      </c>
      <c r="Q41" s="70">
        <f>(NORMSDIST((I41-$Q$28)/B15)-NORMSDIST((I41-$R$28)/B15))</f>
        <v>0.530072033076499</v>
      </c>
      <c r="R41" s="70">
        <f>(NORMSDIST((I41-$R$28)/B15)-NORMSDIST((I41-$S$28)/B15))</f>
        <v>0.00211548766903159</v>
      </c>
      <c r="S41" s="70">
        <f>(NORMSDIST((I41-$S$28)/B15)-NORMSDIST((I41-$T$28)/B15))</f>
        <v>3.28458732563806e-9</v>
      </c>
      <c r="T41" s="70"/>
      <c r="U41" s="90">
        <f t="shared" si="1"/>
        <v>0.999999999999999</v>
      </c>
    </row>
    <row r="42" s="13" customFormat="1" ht="18" customHeight="1" spans="1:21">
      <c r="A42" s="43"/>
      <c r="B42" s="43"/>
      <c r="C42" s="38">
        <f t="shared" si="2"/>
        <v>0.26</v>
      </c>
      <c r="D42" s="49"/>
      <c r="E42" s="40">
        <v>33472</v>
      </c>
      <c r="F42" s="41">
        <f t="shared" si="0"/>
        <v>8.70272</v>
      </c>
      <c r="G42" s="41">
        <f t="shared" si="3"/>
        <v>678.81216</v>
      </c>
      <c r="H42" s="42">
        <f t="shared" si="4"/>
        <v>0.959955215353192</v>
      </c>
      <c r="I42" s="68">
        <f t="shared" si="6"/>
        <v>651.629273237165</v>
      </c>
      <c r="J42" s="68"/>
      <c r="K42" s="69">
        <f>(NORMSDIST((I42-$K$28)/B15)-NORMSDIST((I42-$L$28)/B15))</f>
        <v>0</v>
      </c>
      <c r="L42" s="69">
        <f>(NORMSDIST((I42-$L$28)/B15)-NORMSDIST((I42-$M$28)/B15))</f>
        <v>0</v>
      </c>
      <c r="M42" s="70">
        <f>(NORMSDIST((I42-$M$28)/B15)-NORMSDIST((I42-$N$28)/B15))</f>
        <v>0</v>
      </c>
      <c r="N42" s="70">
        <f>(NORMSDIST((I42-$N$28)/B15)-NORMSDIST((I42-$O$28)/B15))</f>
        <v>3.93896026906759e-12</v>
      </c>
      <c r="O42" s="70">
        <f>(NORMSDIST((I42-$O$28)/B15)-NORMSDIST((I42-$P$28)/B15))</f>
        <v>4.81813376275175e-5</v>
      </c>
      <c r="P42" s="70">
        <f>(NORMSDIST((I42-$P$28)/B15)-NORMSDIST((I42-$Q$28)/B15))</f>
        <v>0.168883368893381</v>
      </c>
      <c r="Q42" s="70">
        <f>(NORMSDIST((I42-$Q$28)/B15)-NORMSDIST((I42-$R$28)/B15))</f>
        <v>0.807372470353933</v>
      </c>
      <c r="R42" s="70">
        <f>(NORMSDIST((I42-$R$28)/B15)-NORMSDIST((I42-$S$28)/B15))</f>
        <v>0.0236955553535419</v>
      </c>
      <c r="S42" s="70">
        <f>(NORMSDIST((I42-$S$28)/B15)-NORMSDIST((I42-$T$28)/B15))</f>
        <v>4.24057575856102e-7</v>
      </c>
      <c r="T42" s="70"/>
      <c r="U42" s="90">
        <f t="shared" si="1"/>
        <v>0.999999999999998</v>
      </c>
    </row>
    <row r="43" s="13" customFormat="1" ht="18" hidden="1" customHeight="1" spans="1:21">
      <c r="A43" s="43"/>
      <c r="B43" s="43"/>
      <c r="C43" s="38">
        <f t="shared" si="2"/>
        <v>0.261</v>
      </c>
      <c r="D43" s="49"/>
      <c r="E43" s="40">
        <v>33472</v>
      </c>
      <c r="F43" s="41">
        <f t="shared" si="0"/>
        <v>8.736192</v>
      </c>
      <c r="G43" s="41">
        <f t="shared" si="3"/>
        <v>681.422976</v>
      </c>
      <c r="H43" s="42">
        <f t="shared" si="4"/>
        <v>0.958455215353192</v>
      </c>
      <c r="I43" s="68">
        <f t="shared" si="6"/>
        <v>653.113405208693</v>
      </c>
      <c r="J43" s="68"/>
      <c r="K43" s="69">
        <f>(NORMSDIST((I43-$K$28)/B15)-NORMSDIST((I43-$L$28)/B15))</f>
        <v>0</v>
      </c>
      <c r="L43" s="69">
        <f>(NORMSDIST((I43-$L$28)/B15)-NORMSDIST((I43-$M$28)/B15))</f>
        <v>0</v>
      </c>
      <c r="M43" s="70">
        <f>(NORMSDIST((I43-$M$28)/B15)-NORMSDIST((I43-$N$28)/B15))</f>
        <v>0</v>
      </c>
      <c r="N43" s="70">
        <f>(NORMSDIST((I43-$N$28)/B15)-NORMSDIST((I43-$O$28)/B15))</f>
        <v>6.10622663543836e-15</v>
      </c>
      <c r="O43" s="70">
        <f>(NORMSDIST((I43-$O$28)/B15)-NORMSDIST((I43-$P$28)/B15))</f>
        <v>9.09353085498665e-7</v>
      </c>
      <c r="P43" s="70">
        <f>(NORMSDIST((I43-$P$28)/B15)-NORMSDIST((I43-$Q$28)/B15))</f>
        <v>0.0335184154753868</v>
      </c>
      <c r="Q43" s="70">
        <f>(NORMSDIST((I43-$Q$28)/B15)-NORMSDIST((I43-$R$28)/B15))</f>
        <v>0.832929798946515</v>
      </c>
      <c r="R43" s="70">
        <f>(NORMSDIST((I43-$R$28)/B15)-NORMSDIST((I43-$S$28)/B15))</f>
        <v>0.133525369875188</v>
      </c>
      <c r="S43" s="70">
        <f>(NORMSDIST((I43-$S$28)/B15)-NORMSDIST((I43-$T$28)/B15))</f>
        <v>2.55063484643668e-5</v>
      </c>
      <c r="T43" s="70"/>
      <c r="U43" s="90">
        <f t="shared" si="1"/>
        <v>0.999999999998646</v>
      </c>
    </row>
    <row r="44" s="13" customFormat="1" ht="18" hidden="1" customHeight="1" spans="1:21">
      <c r="A44" s="43"/>
      <c r="B44" s="43"/>
      <c r="C44" s="38">
        <f t="shared" si="2"/>
        <v>0.262</v>
      </c>
      <c r="D44" s="49"/>
      <c r="E44" s="40">
        <v>33472</v>
      </c>
      <c r="F44" s="41">
        <f t="shared" si="0"/>
        <v>8.769664</v>
      </c>
      <c r="G44" s="41">
        <f t="shared" si="3"/>
        <v>684.033792</v>
      </c>
      <c r="H44" s="42">
        <f t="shared" si="4"/>
        <v>0.956955215353192</v>
      </c>
      <c r="I44" s="68">
        <f t="shared" si="6"/>
        <v>654.589704732221</v>
      </c>
      <c r="J44" s="68"/>
      <c r="K44" s="69">
        <f>(NORMSDIST((I44-$K$28)/B15)-NORMSDIST((I44-$L$28)/B15))</f>
        <v>0</v>
      </c>
      <c r="L44" s="69">
        <f>(NORMSDIST((I44-$L$28)/B15)-NORMSDIST((I44-$M$28)/B15))</f>
        <v>0</v>
      </c>
      <c r="M44" s="70">
        <f>(NORMSDIST((I44-$M$28)/B15)-NORMSDIST((I44-$N$28)/B15))</f>
        <v>0</v>
      </c>
      <c r="N44" s="70">
        <f>(NORMSDIST((I44-$N$28)/B15)-NORMSDIST((I44-$O$28)/B15))</f>
        <v>0</v>
      </c>
      <c r="O44" s="70">
        <f>(NORMSDIST((I44-$O$28)/B15)-NORMSDIST((I44-$P$28)/B15))</f>
        <v>8.45313141706328e-9</v>
      </c>
      <c r="P44" s="70">
        <f>(NORMSDIST((I44-$P$28)/B15)-NORMSDIST((I44-$Q$28)/B15))</f>
        <v>0.00346877575453219</v>
      </c>
      <c r="Q44" s="70">
        <f>(NORMSDIST((I44-$Q$28)/B15)-NORMSDIST((I44-$R$28)/B15))</f>
        <v>0.591889346035545</v>
      </c>
      <c r="R44" s="70">
        <f>(NORMSDIST((I44-$R$28)/B15)-NORMSDIST((I44-$S$28)/B15))</f>
        <v>0.403911889304984</v>
      </c>
      <c r="S44" s="70">
        <f>(NORMSDIST((I44-$S$28)/B15)-NORMSDIST((I44-$T$28)/B15))</f>
        <v>0.000729979994681033</v>
      </c>
      <c r="T44" s="70"/>
      <c r="U44" s="90">
        <f t="shared" si="1"/>
        <v>0.999999999542874</v>
      </c>
    </row>
    <row r="45" s="13" customFormat="1" ht="18" hidden="1" customHeight="1" spans="1:21">
      <c r="A45" s="43"/>
      <c r="B45" s="43"/>
      <c r="C45" s="38">
        <f t="shared" si="2"/>
        <v>0.263</v>
      </c>
      <c r="D45" s="55"/>
      <c r="E45" s="40">
        <v>33472</v>
      </c>
      <c r="F45" s="41">
        <f t="shared" si="0"/>
        <v>8.803136</v>
      </c>
      <c r="G45" s="41">
        <f t="shared" si="3"/>
        <v>686.644608</v>
      </c>
      <c r="H45" s="42">
        <f t="shared" si="4"/>
        <v>0.955455215353192</v>
      </c>
      <c r="I45" s="68">
        <f t="shared" si="6"/>
        <v>656.058171807748</v>
      </c>
      <c r="J45" s="68"/>
      <c r="K45" s="69">
        <f>(NORMSDIST((I45-$K$28)/B15)-NORMSDIST((I45-$L$28)/B15))</f>
        <v>0</v>
      </c>
      <c r="L45" s="69">
        <f>(NORMSDIST((I45-$L$28)/B15)-NORMSDIST((I45-$M$28)/B15))</f>
        <v>0</v>
      </c>
      <c r="M45" s="70">
        <f>(NORMSDIST((I45-$M$28)/B15)-NORMSDIST((I45-$N$28)/B15))</f>
        <v>0</v>
      </c>
      <c r="N45" s="70">
        <f>(NORMSDIST((I45-$N$28)/B15)-NORMSDIST((I45-$O$28)/B15))</f>
        <v>0</v>
      </c>
      <c r="O45" s="70">
        <f>(NORMSDIST((I45-$O$28)/B15)-NORMSDIST((I45-$P$28)/B15))</f>
        <v>3.88966636677424e-11</v>
      </c>
      <c r="P45" s="70">
        <f>(NORMSDIST((I45-$P$28)/B15)-NORMSDIST((I45-$Q$28)/B15))</f>
        <v>0.00018288034120495</v>
      </c>
      <c r="Q45" s="70">
        <f>(NORMSDIST((I45-$Q$28)/B15)-NORMSDIST((I45-$R$28)/B15))</f>
        <v>0.266638809188476</v>
      </c>
      <c r="R45" s="70">
        <f>(NORMSDIST((I45-$R$28)/B15)-NORMSDIST((I45-$S$28)/B15))</f>
        <v>0.722973265647296</v>
      </c>
      <c r="S45" s="70">
        <f>(NORMSDIST((I45-$S$28)/B15)-NORMSDIST((I45-$T$28)/B15))</f>
        <v>0.0102049727168271</v>
      </c>
      <c r="T45" s="70"/>
      <c r="U45" s="90">
        <f t="shared" si="1"/>
        <v>0.999999927932701</v>
      </c>
    </row>
    <row r="46" s="13" customFormat="1" ht="18" hidden="1" customHeight="1" spans="1:21">
      <c r="A46" s="43"/>
      <c r="B46" s="43"/>
      <c r="C46" s="38">
        <f t="shared" si="2"/>
        <v>0.264</v>
      </c>
      <c r="D46" s="55"/>
      <c r="E46" s="40">
        <v>33472</v>
      </c>
      <c r="F46" s="41">
        <f t="shared" si="0"/>
        <v>8.836608</v>
      </c>
      <c r="G46" s="41">
        <f t="shared" si="3"/>
        <v>689.255424</v>
      </c>
      <c r="H46" s="42">
        <f t="shared" si="4"/>
        <v>0.953955215353192</v>
      </c>
      <c r="I46" s="68">
        <f t="shared" si="6"/>
        <v>657.518806435276</v>
      </c>
      <c r="J46" s="68"/>
      <c r="K46" s="69">
        <f>(NORMSDIST((I46-$K$28)/B15)-NORMSDIST((I46-$L$28)/B15))</f>
        <v>0</v>
      </c>
      <c r="L46" s="69">
        <f>(NORMSDIST((I46-$L$28)/B15)-NORMSDIST((I46-$M$28)/B15))</f>
        <v>0</v>
      </c>
      <c r="M46" s="70">
        <f>(NORMSDIST((I46-$M$28)/B15)-NORMSDIST((I46-$N$28)/B15))</f>
        <v>0</v>
      </c>
      <c r="N46" s="70">
        <f>(NORMSDIST((I46-$N$28)/B15)-NORMSDIST((I46-$O$28)/B15))</f>
        <v>0</v>
      </c>
      <c r="O46" s="70">
        <f>(NORMSDIST((I46-$O$28)/B15)-NORMSDIST((I46-$P$28)/B15))</f>
        <v>8.92619311798626e-14</v>
      </c>
      <c r="P46" s="70">
        <f>(NORMSDIST((I46-$P$28)/B15)-NORMSDIST((I46-$Q$28)/B15))</f>
        <v>4.87088007605774e-6</v>
      </c>
      <c r="Q46" s="70">
        <f>(NORMSDIST((I46-$Q$28)/B15)-NORMSDIST((I46-$R$28)/B15))</f>
        <v>0.0692117405263816</v>
      </c>
      <c r="R46" s="70">
        <f>(NORMSDIST((I46-$R$28)/B15)-NORMSDIST((I46-$S$28)/B15))</f>
        <v>0.858573142260063</v>
      </c>
      <c r="S46" s="70">
        <f>(NORMSDIST((I46-$S$28)/B15)-NORMSDIST((I46-$T$28)/B15))</f>
        <v>0.0722048512744908</v>
      </c>
      <c r="T46" s="70"/>
      <c r="U46" s="90">
        <f t="shared" si="1"/>
        <v>0.999994604941101</v>
      </c>
    </row>
    <row r="47" s="13" customFormat="1" ht="18" hidden="1" customHeight="1" spans="1:21">
      <c r="A47" s="43"/>
      <c r="B47" s="43"/>
      <c r="C47" s="38">
        <f t="shared" si="2"/>
        <v>0.265</v>
      </c>
      <c r="D47" s="55"/>
      <c r="E47" s="40">
        <v>33472</v>
      </c>
      <c r="F47" s="41">
        <f t="shared" si="0"/>
        <v>8.87008</v>
      </c>
      <c r="G47" s="41">
        <f t="shared" si="3"/>
        <v>691.86624</v>
      </c>
      <c r="H47" s="42">
        <f t="shared" si="4"/>
        <v>0.952455215353192</v>
      </c>
      <c r="I47" s="68">
        <f t="shared" si="6"/>
        <v>658.971608614803</v>
      </c>
      <c r="J47" s="68"/>
      <c r="K47" s="69">
        <f>(NORMSDIST((I47-$K$28)/B15)-NORMSDIST((I47-$L$28)/B15))</f>
        <v>0</v>
      </c>
      <c r="L47" s="69">
        <f>(NORMSDIST((I47-$L$28)/B15)-NORMSDIST((I47-$M$28)/B15))</f>
        <v>0</v>
      </c>
      <c r="M47" s="70">
        <f>(NORMSDIST((I47-$M$28)/B15)-NORMSDIST((I47-$N$28)/B15))</f>
        <v>0</v>
      </c>
      <c r="N47" s="70">
        <f>(NORMSDIST((I47-$N$28)/B15)-NORMSDIST((I47-$O$28)/B15))</f>
        <v>0</v>
      </c>
      <c r="O47" s="70">
        <f>(NORMSDIST((I47-$O$28)/B15)-NORMSDIST((I47-$P$28)/B15))</f>
        <v>0</v>
      </c>
      <c r="P47" s="70">
        <f>(NORMSDIST((I47-$P$28)/B15)-NORMSDIST((I47-$Q$28)/B15))</f>
        <v>6.55088170375961e-8</v>
      </c>
      <c r="Q47" s="70">
        <f>(NORMSDIST((I47-$Q$28)/B15)-NORMSDIST((I47-$R$28)/B15))</f>
        <v>0.00973929339802881</v>
      </c>
      <c r="R47" s="70">
        <f>(NORMSDIST((I47-$R$28)/B15)-NORMSDIST((I47-$S$28)/B15))</f>
        <v>0.717649916300068</v>
      </c>
      <c r="S47" s="70">
        <f>(NORMSDIST((I47-$S$28)/B15)-NORMSDIST((I47-$T$28)/B15))</f>
        <v>0.272415245220612</v>
      </c>
      <c r="T47" s="70"/>
      <c r="U47" s="90">
        <f t="shared" si="1"/>
        <v>0.999804520427526</v>
      </c>
    </row>
    <row r="48" s="13" customFormat="1" ht="18" hidden="1" customHeight="1" spans="1:21">
      <c r="A48" s="43"/>
      <c r="B48" s="43"/>
      <c r="C48" s="38">
        <f t="shared" si="2"/>
        <v>0.266</v>
      </c>
      <c r="D48" s="55"/>
      <c r="E48" s="40">
        <v>33472</v>
      </c>
      <c r="F48" s="41">
        <f t="shared" si="0"/>
        <v>8.903552</v>
      </c>
      <c r="G48" s="41">
        <f t="shared" si="3"/>
        <v>694.477056</v>
      </c>
      <c r="H48" s="42">
        <f t="shared" si="4"/>
        <v>0.950955215353192</v>
      </c>
      <c r="I48" s="68">
        <f t="shared" si="6"/>
        <v>660.416578346331</v>
      </c>
      <c r="J48" s="68"/>
      <c r="K48" s="69">
        <f>(NORMSDIST((I48-$K$28)/B15)-NORMSDIST((I48-$L$28)/B15))</f>
        <v>0</v>
      </c>
      <c r="L48" s="69">
        <f>(NORMSDIST((I48-$L$28)/B15)-NORMSDIST((I48-$M$28)/B15))</f>
        <v>0</v>
      </c>
      <c r="M48" s="70">
        <f>(NORMSDIST((I48-$M$28)/B15)-NORMSDIST((I48-$N$28)/B15))</f>
        <v>0</v>
      </c>
      <c r="N48" s="70">
        <f>(NORMSDIST((I48-$N$28)/B15)-NORMSDIST((I48-$O$28)/B15))</f>
        <v>0</v>
      </c>
      <c r="O48" s="70">
        <f>(NORMSDIST((I48-$O$28)/B15)-NORMSDIST((I48-$P$28)/B15))</f>
        <v>0</v>
      </c>
      <c r="P48" s="70">
        <f>(NORMSDIST((I48-$P$28)/B15)-NORMSDIST((I48-$Q$28)/B15))</f>
        <v>4.46636283513158e-10</v>
      </c>
      <c r="Q48" s="70">
        <f>(NORMSDIST((I48-$Q$28)/B15)-NORMSDIST((I48-$R$28)/B15))</f>
        <v>0.000720717884836741</v>
      </c>
      <c r="R48" s="70">
        <f>(NORMSDIST((I48-$R$28)/B15)-NORMSDIST((I48-$S$28)/B15))</f>
        <v>0.402489655366268</v>
      </c>
      <c r="S48" s="70">
        <f>(NORMSDIST((I48-$S$28)/B15)-NORMSDIST((I48-$T$28)/B15))</f>
        <v>0.593282116197231</v>
      </c>
      <c r="T48" s="70"/>
      <c r="U48" s="90">
        <f t="shared" si="1"/>
        <v>0.996492489894972</v>
      </c>
    </row>
    <row r="49" s="13" customFormat="1" ht="9.6" customHeight="1" spans="4:4">
      <c r="D49" s="56"/>
    </row>
    <row r="50" s="13" customFormat="1" ht="18" customHeight="1" spans="4:21">
      <c r="D50" s="57"/>
      <c r="I50" s="80" t="s">
        <v>90</v>
      </c>
      <c r="J50" s="80" t="s">
        <v>89</v>
      </c>
      <c r="K50" s="67">
        <f>K28</f>
        <v>620</v>
      </c>
      <c r="L50" s="67">
        <f t="shared" ref="L50:T50" si="7">L28</f>
        <v>625</v>
      </c>
      <c r="M50" s="67">
        <f t="shared" si="7"/>
        <v>630</v>
      </c>
      <c r="N50" s="67">
        <f t="shared" si="7"/>
        <v>635</v>
      </c>
      <c r="O50" s="67">
        <f t="shared" si="7"/>
        <v>640</v>
      </c>
      <c r="P50" s="67">
        <f t="shared" si="7"/>
        <v>645</v>
      </c>
      <c r="Q50" s="67">
        <f t="shared" si="7"/>
        <v>650</v>
      </c>
      <c r="R50" s="67">
        <f t="shared" si="7"/>
        <v>655</v>
      </c>
      <c r="S50" s="67">
        <f t="shared" si="7"/>
        <v>660</v>
      </c>
      <c r="T50" s="67">
        <f t="shared" si="7"/>
        <v>665</v>
      </c>
      <c r="U50" s="89" t="s">
        <v>96</v>
      </c>
    </row>
    <row r="51" s="13" customFormat="1" ht="18" customHeight="1" spans="9:21">
      <c r="I51" s="81">
        <f t="shared" ref="I51:I70" si="8">D29</f>
        <v>0</v>
      </c>
      <c r="J51" s="38">
        <f t="shared" ref="J51:J70" si="9">C29</f>
        <v>0.247</v>
      </c>
      <c r="K51" s="70">
        <f t="shared" ref="K51:K70" si="10">D29*K29</f>
        <v>0</v>
      </c>
      <c r="L51" s="70">
        <f t="shared" ref="L51:L70" si="11">D29*L29</f>
        <v>0</v>
      </c>
      <c r="M51" s="70">
        <f t="shared" ref="M51:M70" si="12">D29*M29</f>
        <v>0</v>
      </c>
      <c r="N51" s="70">
        <f t="shared" ref="N51:N70" si="13">D29*N29</f>
        <v>0</v>
      </c>
      <c r="O51" s="70">
        <f t="shared" ref="O51:O70" si="14">D29*O29</f>
        <v>0</v>
      </c>
      <c r="P51" s="70">
        <f t="shared" ref="P51:P70" si="15">D29*P29</f>
        <v>0</v>
      </c>
      <c r="Q51" s="70">
        <f t="shared" ref="Q51:Q70" si="16">D29*Q29</f>
        <v>0</v>
      </c>
      <c r="R51" s="70">
        <f t="shared" ref="R51:R70" si="17">D29*R29</f>
        <v>0</v>
      </c>
      <c r="S51" s="70">
        <f t="shared" ref="S51:S70" si="18">S29*D29</f>
        <v>0</v>
      </c>
      <c r="T51" s="70"/>
      <c r="U51" s="90"/>
    </row>
    <row r="52" s="13" customFormat="1" ht="18" customHeight="1" spans="9:21">
      <c r="I52" s="81">
        <f t="shared" si="8"/>
        <v>0</v>
      </c>
      <c r="J52" s="38">
        <f t="shared" si="9"/>
        <v>0.248</v>
      </c>
      <c r="K52" s="70">
        <f t="shared" si="10"/>
        <v>0</v>
      </c>
      <c r="L52" s="70">
        <f t="shared" si="11"/>
        <v>0</v>
      </c>
      <c r="M52" s="70">
        <f t="shared" si="12"/>
        <v>0</v>
      </c>
      <c r="N52" s="70">
        <f t="shared" si="13"/>
        <v>0</v>
      </c>
      <c r="O52" s="70">
        <f t="shared" si="14"/>
        <v>0</v>
      </c>
      <c r="P52" s="70">
        <f t="shared" si="15"/>
        <v>0</v>
      </c>
      <c r="Q52" s="70">
        <f t="shared" si="16"/>
        <v>0</v>
      </c>
      <c r="R52" s="70">
        <f t="shared" si="17"/>
        <v>0</v>
      </c>
      <c r="S52" s="70">
        <f t="shared" si="18"/>
        <v>0</v>
      </c>
      <c r="T52" s="70"/>
      <c r="U52" s="90"/>
    </row>
    <row r="53" s="13" customFormat="1" ht="18" customHeight="1" spans="9:21">
      <c r="I53" s="81">
        <f t="shared" si="8"/>
        <v>0</v>
      </c>
      <c r="J53" s="38">
        <f t="shared" si="9"/>
        <v>0.249</v>
      </c>
      <c r="K53" s="70">
        <f t="shared" si="10"/>
        <v>0</v>
      </c>
      <c r="L53" s="70">
        <f t="shared" si="11"/>
        <v>0</v>
      </c>
      <c r="M53" s="70">
        <f t="shared" si="12"/>
        <v>0</v>
      </c>
      <c r="N53" s="70">
        <f t="shared" si="13"/>
        <v>0</v>
      </c>
      <c r="O53" s="70">
        <f t="shared" si="14"/>
        <v>0</v>
      </c>
      <c r="P53" s="70">
        <f t="shared" si="15"/>
        <v>0</v>
      </c>
      <c r="Q53" s="70">
        <f t="shared" si="16"/>
        <v>0</v>
      </c>
      <c r="R53" s="70">
        <f t="shared" si="17"/>
        <v>0</v>
      </c>
      <c r="S53" s="70">
        <f t="shared" si="18"/>
        <v>0</v>
      </c>
      <c r="T53" s="70"/>
      <c r="U53" s="90"/>
    </row>
    <row r="54" s="13" customFormat="1" ht="18" customHeight="1" spans="9:21">
      <c r="I54" s="81">
        <f t="shared" si="8"/>
        <v>0</v>
      </c>
      <c r="J54" s="38">
        <f t="shared" si="9"/>
        <v>0.25</v>
      </c>
      <c r="K54" s="74">
        <f t="shared" si="10"/>
        <v>0</v>
      </c>
      <c r="L54" s="74">
        <f t="shared" si="11"/>
        <v>0</v>
      </c>
      <c r="M54" s="74">
        <f t="shared" si="12"/>
        <v>0</v>
      </c>
      <c r="N54" s="74">
        <f t="shared" si="13"/>
        <v>0</v>
      </c>
      <c r="O54" s="74">
        <f t="shared" si="14"/>
        <v>0</v>
      </c>
      <c r="P54" s="74">
        <f t="shared" si="15"/>
        <v>0</v>
      </c>
      <c r="Q54" s="74">
        <f t="shared" si="16"/>
        <v>0</v>
      </c>
      <c r="R54" s="74">
        <f t="shared" si="17"/>
        <v>0</v>
      </c>
      <c r="S54" s="74">
        <f t="shared" si="18"/>
        <v>0</v>
      </c>
      <c r="T54" s="70"/>
      <c r="U54" s="90"/>
    </row>
    <row r="55" s="13" customFormat="1" ht="18" customHeight="1" spans="9:21">
      <c r="I55" s="81">
        <f t="shared" si="8"/>
        <v>0</v>
      </c>
      <c r="J55" s="38">
        <f t="shared" si="9"/>
        <v>0.251</v>
      </c>
      <c r="K55" s="70">
        <f t="shared" si="10"/>
        <v>0</v>
      </c>
      <c r="L55" s="70">
        <f t="shared" si="11"/>
        <v>0</v>
      </c>
      <c r="M55" s="70">
        <f t="shared" si="12"/>
        <v>0</v>
      </c>
      <c r="N55" s="70">
        <f t="shared" si="13"/>
        <v>0</v>
      </c>
      <c r="O55" s="70">
        <f t="shared" si="14"/>
        <v>0</v>
      </c>
      <c r="P55" s="70">
        <f t="shared" si="15"/>
        <v>0</v>
      </c>
      <c r="Q55" s="70">
        <f t="shared" si="16"/>
        <v>0</v>
      </c>
      <c r="R55" s="70">
        <f t="shared" si="17"/>
        <v>0</v>
      </c>
      <c r="S55" s="70">
        <f t="shared" si="18"/>
        <v>0</v>
      </c>
      <c r="T55" s="70"/>
      <c r="U55" s="90"/>
    </row>
    <row r="56" s="13" customFormat="1" ht="18" customHeight="1" spans="9:21">
      <c r="I56" s="81">
        <f t="shared" si="8"/>
        <v>0</v>
      </c>
      <c r="J56" s="38">
        <f t="shared" si="9"/>
        <v>0.252</v>
      </c>
      <c r="K56" s="70">
        <f t="shared" si="10"/>
        <v>0</v>
      </c>
      <c r="L56" s="70">
        <f t="shared" si="11"/>
        <v>0</v>
      </c>
      <c r="M56" s="70">
        <f t="shared" si="12"/>
        <v>0</v>
      </c>
      <c r="N56" s="70">
        <f t="shared" si="13"/>
        <v>0</v>
      </c>
      <c r="O56" s="70">
        <f t="shared" si="14"/>
        <v>0</v>
      </c>
      <c r="P56" s="70">
        <f t="shared" si="15"/>
        <v>0</v>
      </c>
      <c r="Q56" s="70">
        <f t="shared" si="16"/>
        <v>0</v>
      </c>
      <c r="R56" s="70">
        <f t="shared" si="17"/>
        <v>0</v>
      </c>
      <c r="S56" s="70">
        <f t="shared" si="18"/>
        <v>0</v>
      </c>
      <c r="T56" s="70"/>
      <c r="U56" s="90"/>
    </row>
    <row r="57" s="13" customFormat="1" ht="18" customHeight="1" spans="9:21">
      <c r="I57" s="81">
        <f t="shared" si="8"/>
        <v>0.26688674888391</v>
      </c>
      <c r="J57" s="38">
        <f t="shared" si="9"/>
        <v>0.253</v>
      </c>
      <c r="K57" s="70">
        <f t="shared" si="10"/>
        <v>0</v>
      </c>
      <c r="L57" s="70">
        <f t="shared" si="11"/>
        <v>1.20015192955556e-11</v>
      </c>
      <c r="M57" s="70">
        <f t="shared" si="12"/>
        <v>5.3033534382887e-5</v>
      </c>
      <c r="N57" s="70">
        <f t="shared" si="13"/>
        <v>0.0730870465253238</v>
      </c>
      <c r="O57" s="70">
        <f t="shared" si="14"/>
        <v>0.191177266188175</v>
      </c>
      <c r="P57" s="70">
        <f t="shared" si="15"/>
        <v>0.00256938554831142</v>
      </c>
      <c r="Q57" s="70">
        <f t="shared" si="16"/>
        <v>1.70757152309854e-8</v>
      </c>
      <c r="R57" s="70">
        <f t="shared" si="17"/>
        <v>2.65034672440018e-17</v>
      </c>
      <c r="S57" s="70">
        <f t="shared" si="18"/>
        <v>8.154903609537e-30</v>
      </c>
      <c r="T57" s="70"/>
      <c r="U57" s="90"/>
    </row>
    <row r="58" s="13" customFormat="1" ht="18" customHeight="1" spans="9:21">
      <c r="I58" s="81">
        <f t="shared" si="8"/>
        <v>0.424199921317756</v>
      </c>
      <c r="J58" s="38">
        <f t="shared" si="9"/>
        <v>0.254</v>
      </c>
      <c r="K58" s="70">
        <f t="shared" si="10"/>
        <v>0</v>
      </c>
      <c r="L58" s="70">
        <f t="shared" si="11"/>
        <v>3.15540868193072e-14</v>
      </c>
      <c r="M58" s="70">
        <f t="shared" si="12"/>
        <v>1.84641507663526e-6</v>
      </c>
      <c r="N58" s="70">
        <f t="shared" si="13"/>
        <v>0.0280160021528066</v>
      </c>
      <c r="O58" s="70">
        <f t="shared" si="14"/>
        <v>0.364111858068402</v>
      </c>
      <c r="P58" s="70">
        <f t="shared" si="15"/>
        <v>0.0320676564068321</v>
      </c>
      <c r="Q58" s="70">
        <f t="shared" si="16"/>
        <v>2.55827455323088e-6</v>
      </c>
      <c r="R58" s="70">
        <f t="shared" si="17"/>
        <v>5.35248086779356e-14</v>
      </c>
      <c r="S58" s="70">
        <f t="shared" si="18"/>
        <v>2.29099016693386e-25</v>
      </c>
      <c r="T58" s="70"/>
      <c r="U58" s="90"/>
    </row>
    <row r="59" s="13" customFormat="1" ht="18" customHeight="1" spans="9:21">
      <c r="I59" s="81">
        <f t="shared" si="8"/>
        <v>0.274703658724321</v>
      </c>
      <c r="J59" s="38">
        <f t="shared" si="9"/>
        <v>0.255</v>
      </c>
      <c r="K59" s="70">
        <f t="shared" si="10"/>
        <v>0</v>
      </c>
      <c r="L59" s="70">
        <f t="shared" si="11"/>
        <v>0</v>
      </c>
      <c r="M59" s="70">
        <f t="shared" si="12"/>
        <v>1.22337000522627e-8</v>
      </c>
      <c r="N59" s="70">
        <f t="shared" si="13"/>
        <v>0.0022119312568201</v>
      </c>
      <c r="O59" s="70">
        <f t="shared" si="14"/>
        <v>0.191055158732879</v>
      </c>
      <c r="P59" s="70">
        <f t="shared" si="15"/>
        <v>0.0813666008698922</v>
      </c>
      <c r="Q59" s="70">
        <f t="shared" si="16"/>
        <v>6.9955611937248e-5</v>
      </c>
      <c r="R59" s="70">
        <f t="shared" si="17"/>
        <v>1.90919365695164e-11</v>
      </c>
      <c r="S59" s="70">
        <f t="shared" si="18"/>
        <v>1.11442749150287e-21</v>
      </c>
      <c r="T59" s="70"/>
      <c r="U59" s="90"/>
    </row>
    <row r="60" s="13" customFormat="1" ht="18" customHeight="1" spans="9:21">
      <c r="I60" s="81">
        <f t="shared" si="8"/>
        <v>0.0342096710740126</v>
      </c>
      <c r="J60" s="38">
        <f t="shared" si="9"/>
        <v>0.256</v>
      </c>
      <c r="K60" s="70">
        <f t="shared" si="10"/>
        <v>0</v>
      </c>
      <c r="L60" s="70">
        <f t="shared" si="11"/>
        <v>0</v>
      </c>
      <c r="M60" s="70">
        <f t="shared" si="12"/>
        <v>7.30597127818755e-12</v>
      </c>
      <c r="N60" s="70">
        <f t="shared" si="13"/>
        <v>1.6385185098863e-5</v>
      </c>
      <c r="O60" s="70">
        <f t="shared" si="14"/>
        <v>0.0122611660483261</v>
      </c>
      <c r="P60" s="70">
        <f t="shared" si="15"/>
        <v>0.0217630023257247</v>
      </c>
      <c r="Q60" s="70">
        <f t="shared" si="16"/>
        <v>0.000169116930760955</v>
      </c>
      <c r="R60" s="70">
        <f t="shared" si="17"/>
        <v>5.76795953904859e-10</v>
      </c>
      <c r="S60" s="70">
        <f t="shared" si="18"/>
        <v>4.49161159019947e-19</v>
      </c>
      <c r="T60" s="70"/>
      <c r="U60" s="90"/>
    </row>
    <row r="61" s="13" customFormat="1" ht="18" customHeight="1" spans="9:21">
      <c r="I61" s="81">
        <f t="shared" si="8"/>
        <v>0</v>
      </c>
      <c r="J61" s="38">
        <f t="shared" si="9"/>
        <v>0.257</v>
      </c>
      <c r="K61" s="70">
        <f t="shared" si="10"/>
        <v>0</v>
      </c>
      <c r="L61" s="70">
        <f t="shared" si="11"/>
        <v>0</v>
      </c>
      <c r="M61" s="70">
        <f t="shared" si="12"/>
        <v>0</v>
      </c>
      <c r="N61" s="70">
        <f t="shared" si="13"/>
        <v>0</v>
      </c>
      <c r="O61" s="70">
        <f t="shared" si="14"/>
        <v>0</v>
      </c>
      <c r="P61" s="70">
        <f t="shared" si="15"/>
        <v>0</v>
      </c>
      <c r="Q61" s="70">
        <f t="shared" si="16"/>
        <v>0</v>
      </c>
      <c r="R61" s="70">
        <f t="shared" si="17"/>
        <v>0</v>
      </c>
      <c r="S61" s="70">
        <f t="shared" si="18"/>
        <v>0</v>
      </c>
      <c r="T61" s="70"/>
      <c r="U61" s="90"/>
    </row>
    <row r="62" s="13" customFormat="1" ht="18" customHeight="1" spans="9:21">
      <c r="I62" s="81">
        <f t="shared" si="8"/>
        <v>0</v>
      </c>
      <c r="J62" s="38">
        <f t="shared" si="9"/>
        <v>0.258</v>
      </c>
      <c r="K62" s="70">
        <f t="shared" si="10"/>
        <v>0</v>
      </c>
      <c r="L62" s="70">
        <f t="shared" si="11"/>
        <v>0</v>
      </c>
      <c r="M62" s="70">
        <f t="shared" si="12"/>
        <v>0</v>
      </c>
      <c r="N62" s="70">
        <f t="shared" si="13"/>
        <v>0</v>
      </c>
      <c r="O62" s="70">
        <f t="shared" si="14"/>
        <v>0</v>
      </c>
      <c r="P62" s="70">
        <f t="shared" si="15"/>
        <v>0</v>
      </c>
      <c r="Q62" s="70">
        <f t="shared" si="16"/>
        <v>0</v>
      </c>
      <c r="R62" s="70">
        <f t="shared" si="17"/>
        <v>0</v>
      </c>
      <c r="S62" s="70">
        <f t="shared" si="18"/>
        <v>0</v>
      </c>
      <c r="T62" s="70"/>
      <c r="U62" s="90"/>
    </row>
    <row r="63" s="13" customFormat="1" ht="18" customHeight="1" spans="9:21">
      <c r="I63" s="81">
        <f t="shared" si="8"/>
        <v>0</v>
      </c>
      <c r="J63" s="38">
        <f t="shared" si="9"/>
        <v>0.259</v>
      </c>
      <c r="K63" s="70">
        <f t="shared" si="10"/>
        <v>0</v>
      </c>
      <c r="L63" s="70">
        <f t="shared" si="11"/>
        <v>0</v>
      </c>
      <c r="M63" s="70">
        <f t="shared" si="12"/>
        <v>0</v>
      </c>
      <c r="N63" s="70">
        <f t="shared" si="13"/>
        <v>0</v>
      </c>
      <c r="O63" s="70">
        <f t="shared" si="14"/>
        <v>0</v>
      </c>
      <c r="P63" s="70">
        <f t="shared" si="15"/>
        <v>0</v>
      </c>
      <c r="Q63" s="70">
        <f t="shared" si="16"/>
        <v>0</v>
      </c>
      <c r="R63" s="70">
        <f t="shared" si="17"/>
        <v>0</v>
      </c>
      <c r="S63" s="70">
        <f t="shared" si="18"/>
        <v>0</v>
      </c>
      <c r="T63" s="70"/>
      <c r="U63" s="90"/>
    </row>
    <row r="64" s="13" customFormat="1" ht="18" customHeight="1" spans="9:21">
      <c r="I64" s="81">
        <f t="shared" si="8"/>
        <v>0</v>
      </c>
      <c r="J64" s="38">
        <f t="shared" si="9"/>
        <v>0.26</v>
      </c>
      <c r="K64" s="70">
        <f t="shared" si="10"/>
        <v>0</v>
      </c>
      <c r="L64" s="70">
        <f t="shared" si="11"/>
        <v>0</v>
      </c>
      <c r="M64" s="70">
        <f t="shared" si="12"/>
        <v>0</v>
      </c>
      <c r="N64" s="70">
        <f t="shared" si="13"/>
        <v>0</v>
      </c>
      <c r="O64" s="70">
        <f t="shared" si="14"/>
        <v>0</v>
      </c>
      <c r="P64" s="70">
        <f t="shared" si="15"/>
        <v>0</v>
      </c>
      <c r="Q64" s="70">
        <f t="shared" si="16"/>
        <v>0</v>
      </c>
      <c r="R64" s="70">
        <f t="shared" si="17"/>
        <v>0</v>
      </c>
      <c r="S64" s="70">
        <f t="shared" si="18"/>
        <v>0</v>
      </c>
      <c r="T64" s="70"/>
      <c r="U64" s="90"/>
    </row>
    <row r="65" s="13" customFormat="1" ht="18" customHeight="1" spans="9:21">
      <c r="I65" s="81">
        <f t="shared" si="8"/>
        <v>0</v>
      </c>
      <c r="J65" s="38">
        <f t="shared" si="9"/>
        <v>0.261</v>
      </c>
      <c r="K65" s="70">
        <f t="shared" si="10"/>
        <v>0</v>
      </c>
      <c r="L65" s="70">
        <f t="shared" si="11"/>
        <v>0</v>
      </c>
      <c r="M65" s="70">
        <f t="shared" si="12"/>
        <v>0</v>
      </c>
      <c r="N65" s="70">
        <f t="shared" si="13"/>
        <v>0</v>
      </c>
      <c r="O65" s="70">
        <f t="shared" si="14"/>
        <v>0</v>
      </c>
      <c r="P65" s="70">
        <f t="shared" si="15"/>
        <v>0</v>
      </c>
      <c r="Q65" s="70">
        <f t="shared" si="16"/>
        <v>0</v>
      </c>
      <c r="R65" s="70">
        <f t="shared" si="17"/>
        <v>0</v>
      </c>
      <c r="S65" s="70">
        <f t="shared" si="18"/>
        <v>0</v>
      </c>
      <c r="T65" s="70"/>
      <c r="U65" s="90"/>
    </row>
    <row r="66" s="13" customFormat="1" ht="18" customHeight="1" spans="9:21">
      <c r="I66" s="81">
        <f t="shared" si="8"/>
        <v>0</v>
      </c>
      <c r="J66" s="38">
        <f t="shared" si="9"/>
        <v>0.262</v>
      </c>
      <c r="K66" s="70">
        <f t="shared" si="10"/>
        <v>0</v>
      </c>
      <c r="L66" s="70">
        <f t="shared" si="11"/>
        <v>0</v>
      </c>
      <c r="M66" s="70">
        <f t="shared" si="12"/>
        <v>0</v>
      </c>
      <c r="N66" s="70">
        <f t="shared" si="13"/>
        <v>0</v>
      </c>
      <c r="O66" s="70">
        <f t="shared" si="14"/>
        <v>0</v>
      </c>
      <c r="P66" s="70">
        <f t="shared" si="15"/>
        <v>0</v>
      </c>
      <c r="Q66" s="70">
        <f t="shared" si="16"/>
        <v>0</v>
      </c>
      <c r="R66" s="70">
        <f t="shared" si="17"/>
        <v>0</v>
      </c>
      <c r="S66" s="70">
        <f t="shared" si="18"/>
        <v>0</v>
      </c>
      <c r="T66" s="70"/>
      <c r="U66" s="90"/>
    </row>
    <row r="67" s="13" customFormat="1" ht="18" customHeight="1" spans="9:21">
      <c r="I67" s="81">
        <f t="shared" si="8"/>
        <v>0</v>
      </c>
      <c r="J67" s="38">
        <f t="shared" si="9"/>
        <v>0.263</v>
      </c>
      <c r="K67" s="70">
        <f t="shared" si="10"/>
        <v>0</v>
      </c>
      <c r="L67" s="70">
        <f t="shared" si="11"/>
        <v>0</v>
      </c>
      <c r="M67" s="70">
        <f t="shared" si="12"/>
        <v>0</v>
      </c>
      <c r="N67" s="70">
        <f t="shared" si="13"/>
        <v>0</v>
      </c>
      <c r="O67" s="70">
        <f t="shared" si="14"/>
        <v>0</v>
      </c>
      <c r="P67" s="70">
        <f t="shared" si="15"/>
        <v>0</v>
      </c>
      <c r="Q67" s="70">
        <f t="shared" si="16"/>
        <v>0</v>
      </c>
      <c r="R67" s="70">
        <f t="shared" si="17"/>
        <v>0</v>
      </c>
      <c r="S67" s="70">
        <f t="shared" si="18"/>
        <v>0</v>
      </c>
      <c r="T67" s="70"/>
      <c r="U67" s="90"/>
    </row>
    <row r="68" s="13" customFormat="1" ht="18" customHeight="1" spans="9:21">
      <c r="I68" s="81">
        <f t="shared" si="8"/>
        <v>0</v>
      </c>
      <c r="J68" s="38">
        <f t="shared" si="9"/>
        <v>0.264</v>
      </c>
      <c r="K68" s="70">
        <f t="shared" si="10"/>
        <v>0</v>
      </c>
      <c r="L68" s="70">
        <f t="shared" si="11"/>
        <v>0</v>
      </c>
      <c r="M68" s="70">
        <f t="shared" si="12"/>
        <v>0</v>
      </c>
      <c r="N68" s="70">
        <f t="shared" si="13"/>
        <v>0</v>
      </c>
      <c r="O68" s="70">
        <f t="shared" si="14"/>
        <v>0</v>
      </c>
      <c r="P68" s="70">
        <f t="shared" si="15"/>
        <v>0</v>
      </c>
      <c r="Q68" s="70">
        <f t="shared" si="16"/>
        <v>0</v>
      </c>
      <c r="R68" s="70">
        <f t="shared" si="17"/>
        <v>0</v>
      </c>
      <c r="S68" s="70">
        <f t="shared" si="18"/>
        <v>0</v>
      </c>
      <c r="T68" s="70"/>
      <c r="U68" s="90"/>
    </row>
    <row r="69" s="13" customFormat="1" ht="18" customHeight="1" spans="9:21">
      <c r="I69" s="81">
        <f t="shared" si="8"/>
        <v>0</v>
      </c>
      <c r="J69" s="38">
        <f t="shared" si="9"/>
        <v>0.265</v>
      </c>
      <c r="K69" s="70">
        <f t="shared" si="10"/>
        <v>0</v>
      </c>
      <c r="L69" s="70">
        <f t="shared" si="11"/>
        <v>0</v>
      </c>
      <c r="M69" s="70">
        <f t="shared" si="12"/>
        <v>0</v>
      </c>
      <c r="N69" s="70">
        <f t="shared" si="13"/>
        <v>0</v>
      </c>
      <c r="O69" s="70">
        <f t="shared" si="14"/>
        <v>0</v>
      </c>
      <c r="P69" s="70">
        <f t="shared" si="15"/>
        <v>0</v>
      </c>
      <c r="Q69" s="70">
        <f t="shared" si="16"/>
        <v>0</v>
      </c>
      <c r="R69" s="70">
        <f t="shared" si="17"/>
        <v>0</v>
      </c>
      <c r="S69" s="70">
        <f t="shared" si="18"/>
        <v>0</v>
      </c>
      <c r="T69" s="70"/>
      <c r="U69" s="90"/>
    </row>
    <row r="70" s="13" customFormat="1" ht="18" customHeight="1" spans="9:21">
      <c r="I70" s="81">
        <f t="shared" si="8"/>
        <v>0</v>
      </c>
      <c r="J70" s="38">
        <f t="shared" si="9"/>
        <v>0.266</v>
      </c>
      <c r="K70" s="70">
        <f t="shared" si="10"/>
        <v>0</v>
      </c>
      <c r="L70" s="70">
        <f t="shared" si="11"/>
        <v>0</v>
      </c>
      <c r="M70" s="70">
        <f t="shared" si="12"/>
        <v>0</v>
      </c>
      <c r="N70" s="70">
        <f t="shared" si="13"/>
        <v>0</v>
      </c>
      <c r="O70" s="70">
        <f t="shared" si="14"/>
        <v>0</v>
      </c>
      <c r="P70" s="70">
        <f t="shared" si="15"/>
        <v>0</v>
      </c>
      <c r="Q70" s="70">
        <f t="shared" si="16"/>
        <v>0</v>
      </c>
      <c r="R70" s="70">
        <f t="shared" si="17"/>
        <v>0</v>
      </c>
      <c r="S70" s="70">
        <f t="shared" si="18"/>
        <v>0</v>
      </c>
      <c r="T70" s="70"/>
      <c r="U70" s="90"/>
    </row>
    <row r="71" s="13" customFormat="1" ht="18" customHeight="1" spans="9:21">
      <c r="I71" s="97" t="s">
        <v>100</v>
      </c>
      <c r="J71" s="98"/>
      <c r="K71" s="99">
        <f t="shared" ref="K71:S71" si="19">SUM(K51:K70)</f>
        <v>0</v>
      </c>
      <c r="L71" s="99">
        <f t="shared" si="19"/>
        <v>1.20330733823749e-11</v>
      </c>
      <c r="M71" s="99">
        <f t="shared" si="19"/>
        <v>5.48921904655458e-5</v>
      </c>
      <c r="N71" s="99">
        <f t="shared" si="19"/>
        <v>0.103331365120049</v>
      </c>
      <c r="O71" s="99">
        <f t="shared" si="19"/>
        <v>0.758605449037783</v>
      </c>
      <c r="P71" s="99">
        <f t="shared" si="19"/>
        <v>0.137766645150761</v>
      </c>
      <c r="Q71" s="99">
        <f t="shared" si="19"/>
        <v>0.000241647892966665</v>
      </c>
      <c r="R71" s="99">
        <f t="shared" si="19"/>
        <v>5.95941441786521e-10</v>
      </c>
      <c r="S71" s="99">
        <f t="shared" si="19"/>
        <v>4.50275815618622e-19</v>
      </c>
      <c r="T71" s="99"/>
      <c r="U71" s="101">
        <f>SUM(K71:T71)</f>
        <v>1</v>
      </c>
    </row>
    <row r="72" ht="18" customHeight="1" spans="11:20">
      <c r="K72" s="67">
        <f>K50</f>
        <v>620</v>
      </c>
      <c r="L72" s="67">
        <f t="shared" ref="L72:T72" si="20">L50</f>
        <v>625</v>
      </c>
      <c r="M72" s="67">
        <f t="shared" si="20"/>
        <v>630</v>
      </c>
      <c r="N72" s="67">
        <f t="shared" si="20"/>
        <v>635</v>
      </c>
      <c r="O72" s="67">
        <f t="shared" si="20"/>
        <v>640</v>
      </c>
      <c r="P72" s="67">
        <f t="shared" si="20"/>
        <v>645</v>
      </c>
      <c r="Q72" s="67">
        <f t="shared" si="20"/>
        <v>650</v>
      </c>
      <c r="R72" s="67">
        <f t="shared" si="20"/>
        <v>655</v>
      </c>
      <c r="S72" s="67">
        <f t="shared" si="20"/>
        <v>660</v>
      </c>
      <c r="T72" s="67">
        <f t="shared" si="20"/>
        <v>665</v>
      </c>
    </row>
    <row r="73" ht="4.8" customHeight="1" spans="9:9">
      <c r="I73" s="100"/>
    </row>
    <row r="74" ht="4.8" customHeight="1" spans="9:9">
      <c r="I74" s="100"/>
    </row>
    <row r="75" ht="4.8" customHeight="1" spans="9:9">
      <c r="I75" s="100"/>
    </row>
    <row r="76" ht="26.4" customHeight="1" spans="1:15">
      <c r="A76" s="92" t="s">
        <v>101</v>
      </c>
      <c r="B76" s="93" t="s">
        <v>89</v>
      </c>
      <c r="C76" s="93" t="str">
        <f>C9</f>
        <v>芜湖</v>
      </c>
      <c r="D76" s="93" t="str">
        <f t="shared" ref="D76:O76" si="21">D9</f>
        <v>润阳</v>
      </c>
      <c r="E76" s="93" t="str">
        <f t="shared" si="21"/>
        <v>英发</v>
      </c>
      <c r="F76" s="93" t="str">
        <f t="shared" si="21"/>
        <v>中润</v>
      </c>
      <c r="G76" s="93" t="str">
        <f t="shared" si="21"/>
        <v>卓耀</v>
      </c>
      <c r="H76" s="93" t="str">
        <f t="shared" si="21"/>
        <v>和光同程</v>
      </c>
      <c r="I76" s="93" t="str">
        <f t="shared" si="21"/>
        <v>弘元</v>
      </c>
      <c r="J76" s="93" t="str">
        <f t="shared" si="21"/>
        <v>仕净</v>
      </c>
      <c r="K76" s="93" t="str">
        <f t="shared" si="21"/>
        <v>赛福天</v>
      </c>
      <c r="L76" s="93" t="str">
        <f t="shared" si="21"/>
        <v>通威</v>
      </c>
      <c r="M76" s="93" t="str">
        <f t="shared" si="21"/>
        <v>爱旭</v>
      </c>
      <c r="N76" s="93" t="str">
        <f t="shared" si="21"/>
        <v>厂家12</v>
      </c>
      <c r="O76" s="93" t="str">
        <f t="shared" si="21"/>
        <v>厂家13</v>
      </c>
    </row>
    <row r="77" ht="17.4" customHeight="1" spans="1:15">
      <c r="A77" s="92"/>
      <c r="B77" s="94">
        <f>C29</f>
        <v>0.247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</row>
    <row r="78" ht="17.4" customHeight="1" spans="1:15">
      <c r="A78" s="92"/>
      <c r="B78" s="94">
        <f t="shared" ref="B78:B96" si="22">C30</f>
        <v>0.248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</row>
    <row r="79" ht="17.4" customHeight="1" spans="1:15">
      <c r="A79" s="92"/>
      <c r="B79" s="94">
        <f t="shared" si="22"/>
        <v>0.249</v>
      </c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</row>
    <row r="80" ht="17.4" customHeight="1" spans="1:15">
      <c r="A80" s="92"/>
      <c r="B80" s="94">
        <f t="shared" si="22"/>
        <v>0.25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</row>
    <row r="81" ht="17.4" customHeight="1" spans="1:15">
      <c r="A81" s="92"/>
      <c r="B81" s="94">
        <f t="shared" si="22"/>
        <v>0.251</v>
      </c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</row>
    <row r="82" ht="17.4" customHeight="1" spans="1:15">
      <c r="A82" s="92"/>
      <c r="B82" s="94">
        <f t="shared" si="22"/>
        <v>0.252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</row>
    <row r="83" ht="17.4" customHeight="1" spans="1:15">
      <c r="A83" s="92"/>
      <c r="B83" s="94">
        <f t="shared" si="22"/>
        <v>0.253</v>
      </c>
      <c r="C83" s="95">
        <v>0.106283422459893</v>
      </c>
      <c r="D83" s="95">
        <v>0.175219023779725</v>
      </c>
      <c r="E83" s="95"/>
      <c r="F83" s="95">
        <v>0.0973329245861435</v>
      </c>
      <c r="G83" s="95"/>
      <c r="H83" s="95">
        <v>0.168942405477905</v>
      </c>
      <c r="I83" s="95"/>
      <c r="J83" s="95"/>
      <c r="K83" s="95"/>
      <c r="L83" s="95">
        <v>0.0673575129533679</v>
      </c>
      <c r="M83" s="95"/>
      <c r="N83" s="95"/>
      <c r="O83" s="95"/>
    </row>
    <row r="84" ht="17.4" customHeight="1" spans="1:15">
      <c r="A84" s="92"/>
      <c r="B84" s="94">
        <f t="shared" si="22"/>
        <v>0.254</v>
      </c>
      <c r="C84" s="95">
        <v>0.195187165775401</v>
      </c>
      <c r="D84" s="95">
        <v>0.350438047559449</v>
      </c>
      <c r="E84" s="95">
        <v>0.206521739130435</v>
      </c>
      <c r="F84" s="95">
        <v>0.369681177191907</v>
      </c>
      <c r="G84" s="95"/>
      <c r="H84" s="95">
        <v>0.544458384336261</v>
      </c>
      <c r="I84" s="95"/>
      <c r="J84" s="95"/>
      <c r="K84" s="95"/>
      <c r="L84" s="95">
        <v>0.362694300518135</v>
      </c>
      <c r="M84" s="95"/>
      <c r="N84" s="95"/>
      <c r="O84" s="95"/>
    </row>
    <row r="85" ht="17.4" customHeight="1" spans="1:15">
      <c r="A85" s="92"/>
      <c r="B85" s="94">
        <f t="shared" si="22"/>
        <v>0.255</v>
      </c>
      <c r="C85" s="95">
        <v>0.372103386809269</v>
      </c>
      <c r="D85" s="95">
        <v>0.394972882770129</v>
      </c>
      <c r="E85" s="95">
        <v>0.358695652173913</v>
      </c>
      <c r="F85" s="95">
        <v>0.43032904148784</v>
      </c>
      <c r="G85" s="95"/>
      <c r="H85" s="95">
        <v>0.280308818864851</v>
      </c>
      <c r="I85" s="95"/>
      <c r="J85" s="95"/>
      <c r="K85" s="95"/>
      <c r="L85" s="95">
        <v>0.518134715025907</v>
      </c>
      <c r="M85" s="95"/>
      <c r="N85" s="95"/>
      <c r="O85" s="95"/>
    </row>
    <row r="86" ht="17.4" customHeight="1" spans="1:15">
      <c r="A86" s="92"/>
      <c r="B86" s="94">
        <f t="shared" si="22"/>
        <v>0.256</v>
      </c>
      <c r="C86" s="95">
        <v>0.301916221033868</v>
      </c>
      <c r="D86" s="95">
        <v>0.0677930746766792</v>
      </c>
      <c r="E86" s="95">
        <v>0.434782608695652</v>
      </c>
      <c r="F86" s="95">
        <v>0.100275904353158</v>
      </c>
      <c r="G86" s="95"/>
      <c r="H86" s="95">
        <v>0.00629039132098217</v>
      </c>
      <c r="I86" s="95"/>
      <c r="J86" s="95"/>
      <c r="K86" s="95"/>
      <c r="L86" s="95">
        <v>0.0518134715025907</v>
      </c>
      <c r="M86" s="95"/>
      <c r="N86" s="95"/>
      <c r="O86" s="95"/>
    </row>
    <row r="87" ht="17.4" customHeight="1" spans="1:15">
      <c r="A87" s="92"/>
      <c r="B87" s="94">
        <f t="shared" si="22"/>
        <v>0.257</v>
      </c>
      <c r="C87" s="95">
        <v>0.0245098039215686</v>
      </c>
      <c r="D87" s="95">
        <v>0.0115769712140175</v>
      </c>
      <c r="E87" s="95">
        <v>0</v>
      </c>
      <c r="F87" s="95">
        <v>0.00238095238095238</v>
      </c>
      <c r="G87" s="95"/>
      <c r="H87" s="95">
        <v>0</v>
      </c>
      <c r="I87" s="95"/>
      <c r="J87" s="95"/>
      <c r="K87" s="95"/>
      <c r="L87" s="95"/>
      <c r="M87" s="95"/>
      <c r="N87" s="95"/>
      <c r="O87" s="95"/>
    </row>
    <row r="88" ht="17.4" customHeight="1" spans="1:15">
      <c r="A88" s="92"/>
      <c r="B88" s="94">
        <f t="shared" si="22"/>
        <v>0.258</v>
      </c>
      <c r="C88" s="95">
        <v>0</v>
      </c>
      <c r="D88" s="95"/>
      <c r="E88" s="95"/>
      <c r="F88" s="95">
        <v>0</v>
      </c>
      <c r="G88" s="95"/>
      <c r="H88" s="95"/>
      <c r="I88" s="95"/>
      <c r="J88" s="95"/>
      <c r="K88" s="95"/>
      <c r="L88" s="95"/>
      <c r="M88" s="95"/>
      <c r="N88" s="95"/>
      <c r="O88" s="95"/>
    </row>
    <row r="89" ht="17.4" customHeight="1" spans="1:15">
      <c r="A89" s="92"/>
      <c r="B89" s="94">
        <f t="shared" si="22"/>
        <v>0.259</v>
      </c>
      <c r="C89" s="95">
        <v>0</v>
      </c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</row>
    <row r="90" ht="17.4" customHeight="1" spans="1:15">
      <c r="A90" s="92"/>
      <c r="B90" s="94">
        <f t="shared" si="22"/>
        <v>0.26</v>
      </c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</row>
    <row r="91" ht="17.4" customHeight="1" spans="1:15">
      <c r="A91" s="92"/>
      <c r="B91" s="94">
        <f t="shared" si="22"/>
        <v>0.261</v>
      </c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</row>
    <row r="92" ht="17.4" customHeight="1" spans="1:15">
      <c r="A92" s="92"/>
      <c r="B92" s="94">
        <f t="shared" si="22"/>
        <v>0.262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</row>
    <row r="93" ht="17.4" customHeight="1" spans="1:15">
      <c r="A93" s="92"/>
      <c r="B93" s="94">
        <f t="shared" si="22"/>
        <v>0.263</v>
      </c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</row>
    <row r="94" ht="17.4" customHeight="1" spans="1:15">
      <c r="A94" s="92"/>
      <c r="B94" s="94">
        <f t="shared" si="22"/>
        <v>0.264</v>
      </c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</row>
    <row r="95" ht="17.4" customHeight="1" spans="1:15">
      <c r="A95" s="92"/>
      <c r="B95" s="94">
        <f t="shared" si="22"/>
        <v>0.265</v>
      </c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</row>
    <row r="96" ht="17.4" customHeight="1" spans="1:15">
      <c r="A96" s="92"/>
      <c r="B96" s="94">
        <f t="shared" si="22"/>
        <v>0.266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W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{d3f3b59c-04e6-4e0f-9eab-b374d1649896}</x14:id>
        </ext>
      </extLst>
    </cfRule>
  </conditionalFormatting>
  <conditionalFormatting sqref="D30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{ffa70df8-7bb1-409c-85c2-f13f1cb3b2fd}</x14:id>
        </ext>
      </extLst>
    </cfRule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{eaf00ad2-b1b3-4106-8f04-e368c47a83ba}</x14:id>
        </ext>
      </extLst>
    </cfRule>
  </conditionalFormatting>
  <conditionalFormatting sqref="D33:D44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{a503f8b4-d9e5-4ed9-a0ed-0320471bd3ff}</x14:id>
        </ext>
      </extLst>
    </cfRule>
  </conditionalFormatting>
  <conditionalFormatting sqref="D45:D48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{ca42e6ba-7670-4151-a702-5578a455af43}</x14:id>
        </ext>
      </extLst>
    </cfRule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{457f1015-5828-4df1-986b-5df54b552228}</x14:id>
        </ext>
      </extLst>
    </cfRule>
  </conditionalFormatting>
  <conditionalFormatting sqref="D49:D5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{1562a00b-66c3-45fd-b787-4d18a9542269}</x14:id>
        </ext>
      </extLst>
    </cfRule>
    <cfRule type="dataBar" priority="1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{4e42c041-c33a-44b3-ad8f-0a8ba6d60238}</x14:id>
        </ext>
      </extLst>
    </cfRule>
  </conditionalFormatting>
  <conditionalFormatting sqref="D77:D96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{cfb8696e-5707-4a65-a654-0b9cccfcc5d4}</x14:id>
        </ext>
      </extLst>
    </cfRule>
  </conditionalFormatting>
  <conditionalFormatting sqref="E77:E96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{ae012b9d-bc2a-4574-9543-5733b3d8bdb5}</x14:id>
        </ext>
      </extLst>
    </cfRule>
  </conditionalFormatting>
  <conditionalFormatting sqref="F77:F9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{04411322-f021-45c4-813a-aa2f36b044c4}</x14:id>
        </ext>
      </extLst>
    </cfRule>
  </conditionalFormatting>
  <conditionalFormatting sqref="H77:H96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{51e4a959-ea69-4d60-8604-17105308aae2}</x14:id>
        </ext>
      </extLst>
    </cfRule>
  </conditionalFormatting>
  <conditionalFormatting sqref="L77:L9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{352b9d3a-423d-4c2a-96a5-9ef7dcba420e}</x14:id>
        </ext>
      </extLst>
    </cfRule>
  </conditionalFormatting>
  <conditionalFormatting sqref="D29:D32 D45:D48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{4d7312f4-ae27-411c-9f2a-aa768ac731f8}</x14:id>
        </ext>
      </extLst>
    </cfRule>
  </conditionalFormatting>
  <conditionalFormatting sqref="K29:R4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{2ccd7fca-e9d7-40a7-aa5d-68b68eb9fa8e}</x14:id>
        </ext>
      </extLst>
    </cfRule>
  </conditionalFormatting>
  <conditionalFormatting sqref="K29:T48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{e7d0e691-c9f0-498e-ad1b-0db7350e5822}</x14:id>
        </ext>
      </extLst>
    </cfRule>
  </conditionalFormatting>
  <conditionalFormatting sqref="K29:S48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{2b01dc37-52c1-4ae7-9d9e-cb377f04f7b5}</x14:id>
        </ext>
      </extLst>
    </cfRule>
  </conditionalFormatting>
  <conditionalFormatting sqref="M29:O30 O35 N31:O34 M31:M48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{2c7b6015-d1e2-4415-b122-ddb29d942553}</x14:id>
        </ext>
      </extLst>
    </cfRule>
    <cfRule type="colorScale" priority="25">
      <colorScale>
        <cfvo type="percent" val="0"/>
        <cfvo type="percent" val="0"/>
        <color theme="0"/>
        <color theme="0"/>
      </colorScale>
    </cfRule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{cdfb72d3-b367-4455-b77c-e60063d0742b}</x14:id>
        </ext>
      </extLst>
    </cfRule>
    <cfRule type="dataBar" priority="2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{99638256-e372-4d9e-ac0c-a698fde6df4a}</x14:id>
        </ext>
      </extLst>
    </cfRule>
    <cfRule type="dataBar" priority="2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{214d601b-c6fe-485d-9d7d-3d5b38afc01f}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{addd872a-7f5f-4c08-b8a3-11599786472d}</x14:id>
        </ext>
      </extLst>
    </cfRule>
  </conditionalFormatting>
  <conditionalFormatting sqref="P29:R35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{15cd1f20-4395-439a-bdf6-ea03ce23998f}</x14:id>
        </ext>
      </extLst>
    </cfRule>
    <cfRule type="colorScale" priority="18">
      <colorScale>
        <cfvo type="percent" val="0"/>
        <cfvo type="percent" val="0"/>
        <color theme="0"/>
        <color theme="0"/>
      </colorScale>
    </cfRule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{e0b5994d-28fa-4ba8-b382-93db44fee0ba}</x14:id>
        </ext>
      </extLst>
    </cfRule>
    <cfRule type="dataBar" priority="2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{387b720c-28e2-4a00-aafd-6b5424e02fe8}</x14:id>
        </ext>
      </extLst>
    </cfRule>
    <cfRule type="dataBar" priority="2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{1cf61845-ae89-4ab7-8e95-08b92295360a}</x14:id>
        </ext>
      </extLst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{3714eff3-97fa-4a2b-bd5a-d6b671aac2e4}</x14:id>
        </ext>
      </extLst>
    </cfRule>
  </conditionalFormatting>
  <conditionalFormatting sqref="S29:T48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{4b9cb2ee-4e22-4e1c-ad8f-eda3f5437341}</x14:id>
        </ext>
      </extLst>
    </cfRule>
    <cfRule type="dataBar" priority="3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{57144e88-abf3-4e75-abae-629cb2d5db20}</x14:id>
        </ext>
      </extLst>
    </cfRule>
    <cfRule type="colorScale" priority="39">
      <colorScale>
        <cfvo type="percent" val="0"/>
        <cfvo type="percent" val="0"/>
        <color theme="0"/>
        <color theme="0"/>
      </colorScale>
    </cfRule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{4b570f8a-9069-4fc0-b8d6-28fcf3deb10e}</x14:id>
        </ext>
      </extLst>
    </cfRule>
    <cfRule type="dataBar" priority="4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{bd12bb61-32f5-41a8-850d-dfc9ddf72927}</x14:id>
        </ext>
      </extLst>
    </cfRule>
    <cfRule type="dataBar" priority="4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{d3f8ea50-1b25-4da5-9126-7d4548759e31}</x14:id>
        </ext>
      </extLst>
    </cfRule>
    <cfRule type="dataBar" priority="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{2c797c1a-192a-484e-91d7-9765efed0d5d}</x14:id>
        </ext>
      </extLst>
    </cfRule>
  </conditionalFormatting>
  <conditionalFormatting sqref="P36:R48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{f8cf7582-3387-4e2c-a7d3-a8bfd955d129}</x14:id>
        </ext>
      </extLst>
    </cfRule>
    <cfRule type="colorScale" priority="31">
      <colorScale>
        <cfvo type="percent" val="0"/>
        <cfvo type="percent" val="0"/>
        <color theme="0"/>
        <color theme="0"/>
      </colorScale>
    </cfRule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{ab462ac0-33cd-46fa-91e0-3cac9403445b}</x14:id>
        </ext>
      </extLst>
    </cfRule>
    <cfRule type="dataBar" priority="3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{84e05dd6-5aec-4b8f-b755-040ecbea8fc0}</x14:id>
        </ext>
      </extLst>
    </cfRule>
    <cfRule type="dataBar" priority="3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{4cd945f0-a161-42b5-aa85-4378b00e31f8}</x14:id>
        </ext>
      </extLst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{ed90bdf2-8bc7-49ae-babd-3554277bd106}</x14:id>
        </ext>
      </extLst>
    </cfRule>
  </conditionalFormatting>
  <conditionalFormatting sqref="C77:O9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{126c7fd3-0075-42b6-a20a-bee6f9d3a26c}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3b59c-04e6-4e0f-9eab-b374d164989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ffa70df8-7bb1-409c-85c2-f13f1cb3b2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af00ad2-b1b3-4106-8f04-e368c47a83b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a503f8b4-d9e5-4ed9-a0ed-0320471bd3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ca42e6ba-7670-4151-a702-5578a455af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57f1015-5828-4df1-986b-5df54b55222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1562a00b-66c3-45fd-b787-4d18a95422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e42c041-c33a-44b3-ad8f-0a8ba6d6023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cfb8696e-5707-4a65-a654-0b9cccfcc5d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D77:D96</xm:sqref>
        </x14:conditionalFormatting>
        <x14:conditionalFormatting xmlns:xm="http://schemas.microsoft.com/office/excel/2006/main">
          <x14:cfRule type="dataBar" id="{ae012b9d-bc2a-4574-9543-5733b3d8bdb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E77:E96</xm:sqref>
        </x14:conditionalFormatting>
        <x14:conditionalFormatting xmlns:xm="http://schemas.microsoft.com/office/excel/2006/main">
          <x14:cfRule type="dataBar" id="{04411322-f021-45c4-813a-aa2f36b044c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F77:F96</xm:sqref>
        </x14:conditionalFormatting>
        <x14:conditionalFormatting xmlns:xm="http://schemas.microsoft.com/office/excel/2006/main">
          <x14:cfRule type="dataBar" id="{51e4a959-ea69-4d60-8604-17105308aa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H77:H96</xm:sqref>
        </x14:conditionalFormatting>
        <x14:conditionalFormatting xmlns:xm="http://schemas.microsoft.com/office/excel/2006/main">
          <x14:cfRule type="dataBar" id="{352b9d3a-423d-4c2a-96a5-9ef7dcba42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L77:L96</xm:sqref>
        </x14:conditionalFormatting>
        <x14:conditionalFormatting xmlns:xm="http://schemas.microsoft.com/office/excel/2006/main">
          <x14:cfRule type="dataBar" id="{4d7312f4-ae27-411c-9f2a-aa768ac731f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2ccd7fca-e9d7-40a7-aa5d-68b68eb9fa8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e7d0e691-c9f0-498e-ad1b-0db7350e58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2b01dc37-52c1-4ae7-9d9e-cb377f04f7b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</xm:sqref>
        </x14:conditionalFormatting>
        <x14:conditionalFormatting xmlns:xm="http://schemas.microsoft.com/office/excel/2006/main">
          <x14:cfRule type="dataBar" id="{2c7b6015-d1e2-4415-b122-ddb29d94255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cdfb72d3-b367-4455-b77c-e60063d0742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9638256-e372-4d9e-ac0c-a698fde6df4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14d601b-c6fe-485d-9d7d-3d5b38afc01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ddd872a-7f5f-4c08-b8a3-11599786472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15cd1f20-4395-439a-bdf6-ea03ce2399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e0b5994d-28fa-4ba8-b382-93db44fee0b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87b720c-28e2-4a00-aafd-6b5424e02fe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cf61845-ae89-4ab7-8e95-08b92295360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714eff3-97fa-4a2b-bd5a-d6b671aac2e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4b9cb2ee-4e22-4e1c-ad8f-eda3f54373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57144e88-abf3-4e75-abae-629cb2d5db2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4b570f8a-9069-4fc0-b8d6-28fcf3deb10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d12bb61-32f5-41a8-850d-dfc9ddf7292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3f8ea50-1b25-4da5-9126-7d4548759e3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c797c1a-192a-484e-91d7-9765efed0d5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f8cf7582-3387-4e2c-a7d3-a8bfd955d12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ab462ac0-33cd-46fa-91e0-3cac9403445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4e05dd6-5aec-4b8f-b755-040ecbea8fc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cd945f0-a161-42b5-aa85-4378b00e31f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d90bdf2-8bc7-49ae-babd-3554277bd10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126c7fd3-0075-42b6-a20a-bee6f9d3a2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C77:O96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tabColor theme="7" tint="0.799951170384838"/>
  </sheetPr>
  <dimension ref="A1:Y96"/>
  <sheetViews>
    <sheetView showGridLines="0" zoomScale="70" zoomScaleNormal="70" topLeftCell="A13" workbookViewId="0">
      <selection activeCell="R31" sqref="R31"/>
    </sheetView>
  </sheetViews>
  <sheetFormatPr defaultColWidth="8.44444444444444" defaultRowHeight="13.2"/>
  <cols>
    <col min="1" max="19" width="10.5555555555556" style="16" customWidth="1"/>
    <col min="20" max="20" width="10.5555555555556" style="16" hidden="1" customWidth="1"/>
    <col min="21" max="21" width="10.5555555555556" style="16" customWidth="1"/>
    <col min="22" max="16384" width="8.44444444444444" style="16"/>
  </cols>
  <sheetData>
    <row r="1" s="12" customFormat="1" ht="40.8" customHeight="1" spans="1:21">
      <c r="A1" s="17" t="s">
        <v>107</v>
      </c>
      <c r="B1" s="17"/>
      <c r="C1" s="17"/>
      <c r="D1" s="17"/>
      <c r="E1" s="17"/>
      <c r="F1" s="17"/>
      <c r="G1" s="18" t="s">
        <v>1</v>
      </c>
      <c r="H1" s="18"/>
      <c r="I1" s="18"/>
      <c r="J1" s="18">
        <f>620.56-4.8</f>
        <v>615.76</v>
      </c>
      <c r="K1" s="58" t="s">
        <v>2</v>
      </c>
      <c r="L1" s="58" t="s">
        <v>3</v>
      </c>
      <c r="M1" s="58"/>
      <c r="N1" s="58"/>
      <c r="O1" s="58"/>
      <c r="Q1" s="82"/>
      <c r="R1" s="82"/>
      <c r="S1" s="82"/>
      <c r="T1" s="82"/>
      <c r="U1" s="82"/>
    </row>
    <row r="2" ht="1.95" customHeight="1" spans="8:21">
      <c r="H2" s="19"/>
      <c r="P2" s="12"/>
      <c r="Q2" s="82"/>
      <c r="R2" s="82"/>
      <c r="S2" s="82"/>
      <c r="T2" s="82"/>
      <c r="U2" s="82"/>
    </row>
    <row r="3" s="13" customFormat="1" ht="21.9" customHeight="1" spans="1:25">
      <c r="A3" s="20" t="s">
        <v>4</v>
      </c>
      <c r="B3" s="20">
        <v>0</v>
      </c>
      <c r="C3" s="24">
        <v>0.26</v>
      </c>
      <c r="D3" s="10">
        <v>0.24</v>
      </c>
      <c r="E3" s="10">
        <v>0.23</v>
      </c>
      <c r="F3" s="10">
        <v>0.28</v>
      </c>
      <c r="G3" s="10" t="s">
        <v>6</v>
      </c>
      <c r="H3" s="10" t="s">
        <v>7</v>
      </c>
      <c r="I3" s="10" t="s">
        <v>8</v>
      </c>
      <c r="J3" s="10" t="s">
        <v>9</v>
      </c>
      <c r="K3" s="10" t="s">
        <v>10</v>
      </c>
      <c r="L3" s="10" t="s">
        <v>11</v>
      </c>
      <c r="M3" s="10" t="s">
        <v>12</v>
      </c>
      <c r="N3" s="10" t="s">
        <v>13</v>
      </c>
      <c r="O3" s="10" t="s">
        <v>14</v>
      </c>
      <c r="P3" s="59"/>
      <c r="Q3" s="83"/>
      <c r="R3" s="83"/>
      <c r="S3" s="83"/>
      <c r="T3" s="83"/>
      <c r="U3" s="83"/>
      <c r="V3" s="84"/>
      <c r="W3" s="84"/>
      <c r="X3" s="84"/>
      <c r="Y3" s="84"/>
    </row>
    <row r="4" s="13" customFormat="1" ht="21.9" customHeight="1" spans="1:25">
      <c r="A4" s="20"/>
      <c r="B4" s="20"/>
      <c r="C4" s="24">
        <v>0</v>
      </c>
      <c r="D4" s="10">
        <v>-2</v>
      </c>
      <c r="E4" s="10">
        <v>-3</v>
      </c>
      <c r="F4" s="10">
        <v>1.5</v>
      </c>
      <c r="G4" s="10"/>
      <c r="H4" s="10"/>
      <c r="I4" s="10"/>
      <c r="J4" s="10"/>
      <c r="K4" s="10"/>
      <c r="L4" s="10"/>
      <c r="M4" s="10"/>
      <c r="N4" s="10"/>
      <c r="O4" s="10"/>
      <c r="P4" s="59"/>
      <c r="Q4" s="83"/>
      <c r="R4" s="83"/>
      <c r="S4" s="83"/>
      <c r="T4" s="83"/>
      <c r="U4" s="83"/>
      <c r="V4" s="84"/>
      <c r="W4" s="84"/>
      <c r="X4" s="84"/>
      <c r="Y4" s="84"/>
    </row>
    <row r="5" ht="1.95" customHeight="1" spans="16:21">
      <c r="P5" s="12"/>
      <c r="Q5" s="82"/>
      <c r="R5" s="82"/>
      <c r="S5" s="82"/>
      <c r="T5" s="82"/>
      <c r="U5" s="82"/>
    </row>
    <row r="6" s="13" customFormat="1" ht="27" customHeight="1" spans="1:25">
      <c r="A6" s="20" t="s">
        <v>15</v>
      </c>
      <c r="B6" s="20">
        <v>2.7</v>
      </c>
      <c r="C6" s="10" t="s">
        <v>16</v>
      </c>
      <c r="D6" s="23" t="s">
        <v>17</v>
      </c>
      <c r="E6" s="23" t="s">
        <v>18</v>
      </c>
      <c r="F6" s="24" t="s">
        <v>19</v>
      </c>
      <c r="G6" s="10" t="s">
        <v>20</v>
      </c>
      <c r="H6" s="10" t="s">
        <v>21</v>
      </c>
      <c r="I6" s="10" t="s">
        <v>108</v>
      </c>
      <c r="J6" s="10" t="s">
        <v>109</v>
      </c>
      <c r="K6" s="10" t="s">
        <v>24</v>
      </c>
      <c r="L6" s="10" t="s">
        <v>25</v>
      </c>
      <c r="M6" s="10" t="s">
        <v>26</v>
      </c>
      <c r="N6" s="10" t="s">
        <v>27</v>
      </c>
      <c r="O6" s="10" t="s">
        <v>28</v>
      </c>
      <c r="P6" s="59"/>
      <c r="Q6" s="83"/>
      <c r="R6" s="83"/>
      <c r="S6" s="83"/>
      <c r="T6" s="83"/>
      <c r="U6" s="83"/>
      <c r="V6" s="84"/>
      <c r="W6" s="84"/>
      <c r="X6" s="84"/>
      <c r="Y6" s="84"/>
    </row>
    <row r="7" s="13" customFormat="1" ht="24.6" customHeight="1" spans="1:25">
      <c r="A7" s="20"/>
      <c r="B7" s="20"/>
      <c r="C7" s="10">
        <v>0</v>
      </c>
      <c r="D7" s="10">
        <v>1.2</v>
      </c>
      <c r="E7" s="10">
        <v>1.6</v>
      </c>
      <c r="F7" s="24">
        <v>2.7</v>
      </c>
      <c r="G7" s="10">
        <v>-4.5</v>
      </c>
      <c r="H7" s="10">
        <v>-3</v>
      </c>
      <c r="I7" s="10">
        <v>4.1</v>
      </c>
      <c r="J7" s="10">
        <v>3</v>
      </c>
      <c r="K7" s="10"/>
      <c r="L7" s="10"/>
      <c r="M7" s="10"/>
      <c r="N7" s="10"/>
      <c r="O7" s="10"/>
      <c r="P7" s="59"/>
      <c r="Q7" s="83"/>
      <c r="R7" s="83"/>
      <c r="S7" s="83"/>
      <c r="T7" s="83"/>
      <c r="U7" s="83"/>
      <c r="V7" s="84"/>
      <c r="W7" s="84"/>
      <c r="X7" s="84"/>
      <c r="Y7" s="84"/>
    </row>
    <row r="8" ht="1.95" customHeight="1" spans="16:21">
      <c r="P8" s="12"/>
      <c r="Q8" s="82"/>
      <c r="R8" s="82"/>
      <c r="S8" s="82"/>
      <c r="T8" s="82"/>
      <c r="U8" s="82"/>
    </row>
    <row r="9" s="13" customFormat="1" ht="22.2" customHeight="1" spans="1:25">
      <c r="A9" s="20" t="s">
        <v>29</v>
      </c>
      <c r="B9" s="20">
        <v>3.5</v>
      </c>
      <c r="C9" s="127" t="s">
        <v>30</v>
      </c>
      <c r="D9" s="121" t="s">
        <v>34</v>
      </c>
      <c r="E9" s="121" t="s">
        <v>35</v>
      </c>
      <c r="F9" s="121" t="s">
        <v>110</v>
      </c>
      <c r="G9" s="121" t="s">
        <v>36</v>
      </c>
      <c r="H9" s="121" t="s">
        <v>32</v>
      </c>
      <c r="I9" s="121" t="s">
        <v>111</v>
      </c>
      <c r="J9" s="121" t="s">
        <v>112</v>
      </c>
      <c r="K9" s="121" t="s">
        <v>113</v>
      </c>
      <c r="L9" s="121" t="s">
        <v>33</v>
      </c>
      <c r="M9" s="121" t="s">
        <v>37</v>
      </c>
      <c r="N9" s="121" t="s">
        <v>31</v>
      </c>
      <c r="O9" s="10" t="s">
        <v>42</v>
      </c>
      <c r="P9" s="60"/>
      <c r="Q9" s="60"/>
      <c r="R9" s="65"/>
      <c r="S9" s="60"/>
      <c r="T9" s="84"/>
      <c r="U9" s="84"/>
      <c r="V9" s="84"/>
      <c r="W9" s="84"/>
      <c r="X9" s="84"/>
      <c r="Y9" s="84"/>
    </row>
    <row r="10" s="13" customFormat="1" ht="22.2" customHeight="1" spans="1:25">
      <c r="A10" s="20"/>
      <c r="B10" s="20"/>
      <c r="C10" s="127">
        <v>3.5</v>
      </c>
      <c r="D10" s="128">
        <v>2.49</v>
      </c>
      <c r="E10" s="128">
        <v>2.09</v>
      </c>
      <c r="F10" s="121">
        <v>-1.1</v>
      </c>
      <c r="G10" s="121">
        <v>2.5</v>
      </c>
      <c r="H10" s="121">
        <v>4</v>
      </c>
      <c r="I10" s="121">
        <v>-1</v>
      </c>
      <c r="J10" s="121">
        <v>2.5</v>
      </c>
      <c r="K10" s="121">
        <v>-0.5</v>
      </c>
      <c r="L10" s="121">
        <v>5.5</v>
      </c>
      <c r="M10" s="121">
        <v>-4</v>
      </c>
      <c r="N10" s="121">
        <v>-1.5</v>
      </c>
      <c r="O10" s="10"/>
      <c r="P10" s="60"/>
      <c r="Q10" s="60"/>
      <c r="R10" s="60"/>
      <c r="S10" s="60"/>
      <c r="T10" s="84"/>
      <c r="U10" s="84"/>
      <c r="V10" s="84"/>
      <c r="W10" s="84"/>
      <c r="X10" s="84"/>
      <c r="Y10" s="84"/>
    </row>
    <row r="11" ht="1.95" customHeight="1" spans="16:21">
      <c r="P11" s="12"/>
      <c r="Q11" s="82"/>
      <c r="R11" s="82"/>
      <c r="S11" s="82"/>
      <c r="T11" s="82"/>
      <c r="U11" s="82"/>
    </row>
    <row r="12" s="13" customFormat="1" ht="25.2" customHeight="1" spans="1:25">
      <c r="A12" s="20" t="s">
        <v>43</v>
      </c>
      <c r="B12" s="20">
        <v>0</v>
      </c>
      <c r="C12" s="24" t="s">
        <v>114</v>
      </c>
      <c r="D12" s="10" t="s">
        <v>115</v>
      </c>
      <c r="E12" s="10" t="s">
        <v>46</v>
      </c>
      <c r="F12" s="10" t="s">
        <v>5</v>
      </c>
      <c r="G12" s="10" t="s">
        <v>6</v>
      </c>
      <c r="H12" s="10" t="s">
        <v>7</v>
      </c>
      <c r="I12" s="10" t="s">
        <v>8</v>
      </c>
      <c r="J12" s="10" t="s">
        <v>9</v>
      </c>
      <c r="K12" s="10" t="s">
        <v>10</v>
      </c>
      <c r="L12" s="10" t="s">
        <v>11</v>
      </c>
      <c r="M12" s="10" t="s">
        <v>12</v>
      </c>
      <c r="N12" s="10" t="s">
        <v>13</v>
      </c>
      <c r="O12" s="10" t="s">
        <v>14</v>
      </c>
      <c r="P12" s="62"/>
      <c r="Q12" s="83"/>
      <c r="R12" s="83"/>
      <c r="S12" s="83"/>
      <c r="T12" s="83"/>
      <c r="U12" s="83"/>
      <c r="V12" s="84"/>
      <c r="W12" s="84"/>
      <c r="X12" s="84"/>
      <c r="Y12" s="84"/>
    </row>
    <row r="13" s="13" customFormat="1" ht="21.9" customHeight="1" spans="1:25">
      <c r="A13" s="20"/>
      <c r="B13" s="20"/>
      <c r="C13" s="24">
        <v>0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59"/>
      <c r="Q13" s="83"/>
      <c r="R13" s="83"/>
      <c r="S13" s="83"/>
      <c r="T13" s="83"/>
      <c r="U13" s="83"/>
      <c r="V13" s="84"/>
      <c r="W13" s="84"/>
      <c r="X13" s="84"/>
      <c r="Y13" s="84"/>
    </row>
    <row r="14" s="13" customFormat="1" ht="21.9" customHeight="1" spans="1:25">
      <c r="A14" s="20" t="s">
        <v>47</v>
      </c>
      <c r="B14" s="20">
        <v>38184</v>
      </c>
      <c r="C14" s="24">
        <v>38184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59"/>
      <c r="Q14" s="83"/>
      <c r="R14" s="83"/>
      <c r="S14" s="83"/>
      <c r="T14" s="83"/>
      <c r="U14" s="83"/>
      <c r="V14" s="84"/>
      <c r="W14" s="84"/>
      <c r="X14" s="84"/>
      <c r="Y14" s="84"/>
    </row>
    <row r="15" s="13" customFormat="1" ht="21.9" customHeight="1" spans="1:25">
      <c r="A15" s="20" t="s">
        <v>48</v>
      </c>
      <c r="B15" s="20">
        <v>1.8</v>
      </c>
      <c r="C15" s="24">
        <v>1.8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9"/>
      <c r="Q15" s="83"/>
      <c r="R15" s="83"/>
      <c r="S15" s="83"/>
      <c r="T15" s="83"/>
      <c r="U15" s="83"/>
      <c r="V15" s="84"/>
      <c r="W15" s="84"/>
      <c r="X15" s="84"/>
      <c r="Y15" s="84"/>
    </row>
    <row r="16" ht="1.95" customHeight="1" spans="16:21">
      <c r="P16" s="12"/>
      <c r="Q16" s="82"/>
      <c r="R16" s="82"/>
      <c r="S16" s="82"/>
      <c r="T16" s="82"/>
      <c r="U16" s="82"/>
    </row>
    <row r="17" s="13" customFormat="1" ht="31.2" customHeight="1" spans="1:25">
      <c r="A17" s="20" t="s">
        <v>49</v>
      </c>
      <c r="B17" s="27">
        <v>0</v>
      </c>
      <c r="C17" s="28" t="s">
        <v>50</v>
      </c>
      <c r="D17" s="29" t="s">
        <v>51</v>
      </c>
      <c r="E17" s="29" t="s">
        <v>52</v>
      </c>
      <c r="F17" s="29" t="s">
        <v>53</v>
      </c>
      <c r="G17" s="29" t="s">
        <v>54</v>
      </c>
      <c r="H17" s="29" t="s">
        <v>55</v>
      </c>
      <c r="I17" s="29" t="s">
        <v>56</v>
      </c>
      <c r="J17" s="29" t="s">
        <v>57</v>
      </c>
      <c r="K17" s="10" t="s">
        <v>10</v>
      </c>
      <c r="L17" s="10" t="s">
        <v>11</v>
      </c>
      <c r="M17" s="10" t="s">
        <v>12</v>
      </c>
      <c r="N17" s="10" t="s">
        <v>13</v>
      </c>
      <c r="O17" s="10" t="s">
        <v>14</v>
      </c>
      <c r="P17" s="84"/>
      <c r="Q17" s="84"/>
      <c r="R17" s="84"/>
      <c r="S17" s="84"/>
      <c r="T17" s="84"/>
      <c r="U17" s="84"/>
      <c r="V17" s="84"/>
      <c r="W17" s="84"/>
      <c r="X17" s="84"/>
      <c r="Y17" s="84"/>
    </row>
    <row r="18" s="13" customFormat="1" ht="21.9" customHeight="1" spans="1:25">
      <c r="A18" s="20"/>
      <c r="B18" s="30"/>
      <c r="C18" s="24">
        <v>0</v>
      </c>
      <c r="D18" s="10">
        <v>-0.2</v>
      </c>
      <c r="E18" s="10">
        <v>-2.2</v>
      </c>
      <c r="F18" s="10">
        <v>-2.8</v>
      </c>
      <c r="G18" s="10">
        <v>0.2</v>
      </c>
      <c r="H18" s="10">
        <v>0.15</v>
      </c>
      <c r="I18" s="10">
        <v>-1.4</v>
      </c>
      <c r="J18" s="10">
        <v>-1.8</v>
      </c>
      <c r="K18" s="10"/>
      <c r="L18" s="10"/>
      <c r="M18" s="10"/>
      <c r="N18" s="10"/>
      <c r="O18" s="10"/>
      <c r="P18" s="87"/>
      <c r="Q18" s="84"/>
      <c r="R18" s="84"/>
      <c r="S18" s="84"/>
      <c r="T18" s="84"/>
      <c r="U18" s="84"/>
      <c r="V18" s="84"/>
      <c r="W18" s="84"/>
      <c r="X18" s="84"/>
      <c r="Y18" s="84"/>
    </row>
    <row r="19" ht="2.1" customHeight="1" spans="16:21">
      <c r="P19" s="122"/>
      <c r="Q19" s="122"/>
      <c r="R19" s="122"/>
      <c r="S19" s="122"/>
      <c r="T19" s="122"/>
      <c r="U19" s="122"/>
    </row>
    <row r="20" s="13" customFormat="1" ht="30" customHeight="1" spans="1:25">
      <c r="A20" s="20" t="s">
        <v>58</v>
      </c>
      <c r="B20" s="20">
        <v>1.5</v>
      </c>
      <c r="C20" s="23" t="s">
        <v>59</v>
      </c>
      <c r="D20" s="23" t="s">
        <v>60</v>
      </c>
      <c r="E20" s="23" t="s">
        <v>61</v>
      </c>
      <c r="F20" s="23" t="s">
        <v>62</v>
      </c>
      <c r="G20" s="32" t="s">
        <v>63</v>
      </c>
      <c r="H20" s="23" t="s">
        <v>64</v>
      </c>
      <c r="I20" s="23" t="s">
        <v>65</v>
      </c>
      <c r="J20" s="23" t="s">
        <v>66</v>
      </c>
      <c r="K20" s="23" t="s">
        <v>67</v>
      </c>
      <c r="L20" s="23" t="s">
        <v>68</v>
      </c>
      <c r="M20" s="23" t="s">
        <v>69</v>
      </c>
      <c r="N20" s="23" t="s">
        <v>70</v>
      </c>
      <c r="O20" s="23" t="s">
        <v>71</v>
      </c>
      <c r="P20" s="84"/>
      <c r="Q20" s="84"/>
      <c r="R20" s="84"/>
      <c r="S20" s="84"/>
      <c r="T20" s="84"/>
      <c r="U20" s="84"/>
      <c r="V20" s="84"/>
      <c r="W20" s="84"/>
      <c r="X20" s="84"/>
      <c r="Y20" s="84"/>
    </row>
    <row r="21" s="13" customFormat="1" ht="21.6" customHeight="1" spans="1:25">
      <c r="A21" s="20"/>
      <c r="B21" s="20"/>
      <c r="C21" s="10">
        <v>0</v>
      </c>
      <c r="D21" s="10">
        <v>0.4</v>
      </c>
      <c r="E21" s="10">
        <v>0.9</v>
      </c>
      <c r="F21" s="10">
        <v>1.2</v>
      </c>
      <c r="G21" s="24">
        <v>1.5</v>
      </c>
      <c r="H21" s="10">
        <v>0.2</v>
      </c>
      <c r="I21" s="10">
        <v>0.5</v>
      </c>
      <c r="J21" s="10">
        <v>1.7</v>
      </c>
      <c r="K21" s="10"/>
      <c r="L21" s="10"/>
      <c r="M21" s="10"/>
      <c r="N21" s="10"/>
      <c r="O21" s="10"/>
      <c r="P21" s="84"/>
      <c r="Q21" s="84"/>
      <c r="R21" s="84"/>
      <c r="S21" s="84"/>
      <c r="T21" s="84"/>
      <c r="U21" s="84"/>
      <c r="V21" s="84"/>
      <c r="W21" s="84"/>
      <c r="X21" s="84"/>
      <c r="Y21" s="84"/>
    </row>
    <row r="22" ht="2.1" customHeight="1" spans="16:21">
      <c r="P22" s="123"/>
      <c r="Q22" s="125"/>
      <c r="R22" s="125"/>
      <c r="S22" s="125"/>
      <c r="T22" s="125"/>
      <c r="U22" s="125"/>
    </row>
    <row r="23" s="13" customFormat="1" ht="21.6" hidden="1" customHeight="1" spans="1:25">
      <c r="A23" s="20" t="s">
        <v>72</v>
      </c>
      <c r="B23" s="20">
        <v>0</v>
      </c>
      <c r="C23" s="22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124"/>
      <c r="Q23" s="86"/>
      <c r="R23" s="86"/>
      <c r="S23" s="86"/>
      <c r="T23" s="86"/>
      <c r="U23" s="86"/>
      <c r="V23" s="84"/>
      <c r="W23" s="84"/>
      <c r="X23" s="84"/>
      <c r="Y23" s="84"/>
    </row>
    <row r="24" s="13" customFormat="1" ht="21.6" hidden="1" customHeight="1" spans="1:25">
      <c r="A24" s="20"/>
      <c r="B24" s="20"/>
      <c r="C24" s="21"/>
      <c r="D24" s="10"/>
      <c r="E24" s="10"/>
      <c r="F24" s="10"/>
      <c r="G24" s="31"/>
      <c r="H24" s="31"/>
      <c r="I24" s="10"/>
      <c r="J24" s="10"/>
      <c r="K24" s="10"/>
      <c r="L24" s="10"/>
      <c r="M24" s="10"/>
      <c r="N24" s="10"/>
      <c r="O24" s="10"/>
      <c r="P24" s="63"/>
      <c r="Q24" s="86"/>
      <c r="R24" s="86"/>
      <c r="S24" s="86"/>
      <c r="T24" s="86"/>
      <c r="U24" s="86"/>
      <c r="V24" s="84"/>
      <c r="W24" s="84"/>
      <c r="X24" s="84"/>
      <c r="Y24" s="84"/>
    </row>
    <row r="25" ht="2.1" customHeight="1" spans="16:21">
      <c r="P25" s="123"/>
      <c r="Q25" s="125"/>
      <c r="R25" s="125"/>
      <c r="S25" s="125"/>
      <c r="T25" s="125"/>
      <c r="U25" s="125"/>
    </row>
    <row r="26" s="13" customFormat="1" ht="21.6" customHeight="1" spans="1:25">
      <c r="A26" s="20" t="s">
        <v>73</v>
      </c>
      <c r="B26" s="20">
        <v>-1.2</v>
      </c>
      <c r="C26" s="10" t="s">
        <v>74</v>
      </c>
      <c r="D26" s="23" t="s">
        <v>75</v>
      </c>
      <c r="E26" s="24" t="s">
        <v>76</v>
      </c>
      <c r="F26" s="23" t="s">
        <v>77</v>
      </c>
      <c r="G26" s="23" t="s">
        <v>78</v>
      </c>
      <c r="H26" s="23" t="s">
        <v>79</v>
      </c>
      <c r="I26" s="23" t="s">
        <v>80</v>
      </c>
      <c r="J26" s="23" t="s">
        <v>81</v>
      </c>
      <c r="K26" s="23" t="s">
        <v>82</v>
      </c>
      <c r="L26" s="23" t="s">
        <v>83</v>
      </c>
      <c r="M26" s="23" t="s">
        <v>84</v>
      </c>
      <c r="N26" s="23" t="s">
        <v>85</v>
      </c>
      <c r="O26" s="23" t="s">
        <v>86</v>
      </c>
      <c r="P26" s="124"/>
      <c r="Q26" s="86"/>
      <c r="R26" s="86"/>
      <c r="S26" s="86"/>
      <c r="T26" s="86"/>
      <c r="U26" s="86"/>
      <c r="V26" s="84"/>
      <c r="W26" s="84"/>
      <c r="X26" s="84"/>
      <c r="Y26" s="84"/>
    </row>
    <row r="27" s="13" customFormat="1" ht="21.6" customHeight="1" spans="1:25">
      <c r="A27" s="20"/>
      <c r="B27" s="20"/>
      <c r="C27" s="34">
        <v>2</v>
      </c>
      <c r="D27" s="34">
        <v>-1.2</v>
      </c>
      <c r="E27" s="33">
        <v>-1.2</v>
      </c>
      <c r="F27" s="35"/>
      <c r="G27" s="35"/>
      <c r="H27" s="35"/>
      <c r="I27" s="34"/>
      <c r="J27" s="34"/>
      <c r="K27" s="34"/>
      <c r="L27" s="34"/>
      <c r="M27" s="34"/>
      <c r="N27" s="34"/>
      <c r="O27" s="10"/>
      <c r="P27" s="64"/>
      <c r="Q27" s="88"/>
      <c r="R27" s="88"/>
      <c r="S27" s="88"/>
      <c r="T27" s="88"/>
      <c r="U27" s="88"/>
      <c r="V27" s="84"/>
      <c r="W27" s="84"/>
      <c r="X27" s="84"/>
      <c r="Y27" s="84"/>
    </row>
    <row r="28" s="14" customFormat="1" ht="22.2" customHeight="1" spans="1:21">
      <c r="A28" s="36" t="s">
        <v>87</v>
      </c>
      <c r="B28" s="36" t="s">
        <v>88</v>
      </c>
      <c r="C28" s="36" t="s">
        <v>89</v>
      </c>
      <c r="D28" s="36" t="s">
        <v>90</v>
      </c>
      <c r="E28" s="36">
        <v>33081</v>
      </c>
      <c r="F28" s="36" t="s">
        <v>91</v>
      </c>
      <c r="G28" s="36" t="s">
        <v>92</v>
      </c>
      <c r="H28" s="36" t="s">
        <v>93</v>
      </c>
      <c r="I28" s="36" t="s">
        <v>94</v>
      </c>
      <c r="J28" s="66" t="s">
        <v>95</v>
      </c>
      <c r="K28" s="67">
        <v>605</v>
      </c>
      <c r="L28" s="67">
        <v>610</v>
      </c>
      <c r="M28" s="67">
        <v>615</v>
      </c>
      <c r="N28" s="67">
        <v>620</v>
      </c>
      <c r="O28" s="67">
        <v>625</v>
      </c>
      <c r="P28" s="67">
        <v>630</v>
      </c>
      <c r="Q28" s="67">
        <v>635</v>
      </c>
      <c r="R28" s="67">
        <v>640</v>
      </c>
      <c r="S28" s="67">
        <v>645</v>
      </c>
      <c r="T28" s="67">
        <v>650</v>
      </c>
      <c r="U28" s="89" t="s">
        <v>96</v>
      </c>
    </row>
    <row r="29" s="13" customFormat="1" ht="18" customHeight="1" spans="1:21">
      <c r="A29" s="37" t="s">
        <v>116</v>
      </c>
      <c r="B29" s="37" t="s">
        <v>98</v>
      </c>
      <c r="C29" s="119">
        <v>0.247</v>
      </c>
      <c r="D29" s="39"/>
      <c r="E29" s="40">
        <v>38184</v>
      </c>
      <c r="F29" s="41">
        <f t="shared" ref="F29:F48" si="0">C29*E29/1000</f>
        <v>9.431448</v>
      </c>
      <c r="G29" s="41">
        <f t="shared" ref="G29:G37" si="1">F29*66</f>
        <v>622.475568</v>
      </c>
      <c r="H29" s="42">
        <f>I29/G29</f>
        <v>0.98260418122339</v>
      </c>
      <c r="I29" s="68">
        <f>G29*(H30+0.15%)</f>
        <v>611.647095826204</v>
      </c>
      <c r="J29" s="68"/>
      <c r="K29" s="69">
        <f>(NORMSDIST((I29-$K$28)/B15)-NORMSDIST((I29-$L$28)/B15))</f>
        <v>0.179970955705688</v>
      </c>
      <c r="L29" s="69">
        <f>(NORMSDIST((I29-$L$28)/B15)-NORMSDIST((I29-$M$28)/B15))</f>
        <v>0.788667642947567</v>
      </c>
      <c r="M29" s="70">
        <f>(NORMSDIST((I29-$M$28)/B15)-NORMSDIST((I29-$N$28)/B15))</f>
        <v>0.0312487778325236</v>
      </c>
      <c r="N29" s="70">
        <f>(NORMSDIST((I29-$N$28)/B15)-NORMSDIST((I29-$O$28)/B15))</f>
        <v>1.73781631961382e-6</v>
      </c>
      <c r="O29" s="70">
        <f>(NORMSDIST((I29-$O$28)/B15)-NORMSDIST((I29-$P$28)/B15))</f>
        <v>5.93254863767697e-14</v>
      </c>
      <c r="P29" s="70">
        <f>(NORMSDIST((I29-$P$28)/B15)-NORMSDIST((I29-$Q$28)/B15))</f>
        <v>1.0324208274396e-24</v>
      </c>
      <c r="Q29" s="70">
        <f>(NORMSDIST((I29-$Q$28)/B15)-NORMSDIST((I29-$R$28)/B15))</f>
        <v>8.60965588271764e-39</v>
      </c>
      <c r="R29" s="70">
        <f>(NORMSDIST((I29-$R$28)/B15)-NORMSDIST((I29-$S$28)/B15))</f>
        <v>3.34755577937955e-56</v>
      </c>
      <c r="S29" s="70">
        <f>(NORMSDIST((I29-$S$28)/B15)-NORMSDIST((I29-$T$28)/B15))</f>
        <v>5.98163839186467e-77</v>
      </c>
      <c r="T29" s="70"/>
      <c r="U29" s="90">
        <f t="shared" ref="U29:U48" si="2">SUM(K29:T29)</f>
        <v>0.999889114302157</v>
      </c>
    </row>
    <row r="30" s="13" customFormat="1" ht="18" customHeight="1" spans="1:21">
      <c r="A30" s="43"/>
      <c r="B30" s="43"/>
      <c r="C30" s="38">
        <f t="shared" ref="C30:C48" si="3">C29+0.1%</f>
        <v>0.248</v>
      </c>
      <c r="D30" s="44"/>
      <c r="E30" s="40">
        <v>38184</v>
      </c>
      <c r="F30" s="41">
        <f t="shared" si="0"/>
        <v>9.469632</v>
      </c>
      <c r="G30" s="41">
        <f t="shared" si="1"/>
        <v>624.995712</v>
      </c>
      <c r="H30" s="42">
        <f t="shared" ref="H30:H48" si="4">I30/G30</f>
        <v>0.98110418122339</v>
      </c>
      <c r="I30" s="68">
        <f t="shared" ref="I30:I35" si="5">G30*(H31+0.15%)</f>
        <v>613.185906289889</v>
      </c>
      <c r="J30" s="68"/>
      <c r="K30" s="69">
        <f>(NORMSDIST((I30-$K$28)/B15)-NORMSDIST((I30-$L$28)/B15))</f>
        <v>0.03836519546628</v>
      </c>
      <c r="L30" s="69">
        <f>(NORMSDIST((I30-$L$28)/B15)-NORMSDIST((I30-$M$28)/B15))</f>
        <v>0.804864013869938</v>
      </c>
      <c r="M30" s="70">
        <f>(NORMSDIST((I30-$M$28)/B15)-NORMSDIST((I30-$N$28)/B15))</f>
        <v>0.156691412497218</v>
      </c>
      <c r="N30" s="70">
        <f>(NORMSDIST((I30-$N$28)/B15)-NORMSDIST((I30-$O$28)/B15))</f>
        <v>7.66667029454159e-5</v>
      </c>
      <c r="O30" s="70">
        <f>(NORMSDIST((I30-$O$28)/B15)-NORMSDIST((I30-$P$28)/B15))</f>
        <v>2.62998327341527e-11</v>
      </c>
      <c r="P30" s="70">
        <f>(NORMSDIST((I30-$P$28)/B15)-NORMSDIST((I30-$Q$28)/B15))</f>
        <v>4.76407665544892e-21</v>
      </c>
      <c r="Q30" s="70">
        <f>(NORMSDIST((I30-$Q$28)/B15)-NORMSDIST((I30-$R$28)/B15))</f>
        <v>4.19177193286082e-34</v>
      </c>
      <c r="R30" s="70">
        <f>(NORMSDIST((I30-$R$28)/B15)-NORMSDIST((L30-$S$28)/B15))</f>
        <v>1.73083526820873e-50</v>
      </c>
      <c r="S30" s="70">
        <f>(NORMSDIST((I30-$S$28)/B15)-NORMSDIST((I30-$T$28)/B15))</f>
        <v>3.2963175829731e-70</v>
      </c>
      <c r="T30" s="70"/>
      <c r="U30" s="90">
        <f t="shared" si="2"/>
        <v>0.999997288562681</v>
      </c>
    </row>
    <row r="31" s="13" customFormat="1" ht="18" customHeight="1" spans="1:21">
      <c r="A31" s="43"/>
      <c r="B31" s="43"/>
      <c r="C31" s="38">
        <f t="shared" si="3"/>
        <v>0.249</v>
      </c>
      <c r="D31" s="45"/>
      <c r="E31" s="40">
        <v>38184</v>
      </c>
      <c r="F31" s="41">
        <f t="shared" si="0"/>
        <v>9.507816</v>
      </c>
      <c r="G31" s="41">
        <f t="shared" si="1"/>
        <v>627.515856</v>
      </c>
      <c r="H31" s="42">
        <f t="shared" si="4"/>
        <v>0.97960418122339</v>
      </c>
      <c r="I31" s="68">
        <f t="shared" si="5"/>
        <v>614.717156321575</v>
      </c>
      <c r="J31" s="71"/>
      <c r="K31" s="69">
        <f>(NORMSDIST((I31-$K$28)/B15)-NORMSDIST((I31-$L$28)/B15))</f>
        <v>0.00438817978616224</v>
      </c>
      <c r="L31" s="69">
        <f>(NORMSDIST((I31-$L$28)/B15)-NORMSDIST((I31-$M$28)/B15))</f>
        <v>0.558042708019787</v>
      </c>
      <c r="M31" s="70">
        <f>(NORMSDIST((I31-$M$28)/B15)-NORMSDIST((I31-$N$28)/B15))</f>
        <v>0.435900873311383</v>
      </c>
      <c r="N31" s="72">
        <f>(NORMSDIST((I31-$N$28)/B15)-NORMSDIST((I31-$O$28)/B15))</f>
        <v>0.00166819970735796</v>
      </c>
      <c r="O31" s="72">
        <f>(NORMSDIST((I31-$O$28)/B15)-NORMSDIST((I31-$P$28)/B15))</f>
        <v>5.56017683079068e-9</v>
      </c>
      <c r="P31" s="70">
        <f>(NORMSDIST((I31-$P$28)/B15)-NORMSDIST((I31-$Q$28)/B15))</f>
        <v>1.02902681551669e-17</v>
      </c>
      <c r="Q31" s="70">
        <f>(NORMSDIST((I31-$Q$28)/B15)-NORMSDIST((I31-$R$28)/B15))</f>
        <v>9.41411129470252e-30</v>
      </c>
      <c r="R31" s="70">
        <f>(NORMSDIST((I31-$R$28)/B15)-NORMSDIST((I31-$S$28)/B15))</f>
        <v>4.07408607866064e-45</v>
      </c>
      <c r="S31" s="70">
        <f>(NORMSDIST((I31-$S$28)/B15)-NORMSDIST((I31-$T$28)/B15))</f>
        <v>8.16660073813442e-64</v>
      </c>
      <c r="T31" s="70"/>
      <c r="U31" s="90">
        <f t="shared" si="2"/>
        <v>0.999999966384867</v>
      </c>
    </row>
    <row r="32" s="15" customFormat="1" ht="18" customHeight="1" spans="1:21">
      <c r="A32" s="43"/>
      <c r="B32" s="43"/>
      <c r="C32" s="38">
        <f t="shared" si="3"/>
        <v>0.25</v>
      </c>
      <c r="D32" s="45"/>
      <c r="E32" s="40">
        <v>38184</v>
      </c>
      <c r="F32" s="46">
        <f t="shared" si="0"/>
        <v>9.546</v>
      </c>
      <c r="G32" s="41">
        <f t="shared" si="1"/>
        <v>630.036</v>
      </c>
      <c r="H32" s="47">
        <f t="shared" si="4"/>
        <v>0.97810418122339</v>
      </c>
      <c r="I32" s="68">
        <f t="shared" si="5"/>
        <v>616.24084592126</v>
      </c>
      <c r="J32" s="73"/>
      <c r="K32" s="74">
        <f>(NORMSDIST((I32-$K$28)/B15)-NORMSDIST((I32-$L$28)/B15))</f>
        <v>0.000263017011340461</v>
      </c>
      <c r="L32" s="74">
        <f>(NORMSDIST((I32-$L$28)/B15)-NORMSDIST((I32-$M$28)/B15))</f>
        <v>0.245035720420869</v>
      </c>
      <c r="M32" s="74">
        <f>(NORMSDIST((I32-$M$28)/B15)-NORMSDIST((I32-$N$28)/B15))</f>
        <v>0.73632123179439</v>
      </c>
      <c r="N32" s="74">
        <f>(NORMSDIST((I32-$N$28)/B15)-NORMSDIST((I32-$O$28)/B15))</f>
        <v>0.018379461729943</v>
      </c>
      <c r="O32" s="74">
        <f>(NORMSDIST((I32-$O$28)/B15)-NORMSDIST((I32-$P$28)/B15))</f>
        <v>5.68831430887227e-7</v>
      </c>
      <c r="P32" s="74">
        <f>(NORMSDIST((I32-$P$28)/B15)-NORMSDIST((I32-$Q$28)/B15))</f>
        <v>1.05308577792131e-14</v>
      </c>
      <c r="Q32" s="74">
        <f>(NORMSDIST((I32-$Q$28)/B15)-NORMSDIST((I32-$R$28)/B15))</f>
        <v>9.86422352437933e-26</v>
      </c>
      <c r="R32" s="74">
        <f>(NORMSDIST((I32-$R$28)/B15)-NORMSDIST((L32-$S$28)/B15))</f>
        <v>4.41420509128731e-40</v>
      </c>
      <c r="S32" s="70">
        <f>(NORMSDIST((I32-$S$28)/B15)-NORMSDIST((I32-$T$28)/B15))</f>
        <v>9.19596759637129e-58</v>
      </c>
      <c r="T32" s="70"/>
      <c r="U32" s="90">
        <f t="shared" si="2"/>
        <v>0.999999999787984</v>
      </c>
    </row>
    <row r="33" s="13" customFormat="1" ht="18" customHeight="1" spans="1:21">
      <c r="A33" s="43"/>
      <c r="B33" s="43"/>
      <c r="C33" s="38">
        <f t="shared" si="3"/>
        <v>0.251</v>
      </c>
      <c r="D33" s="49"/>
      <c r="E33" s="40">
        <v>38184</v>
      </c>
      <c r="F33" s="41">
        <f t="shared" si="0"/>
        <v>9.584184</v>
      </c>
      <c r="G33" s="41">
        <f t="shared" si="1"/>
        <v>632.556144</v>
      </c>
      <c r="H33" s="42">
        <f t="shared" si="4"/>
        <v>0.97660418122339</v>
      </c>
      <c r="I33" s="68">
        <f t="shared" si="5"/>
        <v>617.756975088945</v>
      </c>
      <c r="J33" s="73"/>
      <c r="K33" s="69">
        <f>(NORMSDIST((I33-$K$28)/B15)-NORMSDIST((I33-$L$28)/B15))</f>
        <v>8.18376962852252e-6</v>
      </c>
      <c r="L33" s="69">
        <f>(NORMSDIST((I33-$L$28)/B15)-NORMSDIST((I33-$M$28)/B15))</f>
        <v>0.0627958807113118</v>
      </c>
      <c r="M33" s="70">
        <f>(NORMSDIST((I33-$M$28)/B15)-NORMSDIST((I33-$N$28)/B15))</f>
        <v>0.830836672464408</v>
      </c>
      <c r="N33" s="70">
        <f>(NORMSDIST((I33-$N$28)/B15)-NORMSDIST((I33-$O$28)/B15))</f>
        <v>0.106330642270345</v>
      </c>
      <c r="O33" s="70">
        <f>(NORMSDIST((I33-$O$28)/B15)-NORMSDIST((I33-$P$28)/B15))</f>
        <v>2.86207784524609e-5</v>
      </c>
      <c r="P33" s="70">
        <f>(NORMSDIST((I33-$P$28)/B15)-NORMSDIST((I33-$Q$28)/B15))</f>
        <v>5.17028635969595e-12</v>
      </c>
      <c r="Q33" s="70">
        <f>(NORMSDIST((I33-$Q$28)/B15)-NORMSDIST((I33-$R$28)/B15))</f>
        <v>4.87776309050844e-22</v>
      </c>
      <c r="R33" s="70">
        <f>(NORMSDIST((I33-$R$28)/B15)-NORMSDIST((I33-$S$28)/B15))</f>
        <v>2.22601177498417e-35</v>
      </c>
      <c r="S33" s="70">
        <f>(NORMSDIST((I33-$S$28)/B15)-NORMSDIST((I33-$T$28)/B15))</f>
        <v>4.75803434489064e-52</v>
      </c>
      <c r="T33" s="70"/>
      <c r="U33" s="90">
        <f t="shared" si="2"/>
        <v>0.999999999999316</v>
      </c>
    </row>
    <row r="34" s="13" customFormat="1" ht="18" customHeight="1" spans="1:21">
      <c r="A34" s="43"/>
      <c r="B34" s="43"/>
      <c r="C34" s="38">
        <f t="shared" si="3"/>
        <v>0.252</v>
      </c>
      <c r="D34" s="49"/>
      <c r="E34" s="40">
        <v>38184</v>
      </c>
      <c r="F34" s="41">
        <f t="shared" si="0"/>
        <v>9.622368</v>
      </c>
      <c r="G34" s="41">
        <f t="shared" si="1"/>
        <v>635.076288</v>
      </c>
      <c r="H34" s="42">
        <f t="shared" si="4"/>
        <v>0.97510418122339</v>
      </c>
      <c r="I34" s="68">
        <f t="shared" si="5"/>
        <v>619.26554382463</v>
      </c>
      <c r="J34" s="75"/>
      <c r="K34" s="69">
        <f>(NORMSDIST((I34-$K$28)/B15)-NORMSDIST((I34-$L$28)/B15))</f>
        <v>1.31973376116257e-7</v>
      </c>
      <c r="L34" s="69">
        <f>(NORMSDIST((I34-$L$28)/B15)-NORMSDIST((I34-$M$28)/B15))</f>
        <v>0.00890000891059506</v>
      </c>
      <c r="M34" s="70">
        <f>(NORMSDIST((I34-$M$28)/B15)-NORMSDIST((I34-$N$28)/B15))</f>
        <v>0.649474477679103</v>
      </c>
      <c r="N34" s="70">
        <f>(NORMSDIST((I34-$N$28)/B15)-NORMSDIST((I34-$O$28)/B15))</f>
        <v>0.340903632093381</v>
      </c>
      <c r="O34" s="70">
        <f>(NORMSDIST((I34-$O$28)/B15)-NORMSDIST((I34-$P$28)/B15))</f>
        <v>0.000721748109742314</v>
      </c>
      <c r="P34" s="70">
        <f>(NORMSDIST((I34-$P$28)/B15)-NORMSDIST((I34-$Q$28)/B15))</f>
        <v>1.2338016351876e-9</v>
      </c>
      <c r="Q34" s="70">
        <f>(NORMSDIST((I34-$Q$28)/B15)-NORMSDIST((I34-$R$28)/B15))</f>
        <v>1.151557776885e-18</v>
      </c>
      <c r="R34" s="70">
        <f>(NORMSDIST((I34-$R$28)/B15)-NORMSDIST((I34-$S$28)/B15))</f>
        <v>5.28287210741898e-31</v>
      </c>
      <c r="S34" s="70">
        <f>(NORMSDIST((I34-$S$28)/B15)-NORMSDIST((I34-$T$28)/B15))</f>
        <v>1.14354786451926e-46</v>
      </c>
      <c r="T34" s="70"/>
      <c r="U34" s="90">
        <f t="shared" si="2"/>
        <v>0.999999999999999</v>
      </c>
    </row>
    <row r="35" s="13" customFormat="1" ht="18" customHeight="1" spans="1:21">
      <c r="A35" s="43"/>
      <c r="B35" s="43"/>
      <c r="C35" s="38">
        <f t="shared" si="3"/>
        <v>0.253</v>
      </c>
      <c r="D35" s="49">
        <v>0.0292160166686159</v>
      </c>
      <c r="E35" s="40">
        <v>38184</v>
      </c>
      <c r="F35" s="41">
        <f t="shared" si="0"/>
        <v>9.660552</v>
      </c>
      <c r="G35" s="41">
        <f t="shared" si="1"/>
        <v>637.596432</v>
      </c>
      <c r="H35" s="42">
        <f t="shared" si="4"/>
        <v>0.97360418122339</v>
      </c>
      <c r="I35" s="68">
        <f t="shared" si="5"/>
        <v>620.766552128315</v>
      </c>
      <c r="J35" s="76"/>
      <c r="K35" s="69">
        <f>(NORMSDIST((I35-$K$28)/B15)-NORMSDIST((I35-$L$28)/B15))</f>
        <v>1.10601805491939e-9</v>
      </c>
      <c r="L35" s="69">
        <f>(NORMSDIST((I35-$L$28)/B15)-NORMSDIST((I35-$M$28)/B15))</f>
        <v>0.000678508947338119</v>
      </c>
      <c r="M35" s="70">
        <f>(NORMSDIST((I35-$M$28)/B15)-NORMSDIST((I35-$N$28)/B15))</f>
        <v>0.334425585967004</v>
      </c>
      <c r="N35" s="70">
        <f>(NORMSDIST((I35-$N$28)/B15)-NORMSDIST((I35-$O$28)/B15))</f>
        <v>0.655557394961854</v>
      </c>
      <c r="O35" s="70">
        <f>(NORMSDIST((I35-$O$28)/B15)-NORMSDIST((I35-$P$28)/B15))</f>
        <v>0.00933836391044375</v>
      </c>
      <c r="P35" s="70">
        <f>(NORMSDIST((I35-$P$28)/B15)-NORMSDIST((I35-$Q$28)/B15))</f>
        <v>1.45107340856666e-7</v>
      </c>
      <c r="Q35" s="70">
        <f>(NORMSDIST((I35-$Q$28)/B15)-NORMSDIST((I35-$R$28)/B15))</f>
        <v>1.31335106712767e-15</v>
      </c>
      <c r="R35" s="70">
        <f>(NORMSDIST((I35-$R$28)/B15)-NORMSDIST((I35-$S$28)/B15))</f>
        <v>5.96643209193175e-27</v>
      </c>
      <c r="S35" s="70">
        <f>(NORMSDIST((I35-$S$28)/B15)-NORMSDIST((I35-$T$28)/B15))</f>
        <v>1.29061329076575e-41</v>
      </c>
      <c r="T35" s="70"/>
      <c r="U35" s="90">
        <f t="shared" si="2"/>
        <v>1</v>
      </c>
    </row>
    <row r="36" s="15" customFormat="1" ht="18" customHeight="1" spans="1:21">
      <c r="A36" s="43"/>
      <c r="B36" s="43"/>
      <c r="C36" s="50">
        <f t="shared" si="3"/>
        <v>0.254</v>
      </c>
      <c r="D36" s="49">
        <v>0.11510335337567</v>
      </c>
      <c r="E36" s="51">
        <v>38184</v>
      </c>
      <c r="F36" s="52">
        <f t="shared" si="0"/>
        <v>9.698736</v>
      </c>
      <c r="G36" s="52">
        <f t="shared" si="1"/>
        <v>640.116576</v>
      </c>
      <c r="H36" s="53">
        <f t="shared" si="4"/>
        <v>0.97210418122339</v>
      </c>
      <c r="I36" s="77">
        <v>622.26</v>
      </c>
      <c r="J36" s="77" t="s">
        <v>99</v>
      </c>
      <c r="K36" s="78">
        <f>(NORMSDIST((I36-$K$28)/B15)-NORMSDIST((I36-$L$28)/B15))</f>
        <v>4.84234874420508e-12</v>
      </c>
      <c r="L36" s="78">
        <f>(NORMSDIST((I36-$L$28)/B15)-NORMSDIST((I36-$M$28)/B15))</f>
        <v>2.74955888925899e-5</v>
      </c>
      <c r="M36" s="79">
        <f>(NORMSDIST((I36-$M$28)/B15)-NORMSDIST((I36-$N$28)/B15))</f>
        <v>0.10461108130638</v>
      </c>
      <c r="N36" s="79">
        <f>(NORMSDIST((I36-$N$28)/B15)-NORMSDIST((I36-$O$28)/B15))</f>
        <v>0.831384718700444</v>
      </c>
      <c r="O36" s="79">
        <f>(NORMSDIST((I36-$O$28)/B15)-NORMSDIST((I36-$P$28)/B15))</f>
        <v>0.0639681644939709</v>
      </c>
      <c r="P36" s="79">
        <f>(NORMSDIST((I36-$P$28)/B15)-NORMSDIST((I36-$Q$28)/B15))</f>
        <v>8.53990473856976e-6</v>
      </c>
      <c r="Q36" s="79">
        <f>(NORMSDIST((I36-$Q$28)/B15)-NORMSDIST((I36-$R$28)/B15))</f>
        <v>7.32421845575202e-13</v>
      </c>
      <c r="R36" s="79">
        <f>(NORMSDIST((I36-$R$28)/B15)-NORMSDIST((I36-$S$28)/B15))</f>
        <v>3.24285073110596e-23</v>
      </c>
      <c r="S36" s="79">
        <f>(NORMSDIST((I36-$S$28)/B15)-NORMSDIST((I36-$T$28)/B15))</f>
        <v>6.91466935256408e-37</v>
      </c>
      <c r="T36" s="79"/>
      <c r="U36" s="91">
        <f t="shared" si="2"/>
        <v>1</v>
      </c>
    </row>
    <row r="37" s="84" customFormat="1" ht="18" customHeight="1" spans="1:21">
      <c r="A37" s="43"/>
      <c r="B37" s="43"/>
      <c r="C37" s="103">
        <f t="shared" si="3"/>
        <v>0.255</v>
      </c>
      <c r="D37" s="44">
        <v>0.216170525975891</v>
      </c>
      <c r="E37" s="104">
        <v>38184</v>
      </c>
      <c r="F37" s="105">
        <f t="shared" si="0"/>
        <v>9.73692</v>
      </c>
      <c r="G37" s="105">
        <f t="shared" si="1"/>
        <v>642.63672</v>
      </c>
      <c r="H37" s="47">
        <f t="shared" si="4"/>
        <v>0.97060418122339</v>
      </c>
      <c r="I37" s="68">
        <f t="shared" ref="I37:I48" si="6">G37*(H36-0.15%)</f>
        <v>623.745887439685</v>
      </c>
      <c r="J37" s="68"/>
      <c r="K37" s="74">
        <f>(NORMSDIST((I37-$K$28)/B15)-NORMSDIST((I37-$L$28)/B15))</f>
        <v>1.11022302462516e-14</v>
      </c>
      <c r="L37" s="74">
        <f>(NORMSDIST((I37-$L$28)/B15)-NORMSDIST((I37-$M$28)/B15))</f>
        <v>5.9041818567529e-7</v>
      </c>
      <c r="M37" s="74">
        <f>(NORMSDIST((I37-$M$28)/B15)-NORMSDIST((I37-$N$28)/B15))</f>
        <v>0.0187141395319546</v>
      </c>
      <c r="N37" s="74">
        <f>(NORMSDIST((I37-$N$28)/B15)-NORMSDIST((I37-$O$28)/B15))</f>
        <v>0.738299129460731</v>
      </c>
      <c r="O37" s="74">
        <f>(NORMSDIST((I37-$O$28)/B15)-NORMSDIST((I37-$P$28)/B15))</f>
        <v>0.242730244062954</v>
      </c>
      <c r="P37" s="74">
        <f>(NORMSDIST((I37-$P$28)/B15)-NORMSDIST((I37-$Q$28)/B15))</f>
        <v>0.000255896323918336</v>
      </c>
      <c r="Q37" s="74">
        <f>(NORMSDIST((I37-$Q$28)/B15)-NORMSDIST((I37-$R$28)/B15))</f>
        <v>2.0224550527156e-10</v>
      </c>
      <c r="R37" s="74">
        <f>(NORMSDIST((I37-$R$28)/B15)-NORMSDIST((I37-$S$28)/B15))</f>
        <v>8.57868621526658e-20</v>
      </c>
      <c r="S37" s="74">
        <f>(NORMSDIST((I37-$S$28)/B15)-NORMSDIST((I37-$T$28)/B15))</f>
        <v>1.77788819717978e-32</v>
      </c>
      <c r="T37" s="74"/>
      <c r="U37" s="103">
        <f t="shared" si="2"/>
        <v>1</v>
      </c>
    </row>
    <row r="38" s="84" customFormat="1" ht="18" customHeight="1" spans="1:21">
      <c r="A38" s="114"/>
      <c r="B38" s="114"/>
      <c r="C38" s="103">
        <f t="shared" si="3"/>
        <v>0.256</v>
      </c>
      <c r="D38" s="44">
        <v>0.365285075133589</v>
      </c>
      <c r="E38" s="104">
        <v>38184</v>
      </c>
      <c r="F38" s="105">
        <f t="shared" si="0"/>
        <v>9.775104</v>
      </c>
      <c r="G38" s="105">
        <f t="shared" ref="G38:G48" si="7">F38*66</f>
        <v>645.156864</v>
      </c>
      <c r="H38" s="47">
        <f t="shared" si="4"/>
        <v>0.96910418122339</v>
      </c>
      <c r="I38" s="68">
        <f t="shared" si="6"/>
        <v>625.22421444737</v>
      </c>
      <c r="J38" s="68"/>
      <c r="K38" s="74">
        <f>(NORMSDIST((I38-$K$28)/B15)-NORMSDIST((I38-$L$28)/B15))</f>
        <v>0</v>
      </c>
      <c r="L38" s="74">
        <f>(NORMSDIST((I38-$L$28)/B15)-NORMSDIST((I38-$M$28)/B15))</f>
        <v>6.73004763029894e-9</v>
      </c>
      <c r="M38" s="74">
        <f>(NORMSDIST((I38-$M$28)/B15)-NORMSDIST((I38-$N$28)/B15))</f>
        <v>0.00185191677265628</v>
      </c>
      <c r="N38" s="74">
        <f>(NORMSDIST((I38-$N$28)/B15)-NORMSDIST((I38-$O$28)/B15))</f>
        <v>0.448582607115985</v>
      </c>
      <c r="O38" s="74">
        <f>(NORMSDIST((I38-$O$28)/B15)-NORMSDIST((I38-$P$28)/B15))</f>
        <v>0.545579006457147</v>
      </c>
      <c r="P38" s="74">
        <f>(NORMSDIST((I38-$P$28)/B15)-NORMSDIST((I38-$Q$28)/B15))</f>
        <v>0.00398643490333729</v>
      </c>
      <c r="Q38" s="74">
        <f>(NORMSDIST((I38-$Q$28)/B15)-NORMSDIST((I38-$R$28)/B15))</f>
        <v>2.80208275509577e-8</v>
      </c>
      <c r="R38" s="74">
        <f>(NORMSDIST((I38-$R$28)/B15)-NORMSDIST((I38-$S$28)/B15))</f>
        <v>1.11733142772303e-16</v>
      </c>
      <c r="S38" s="74">
        <f>(NORMSDIST((I38-$S$28)/B15)-NORMSDIST((I38-$T$28)/B15))</f>
        <v>2.21785262700353e-28</v>
      </c>
      <c r="T38" s="74"/>
      <c r="U38" s="103">
        <f t="shared" si="2"/>
        <v>1</v>
      </c>
    </row>
    <row r="39" s="84" customFormat="1" ht="18" customHeight="1" spans="1:21">
      <c r="A39" s="43"/>
      <c r="B39" s="43"/>
      <c r="C39" s="103">
        <f t="shared" si="3"/>
        <v>0.257</v>
      </c>
      <c r="D39" s="44">
        <v>0.201364415450248</v>
      </c>
      <c r="E39" s="104">
        <v>38184</v>
      </c>
      <c r="F39" s="105">
        <f t="shared" si="0"/>
        <v>9.813288</v>
      </c>
      <c r="G39" s="105">
        <f t="shared" si="7"/>
        <v>647.677008</v>
      </c>
      <c r="H39" s="47">
        <f t="shared" si="4"/>
        <v>0.96760418122339</v>
      </c>
      <c r="I39" s="68">
        <f t="shared" si="6"/>
        <v>626.694981023055</v>
      </c>
      <c r="J39" s="68"/>
      <c r="K39" s="74">
        <f>(NORMSDIST((I39-$K$28)/B15)-NORMSDIST((I39-$L$28)/B15))</f>
        <v>0</v>
      </c>
      <c r="L39" s="74">
        <f>(NORMSDIST((I39-$L$28)/B15)-NORMSDIST((I39-$M$28)/B15))</f>
        <v>4.09111633459247e-11</v>
      </c>
      <c r="M39" s="74">
        <f>(NORMSDIST((I39-$M$28)/B15)-NORMSDIST((I39-$N$28)/B15))</f>
        <v>9.98348539090754e-5</v>
      </c>
      <c r="N39" s="74">
        <f>(NORMSDIST((I39-$N$28)/B15)-NORMSDIST((I39-$O$28)/B15))</f>
        <v>0.173084527835657</v>
      </c>
      <c r="O39" s="74">
        <f>(NORMSDIST((I39-$O$28)/B15)-NORMSDIST((I39-$P$28)/B15))</f>
        <v>0.793645804057544</v>
      </c>
      <c r="P39" s="74">
        <f>(NORMSDIST((I39-$P$28)/B15)-NORMSDIST((I39-$Q$28)/B15))</f>
        <v>0.0331678572934961</v>
      </c>
      <c r="Q39" s="74">
        <f>(NORMSDIST((I39-$Q$28)/B15)-NORMSDIST((I39-$R$28)/B15))</f>
        <v>1.97591841050044e-6</v>
      </c>
      <c r="R39" s="74">
        <f>(NORMSDIST((I39-$R$28)/B15)-NORMSDIST((I39-$S$28)/B15))</f>
        <v>7.24940809758631e-14</v>
      </c>
      <c r="S39" s="74">
        <f>(NORMSDIST((I39-$S$28)/B15)-NORMSDIST((I39-$T$28)/B15))</f>
        <v>1.35711551908323e-24</v>
      </c>
      <c r="T39" s="74"/>
      <c r="U39" s="103">
        <f t="shared" si="2"/>
        <v>1</v>
      </c>
    </row>
    <row r="40" s="13" customFormat="1" ht="18" customHeight="1" spans="1:21">
      <c r="A40" s="43"/>
      <c r="B40" s="43"/>
      <c r="C40" s="38">
        <f t="shared" si="3"/>
        <v>0.258</v>
      </c>
      <c r="D40" s="49">
        <v>0.0675483708264866</v>
      </c>
      <c r="E40" s="40">
        <v>38184</v>
      </c>
      <c r="F40" s="41">
        <f t="shared" si="0"/>
        <v>9.851472</v>
      </c>
      <c r="G40" s="41">
        <f t="shared" si="7"/>
        <v>650.197152</v>
      </c>
      <c r="H40" s="42">
        <f t="shared" si="4"/>
        <v>0.96610418122339</v>
      </c>
      <c r="I40" s="68">
        <f t="shared" si="6"/>
        <v>628.15818716674</v>
      </c>
      <c r="J40" s="68"/>
      <c r="K40" s="69">
        <f>(NORMSDIST((I40-$K$28)/B15)-NORMSDIST((I40-$L$28)/B15))</f>
        <v>0</v>
      </c>
      <c r="L40" s="69">
        <f>(NORMSDIST((I40-$L$28)/B15)-NORMSDIST((I40-$M$28)/B15))</f>
        <v>1.33448807559944e-13</v>
      </c>
      <c r="M40" s="70">
        <f>(NORMSDIST((I40-$M$28)/B15)-NORMSDIST((I40-$N$28)/B15))</f>
        <v>2.91688330711359e-6</v>
      </c>
      <c r="N40" s="70">
        <f>(NORMSDIST((I40-$N$28)/B15)-NORMSDIST((I40-$O$28)/B15))</f>
        <v>0.0396653729980151</v>
      </c>
      <c r="O40" s="70">
        <f>(NORMSDIST((I40-$O$28)/B15)-NORMSDIST((I40-$P$28)/B15))</f>
        <v>0.807232001080058</v>
      </c>
      <c r="P40" s="70">
        <f>(NORMSDIST((I40-$P$28)/B15)-NORMSDIST((I40-$Q$28)/B15))</f>
        <v>0.153027654460979</v>
      </c>
      <c r="Q40" s="70">
        <f>(NORMSDIST((I40-$Q$28)/B15)-NORMSDIST((I40-$R$28)/B15))</f>
        <v>7.20545537918032e-5</v>
      </c>
      <c r="R40" s="70">
        <f>(NORMSDIST((I40-$R$28)/B15)-NORMSDIST((I40-$S$28)/B15))</f>
        <v>2.37154159066708e-11</v>
      </c>
      <c r="S40" s="70">
        <f>(NORMSDIST((I40-$S$28)/B15)-NORMSDIST((I40-$T$28)/B15))</f>
        <v>4.11864531088637e-21</v>
      </c>
      <c r="T40" s="70"/>
      <c r="U40" s="90">
        <f t="shared" si="2"/>
        <v>1</v>
      </c>
    </row>
    <row r="41" s="13" customFormat="1" ht="18" customHeight="1" spans="1:21">
      <c r="A41" s="43"/>
      <c r="B41" s="43"/>
      <c r="C41" s="38">
        <f t="shared" si="3"/>
        <v>0.259</v>
      </c>
      <c r="D41" s="49">
        <v>0.00531224256949884</v>
      </c>
      <c r="E41" s="40">
        <v>38184</v>
      </c>
      <c r="F41" s="41">
        <f t="shared" si="0"/>
        <v>9.889656</v>
      </c>
      <c r="G41" s="41">
        <f t="shared" si="7"/>
        <v>652.717296</v>
      </c>
      <c r="H41" s="42">
        <f t="shared" si="4"/>
        <v>0.964604181223391</v>
      </c>
      <c r="I41" s="68">
        <f t="shared" si="6"/>
        <v>629.613832878425</v>
      </c>
      <c r="J41" s="68"/>
      <c r="K41" s="69">
        <f>(NORMSDIST((I41-$K$28)/B15)-NORMSDIST((I41-$L$28)/B15))</f>
        <v>0</v>
      </c>
      <c r="L41" s="69">
        <f>(NORMSDIST((I41-$L$28)/B15)-NORMSDIST((I41-$M$28)/B15))</f>
        <v>0</v>
      </c>
      <c r="M41" s="70">
        <f>(NORMSDIST((I41-$M$28)/B15)-NORMSDIST((I41-$N$28)/B15))</f>
        <v>4.62129707834436e-8</v>
      </c>
      <c r="N41" s="70">
        <f>(NORMSDIST((I41-$N$28)/B15)-NORMSDIST((I41-$O$28)/B15))</f>
        <v>0.00518496338663366</v>
      </c>
      <c r="O41" s="70">
        <f>(NORMSDIST((I41-$O$28)/B15)-NORMSDIST((I41-$P$28)/B15))</f>
        <v>0.579750944995699</v>
      </c>
      <c r="P41" s="70">
        <f>(NORMSDIST((I41-$P$28)/B15)-NORMSDIST((I41-$Q$28)/B15))</f>
        <v>0.413679693618425</v>
      </c>
      <c r="Q41" s="70">
        <f>(NORMSDIST((I41-$Q$28)/B15)-NORMSDIST((I41-$R$28)/B15))</f>
        <v>0.00138434782487732</v>
      </c>
      <c r="R41" s="70">
        <f>(NORMSDIST((I41-$R$28)/B15)-NORMSDIST((I41-$S$28)/B15))</f>
        <v>3.96139342609213e-9</v>
      </c>
      <c r="S41" s="70">
        <f>(NORMSDIST((I41-$S$28)/B15)-NORMSDIST((I41-$T$28)/B15))</f>
        <v>6.26900735687464e-18</v>
      </c>
      <c r="T41" s="70"/>
      <c r="U41" s="90">
        <f t="shared" si="2"/>
        <v>0.999999999999999</v>
      </c>
    </row>
    <row r="42" s="13" customFormat="1" ht="18" customHeight="1" spans="1:21">
      <c r="A42" s="43"/>
      <c r="B42" s="43"/>
      <c r="C42" s="38">
        <f t="shared" si="3"/>
        <v>0.26</v>
      </c>
      <c r="D42" s="49"/>
      <c r="E42" s="40">
        <v>38184</v>
      </c>
      <c r="F42" s="41">
        <f t="shared" si="0"/>
        <v>9.92784</v>
      </c>
      <c r="G42" s="41">
        <f t="shared" si="7"/>
        <v>655.23744</v>
      </c>
      <c r="H42" s="42">
        <f t="shared" si="4"/>
        <v>0.963104181223391</v>
      </c>
      <c r="I42" s="68">
        <f t="shared" si="6"/>
        <v>631.061918158111</v>
      </c>
      <c r="J42" s="68"/>
      <c r="K42" s="69">
        <f>(NORMSDIST((I42-$K$28)/B15)-NORMSDIST((I42-$L$28)/B15))</f>
        <v>0</v>
      </c>
      <c r="L42" s="69">
        <f>(NORMSDIST((I42-$L$28)/B15)-NORMSDIST((I42-$M$28)/B15))</f>
        <v>0</v>
      </c>
      <c r="M42" s="70">
        <f>(NORMSDIST((I42-$M$28)/B15)-NORMSDIST((I42-$N$28)/B15))</f>
        <v>3.98534760748248e-10</v>
      </c>
      <c r="N42" s="70">
        <f>(NORMSDIST((I42-$N$28)/B15)-NORMSDIST((I42-$O$28)/B15))</f>
        <v>0.00037894532527416</v>
      </c>
      <c r="O42" s="70">
        <f>(NORMSDIST((I42-$O$28)/B15)-NORMSDIST((I42-$P$28)/B15))</f>
        <v>0.277231620612763</v>
      </c>
      <c r="P42" s="70">
        <f>(NORMSDIST((I42-$P$28)/B15)-NORMSDIST((I42-$Q$28)/B15))</f>
        <v>0.708048193688573</v>
      </c>
      <c r="Q42" s="70">
        <f>(NORMSDIST((I42-$Q$28)/B15)-NORMSDIST((I42-$R$28)/B15))</f>
        <v>0.0143408975317088</v>
      </c>
      <c r="R42" s="70">
        <f>(NORMSDIST((I42-$R$28)/B15)-NORMSDIST((I42-$S$28)/B15))</f>
        <v>3.42443140815544e-7</v>
      </c>
      <c r="S42" s="70">
        <f>(NORMSDIST((I42-$S$28)/B15)-NORMSDIST((I42-$T$28)/B15))</f>
        <v>4.8404533902121e-15</v>
      </c>
      <c r="T42" s="70"/>
      <c r="U42" s="90">
        <f t="shared" si="2"/>
        <v>0.999999999999999</v>
      </c>
    </row>
    <row r="43" s="13" customFormat="1" ht="18" customHeight="1" spans="1:21">
      <c r="A43" s="43"/>
      <c r="B43" s="43"/>
      <c r="C43" s="38">
        <f t="shared" si="3"/>
        <v>0.261</v>
      </c>
      <c r="D43" s="49"/>
      <c r="E43" s="40">
        <v>38184</v>
      </c>
      <c r="F43" s="41">
        <f t="shared" si="0"/>
        <v>9.966024</v>
      </c>
      <c r="G43" s="41">
        <f t="shared" si="7"/>
        <v>657.757584</v>
      </c>
      <c r="H43" s="42">
        <f t="shared" si="4"/>
        <v>0.961604181223391</v>
      </c>
      <c r="I43" s="68">
        <f t="shared" si="6"/>
        <v>632.502443005796</v>
      </c>
      <c r="J43" s="68"/>
      <c r="K43" s="69">
        <f>(NORMSDIST((I43-$K$28)/B15)-NORMSDIST((I43-$L$28)/B15))</f>
        <v>0</v>
      </c>
      <c r="L43" s="69">
        <f>(NORMSDIST((I43-$L$28)/B15)-NORMSDIST((I43-$M$28)/B15))</f>
        <v>0</v>
      </c>
      <c r="M43" s="70">
        <f>(NORMSDIST((I43-$M$28)/B15)-NORMSDIST((I43-$N$28)/B15))</f>
        <v>1.88160598213472e-12</v>
      </c>
      <c r="N43" s="70">
        <f>(NORMSDIST((I43-$N$28)/B15)-NORMSDIST((I43-$O$28)/B15))</f>
        <v>1.5362584907419e-5</v>
      </c>
      <c r="O43" s="70">
        <f>(NORMSDIST((I43-$O$28)/B15)-NORMSDIST((I43-$P$28)/B15))</f>
        <v>0.0822117147464015</v>
      </c>
      <c r="P43" s="70">
        <f>(NORMSDIST((I43-$P$28)/B15)-NORMSDIST((I43-$Q$28)/B15))</f>
        <v>0.835133071205357</v>
      </c>
      <c r="Q43" s="70">
        <f>(NORMSDIST((I43-$Q$28)/B15)-NORMSDIST((I43-$R$28)/B15))</f>
        <v>0.0826243049343773</v>
      </c>
      <c r="R43" s="70">
        <f>(NORMSDIST((I43-$R$28)/B15)-NORMSDIST((I43-$S$28)/B15))</f>
        <v>1.554652515692e-5</v>
      </c>
      <c r="S43" s="70">
        <f>(NORMSDIST((I43-$S$28)/B15)-NORMSDIST((I43-$T$28)/B15))</f>
        <v>1.9181120129219e-12</v>
      </c>
      <c r="T43" s="70"/>
      <c r="U43" s="90">
        <f t="shared" si="2"/>
        <v>1</v>
      </c>
    </row>
    <row r="44" s="13" customFormat="1" ht="18" customHeight="1" spans="1:21">
      <c r="A44" s="43"/>
      <c r="B44" s="43"/>
      <c r="C44" s="38">
        <f t="shared" si="3"/>
        <v>0.262</v>
      </c>
      <c r="D44" s="49"/>
      <c r="E44" s="40">
        <v>38184</v>
      </c>
      <c r="F44" s="41">
        <f t="shared" si="0"/>
        <v>10.004208</v>
      </c>
      <c r="G44" s="41">
        <f t="shared" si="7"/>
        <v>660.277728</v>
      </c>
      <c r="H44" s="42">
        <f t="shared" si="4"/>
        <v>0.960104181223391</v>
      </c>
      <c r="I44" s="68">
        <f t="shared" si="6"/>
        <v>633.935407421481</v>
      </c>
      <c r="J44" s="68"/>
      <c r="K44" s="69">
        <f>(NORMSDIST((I44-$K$28)/B15)-NORMSDIST((I44-$L$28)/B15))</f>
        <v>0</v>
      </c>
      <c r="L44" s="69">
        <f>(NORMSDIST((I44-$L$28)/B15)-NORMSDIST((I44-$M$28)/B15))</f>
        <v>0</v>
      </c>
      <c r="M44" s="70">
        <f>(NORMSDIST((I44-$M$28)/B15)-NORMSDIST((I44-$N$28)/B15))</f>
        <v>4.88498130835069e-15</v>
      </c>
      <c r="N44" s="70">
        <f>(NORMSDIST((I44-$N$28)/B15)-NORMSDIST((I44-$O$28)/B15))</f>
        <v>3.45074793628442e-7</v>
      </c>
      <c r="O44" s="70">
        <f>(NORMSDIST((I44-$O$28)/B15)-NORMSDIST((I44-$P$28)/B15))</f>
        <v>0.0143951177760353</v>
      </c>
      <c r="P44" s="70">
        <f>(NORMSDIST((I44-$P$28)/B15)-NORMSDIST((I44-$Q$28)/B15))</f>
        <v>0.708491821886163</v>
      </c>
      <c r="Q44" s="70">
        <f>(NORMSDIST((I44-$Q$28)/B15)-NORMSDIST((I44-$R$28)/B15))</f>
        <v>0.276735806484156</v>
      </c>
      <c r="R44" s="70">
        <f>(NORMSDIST((I44-$R$28)/B15)-NORMSDIST((I44-$S$28)/B15))</f>
        <v>0.000376908384025906</v>
      </c>
      <c r="S44" s="70">
        <f>(NORMSDIST((I44-$S$28)/B15)-NORMSDIST((I44-$T$28)/B15))</f>
        <v>3.94820904075597e-10</v>
      </c>
      <c r="T44" s="70"/>
      <c r="U44" s="90">
        <f t="shared" si="2"/>
        <v>1</v>
      </c>
    </row>
    <row r="45" s="13" customFormat="1" ht="18" customHeight="1" spans="1:21">
      <c r="A45" s="43"/>
      <c r="B45" s="43"/>
      <c r="C45" s="38">
        <f t="shared" si="3"/>
        <v>0.263</v>
      </c>
      <c r="D45" s="55"/>
      <c r="E45" s="40">
        <v>38184</v>
      </c>
      <c r="F45" s="41">
        <f t="shared" si="0"/>
        <v>10.042392</v>
      </c>
      <c r="G45" s="41">
        <f t="shared" si="7"/>
        <v>662.797872</v>
      </c>
      <c r="H45" s="42">
        <f t="shared" si="4"/>
        <v>0.958604181223391</v>
      </c>
      <c r="I45" s="68">
        <f t="shared" si="6"/>
        <v>635.360811405166</v>
      </c>
      <c r="J45" s="68"/>
      <c r="K45" s="69">
        <f>(NORMSDIST((I45-$K$28)/B15)-NORMSDIST((I45-$L$28)/B15))</f>
        <v>0</v>
      </c>
      <c r="L45" s="69">
        <f>(NORMSDIST((I45-$L$28)/B15)-NORMSDIST((I45-$M$28)/B15))</f>
        <v>0</v>
      </c>
      <c r="M45" s="70">
        <f>(NORMSDIST((I45-$M$28)/B15)-NORMSDIST((I45-$N$28)/B15))</f>
        <v>0</v>
      </c>
      <c r="N45" s="70">
        <f>(NORMSDIST((I45-$N$28)/B15)-NORMSDIST((I45-$O$28)/B15))</f>
        <v>4.3063577148672e-9</v>
      </c>
      <c r="O45" s="70">
        <f>(NORMSDIST((I45-$O$28)/B15)-NORMSDIST((I45-$P$28)/B15))</f>
        <v>0.00144959420136703</v>
      </c>
      <c r="P45" s="70">
        <f>(NORMSDIST((I45-$P$28)/B15)-NORMSDIST((I45-$Q$28)/B15))</f>
        <v>0.419114425526183</v>
      </c>
      <c r="Q45" s="70">
        <f>(NORMSDIST((I45-$Q$28)/B15)-NORMSDIST((I45-$R$28)/B15))</f>
        <v>0.574457590503202</v>
      </c>
      <c r="R45" s="70">
        <f>(NORMSDIST((I45-$R$28)/B15)-NORMSDIST((I45-$S$28)/B15))</f>
        <v>0.00497834270946291</v>
      </c>
      <c r="S45" s="70">
        <f>(NORMSDIST((I45-$S$28)/B15)-NORMSDIST((I45-$T$28)/B15))</f>
        <v>4.27534269662822e-8</v>
      </c>
      <c r="T45" s="70"/>
      <c r="U45" s="90">
        <f t="shared" si="2"/>
        <v>1</v>
      </c>
    </row>
    <row r="46" s="13" customFormat="1" ht="18" customHeight="1" spans="1:21">
      <c r="A46" s="43"/>
      <c r="B46" s="43"/>
      <c r="C46" s="38">
        <f t="shared" si="3"/>
        <v>0.264</v>
      </c>
      <c r="D46" s="55"/>
      <c r="E46" s="40">
        <v>38184</v>
      </c>
      <c r="F46" s="41">
        <f t="shared" si="0"/>
        <v>10.080576</v>
      </c>
      <c r="G46" s="41">
        <f t="shared" si="7"/>
        <v>665.318016</v>
      </c>
      <c r="H46" s="42">
        <f t="shared" si="4"/>
        <v>0.957104181223391</v>
      </c>
      <c r="I46" s="68">
        <f t="shared" si="6"/>
        <v>636.778654956851</v>
      </c>
      <c r="J46" s="68"/>
      <c r="K46" s="69">
        <f>(NORMSDIST((I46-$K$28)/B15)-NORMSDIST((I46-$L$28)/B15))</f>
        <v>0</v>
      </c>
      <c r="L46" s="69">
        <f>(NORMSDIST((I46-$L$28)/B15)-NORMSDIST((I46-$M$28)/B15))</f>
        <v>0</v>
      </c>
      <c r="M46" s="70">
        <f>(NORMSDIST((I46-$M$28)/B15)-NORMSDIST((I46-$N$28)/B15))</f>
        <v>0</v>
      </c>
      <c r="N46" s="70">
        <f>(NORMSDIST((I46-$N$28)/B15)-NORMSDIST((I46-$O$28)/B15))</f>
        <v>3.00081071102909e-11</v>
      </c>
      <c r="O46" s="70">
        <f>(NORMSDIST((I46-$O$28)/B15)-NORMSDIST((I46-$P$28)/B15))</f>
        <v>8.29686236175631e-5</v>
      </c>
      <c r="P46" s="70">
        <f>(NORMSDIST((I46-$P$28)/B15)-NORMSDIST((I46-$Q$28)/B15))</f>
        <v>0.161458673225712</v>
      </c>
      <c r="Q46" s="70">
        <f>(NORMSDIST((I46-$Q$28)/B15)-NORMSDIST((I46-$R$28)/B15))</f>
        <v>0.801702145394079</v>
      </c>
      <c r="R46" s="70">
        <f>(NORMSDIST((I46-$R$28)/B15)-NORMSDIST((I46-$S$28)/B15))</f>
        <v>0.0367537438347589</v>
      </c>
      <c r="S46" s="70">
        <f>(NORMSDIST((I46-$S$28)/B15)-NORMSDIST((I46-$T$28)/B15))</f>
        <v>2.46889172142084e-6</v>
      </c>
      <c r="T46" s="70"/>
      <c r="U46" s="90">
        <f t="shared" si="2"/>
        <v>0.999999999999897</v>
      </c>
    </row>
    <row r="47" s="13" customFormat="1" ht="18" customHeight="1" spans="1:21">
      <c r="A47" s="43"/>
      <c r="B47" s="43"/>
      <c r="C47" s="38">
        <f t="shared" si="3"/>
        <v>0.265</v>
      </c>
      <c r="D47" s="55"/>
      <c r="E47" s="40">
        <v>38184</v>
      </c>
      <c r="F47" s="41">
        <f t="shared" si="0"/>
        <v>10.11876</v>
      </c>
      <c r="G47" s="41">
        <f t="shared" si="7"/>
        <v>667.83816</v>
      </c>
      <c r="H47" s="42">
        <f t="shared" si="4"/>
        <v>0.955604181223391</v>
      </c>
      <c r="I47" s="68">
        <f t="shared" si="6"/>
        <v>638.188938076536</v>
      </c>
      <c r="J47" s="68"/>
      <c r="K47" s="69">
        <f>(NORMSDIST((I47-$K$28)/B15)-NORMSDIST((I47-$L$28)/B15))</f>
        <v>0</v>
      </c>
      <c r="L47" s="69">
        <f>(NORMSDIST((I47-$L$28)/B15)-NORMSDIST((I47-$M$28)/B15))</f>
        <v>0</v>
      </c>
      <c r="M47" s="70">
        <f>(NORMSDIST((I47-$M$28)/B15)-NORMSDIST((I47-$N$28)/B15))</f>
        <v>0</v>
      </c>
      <c r="N47" s="70">
        <f>(NORMSDIST((I47-$N$28)/B15)-NORMSDIST((I47-$O$28)/B15))</f>
        <v>1.17461596005342e-13</v>
      </c>
      <c r="O47" s="70">
        <f>(NORMSDIST((I47-$O$28)/B15)-NORMSDIST((I47-$P$28)/B15))</f>
        <v>2.6898261483721e-6</v>
      </c>
      <c r="P47" s="70">
        <f>(NORMSDIST((I47-$P$28)/B15)-NORMSDIST((I47-$Q$28)/B15))</f>
        <v>0.0382251202735789</v>
      </c>
      <c r="Q47" s="70">
        <f>(NORMSDIST((I47-$Q$28)/B15)-NORMSDIST((I47-$R$28)/B15))</f>
        <v>0.804599400945047</v>
      </c>
      <c r="R47" s="70">
        <f>(NORMSDIST((I47-$R$28)/B15)-NORMSDIST((I47-$S$28)/B15))</f>
        <v>0.157095601244503</v>
      </c>
      <c r="S47" s="70">
        <f>(NORMSDIST((I47-$S$28)/B15)-NORMSDIST((I47-$T$28)/B15))</f>
        <v>7.71876840060977e-5</v>
      </c>
      <c r="T47" s="70"/>
      <c r="U47" s="90">
        <f t="shared" si="2"/>
        <v>0.999999999973401</v>
      </c>
    </row>
    <row r="48" s="13" customFormat="1" ht="18" customHeight="1" spans="1:21">
      <c r="A48" s="43"/>
      <c r="B48" s="43"/>
      <c r="C48" s="38">
        <f t="shared" si="3"/>
        <v>0.266</v>
      </c>
      <c r="D48" s="55"/>
      <c r="E48" s="40">
        <v>38184</v>
      </c>
      <c r="F48" s="41">
        <f t="shared" si="0"/>
        <v>10.156944</v>
      </c>
      <c r="G48" s="41">
        <f t="shared" si="7"/>
        <v>670.358304</v>
      </c>
      <c r="H48" s="42">
        <f t="shared" si="4"/>
        <v>0.954104181223391</v>
      </c>
      <c r="I48" s="68">
        <f t="shared" si="6"/>
        <v>639.591660764221</v>
      </c>
      <c r="J48" s="68"/>
      <c r="K48" s="69">
        <f>(NORMSDIST((I48-$K$28)/B15)-NORMSDIST((I48-$L$28)/B15))</f>
        <v>0</v>
      </c>
      <c r="L48" s="69">
        <f>(NORMSDIST((I48-$L$28)/B15)-NORMSDIST((I48-$M$28)/B15))</f>
        <v>0</v>
      </c>
      <c r="M48" s="70">
        <f>(NORMSDIST((I48-$M$28)/B15)-NORMSDIST((I48-$N$28)/B15))</f>
        <v>0</v>
      </c>
      <c r="N48" s="70">
        <f>(NORMSDIST((I48-$N$28)/B15)-NORMSDIST((I48-$O$28)/B15))</f>
        <v>0</v>
      </c>
      <c r="O48" s="70">
        <f>(NORMSDIST((I48-$O$28)/B15)-NORMSDIST((I48-$P$28)/B15))</f>
        <v>4.94589992294792e-8</v>
      </c>
      <c r="P48" s="70">
        <f>(NORMSDIST((I48-$P$28)/B15)-NORMSDIST((I48-$Q$28)/B15))</f>
        <v>0.00537185896179737</v>
      </c>
      <c r="Q48" s="70">
        <f>(NORMSDIST((I48-$Q$28)/B15)-NORMSDIST((I48-$R$28)/B15))</f>
        <v>0.584359895219763</v>
      </c>
      <c r="R48" s="70">
        <f>(NORMSDIST((I48-$R$28)/B15)-NORMSDIST((I48-$S$28)/B15))</f>
        <v>0.408938688576491</v>
      </c>
      <c r="S48" s="70">
        <f>(NORMSDIST((I48-$S$28)/B15)-NORMSDIST((I48-$T$28)/B15))</f>
        <v>0.0013295041010656</v>
      </c>
      <c r="T48" s="70"/>
      <c r="U48" s="90">
        <f t="shared" si="2"/>
        <v>0.999999996318116</v>
      </c>
    </row>
    <row r="49" s="13" customFormat="1" ht="9.6" customHeight="1" spans="4:4">
      <c r="D49" s="56"/>
    </row>
    <row r="50" s="13" customFormat="1" ht="18" customHeight="1" spans="4:21">
      <c r="D50" s="57"/>
      <c r="I50" s="80" t="s">
        <v>90</v>
      </c>
      <c r="J50" s="80" t="s">
        <v>89</v>
      </c>
      <c r="K50" s="67">
        <f>K28</f>
        <v>605</v>
      </c>
      <c r="L50" s="67">
        <f t="shared" ref="L50:T50" si="8">L28</f>
        <v>610</v>
      </c>
      <c r="M50" s="67">
        <f t="shared" si="8"/>
        <v>615</v>
      </c>
      <c r="N50" s="67">
        <f t="shared" si="8"/>
        <v>620</v>
      </c>
      <c r="O50" s="67">
        <f t="shared" si="8"/>
        <v>625</v>
      </c>
      <c r="P50" s="67">
        <f t="shared" si="8"/>
        <v>630</v>
      </c>
      <c r="Q50" s="67">
        <f t="shared" si="8"/>
        <v>635</v>
      </c>
      <c r="R50" s="67">
        <f t="shared" si="8"/>
        <v>640</v>
      </c>
      <c r="S50" s="67">
        <f t="shared" si="8"/>
        <v>645</v>
      </c>
      <c r="T50" s="67">
        <f t="shared" si="8"/>
        <v>650</v>
      </c>
      <c r="U50" s="89" t="s">
        <v>96</v>
      </c>
    </row>
    <row r="51" s="13" customFormat="1" ht="18" customHeight="1" spans="9:21">
      <c r="I51" s="81">
        <f t="shared" ref="I51:I70" si="9">D29</f>
        <v>0</v>
      </c>
      <c r="J51" s="38">
        <f t="shared" ref="J51:J70" si="10">C29</f>
        <v>0.247</v>
      </c>
      <c r="K51" s="70">
        <f t="shared" ref="K51:K70" si="11">D29*K29</f>
        <v>0</v>
      </c>
      <c r="L51" s="70">
        <f t="shared" ref="L51:L70" si="12">D29*L29</f>
        <v>0</v>
      </c>
      <c r="M51" s="70">
        <f t="shared" ref="M51:M70" si="13">D29*M29</f>
        <v>0</v>
      </c>
      <c r="N51" s="70">
        <f t="shared" ref="N51:N70" si="14">D29*N29</f>
        <v>0</v>
      </c>
      <c r="O51" s="70">
        <f t="shared" ref="O51:O70" si="15">D29*O29</f>
        <v>0</v>
      </c>
      <c r="P51" s="70">
        <f t="shared" ref="P51:P70" si="16">D29*P29</f>
        <v>0</v>
      </c>
      <c r="Q51" s="70">
        <f t="shared" ref="Q51:Q70" si="17">D29*Q29</f>
        <v>0</v>
      </c>
      <c r="R51" s="70">
        <f t="shared" ref="R51:R70" si="18">D29*R29</f>
        <v>0</v>
      </c>
      <c r="S51" s="70">
        <f t="shared" ref="S51:S70" si="19">S29*D29</f>
        <v>0</v>
      </c>
      <c r="T51" s="70"/>
      <c r="U51" s="90"/>
    </row>
    <row r="52" s="13" customFormat="1" ht="18" customHeight="1" spans="9:21">
      <c r="I52" s="81">
        <f t="shared" si="9"/>
        <v>0</v>
      </c>
      <c r="J52" s="38">
        <f t="shared" si="10"/>
        <v>0.248</v>
      </c>
      <c r="K52" s="70">
        <f t="shared" si="11"/>
        <v>0</v>
      </c>
      <c r="L52" s="70">
        <f t="shared" si="12"/>
        <v>0</v>
      </c>
      <c r="M52" s="70">
        <f t="shared" si="13"/>
        <v>0</v>
      </c>
      <c r="N52" s="70">
        <f t="shared" si="14"/>
        <v>0</v>
      </c>
      <c r="O52" s="70">
        <f t="shared" si="15"/>
        <v>0</v>
      </c>
      <c r="P52" s="70">
        <f t="shared" si="16"/>
        <v>0</v>
      </c>
      <c r="Q52" s="70">
        <f t="shared" si="17"/>
        <v>0</v>
      </c>
      <c r="R52" s="70">
        <f t="shared" si="18"/>
        <v>0</v>
      </c>
      <c r="S52" s="70">
        <f t="shared" si="19"/>
        <v>0</v>
      </c>
      <c r="T52" s="70"/>
      <c r="U52" s="90"/>
    </row>
    <row r="53" s="13" customFormat="1" ht="18" customHeight="1" spans="9:21">
      <c r="I53" s="81">
        <f t="shared" si="9"/>
        <v>0</v>
      </c>
      <c r="J53" s="38">
        <f t="shared" si="10"/>
        <v>0.249</v>
      </c>
      <c r="K53" s="70">
        <f t="shared" si="11"/>
        <v>0</v>
      </c>
      <c r="L53" s="70">
        <f t="shared" si="12"/>
        <v>0</v>
      </c>
      <c r="M53" s="70">
        <f t="shared" si="13"/>
        <v>0</v>
      </c>
      <c r="N53" s="70">
        <f t="shared" si="14"/>
        <v>0</v>
      </c>
      <c r="O53" s="70">
        <f t="shared" si="15"/>
        <v>0</v>
      </c>
      <c r="P53" s="70">
        <f t="shared" si="16"/>
        <v>0</v>
      </c>
      <c r="Q53" s="70">
        <f t="shared" si="17"/>
        <v>0</v>
      </c>
      <c r="R53" s="70">
        <f t="shared" si="18"/>
        <v>0</v>
      </c>
      <c r="S53" s="70">
        <f t="shared" si="19"/>
        <v>0</v>
      </c>
      <c r="T53" s="70"/>
      <c r="U53" s="90"/>
    </row>
    <row r="54" s="13" customFormat="1" ht="18" customHeight="1" spans="9:21">
      <c r="I54" s="81">
        <f t="shared" si="9"/>
        <v>0</v>
      </c>
      <c r="J54" s="38">
        <f t="shared" si="10"/>
        <v>0.25</v>
      </c>
      <c r="K54" s="74">
        <f t="shared" si="11"/>
        <v>0</v>
      </c>
      <c r="L54" s="74">
        <f t="shared" si="12"/>
        <v>0</v>
      </c>
      <c r="M54" s="74">
        <f t="shared" si="13"/>
        <v>0</v>
      </c>
      <c r="N54" s="74">
        <f t="shared" si="14"/>
        <v>0</v>
      </c>
      <c r="O54" s="74">
        <f t="shared" si="15"/>
        <v>0</v>
      </c>
      <c r="P54" s="74">
        <f t="shared" si="16"/>
        <v>0</v>
      </c>
      <c r="Q54" s="74">
        <f t="shared" si="17"/>
        <v>0</v>
      </c>
      <c r="R54" s="74">
        <f t="shared" si="18"/>
        <v>0</v>
      </c>
      <c r="S54" s="74">
        <f t="shared" si="19"/>
        <v>0</v>
      </c>
      <c r="T54" s="70"/>
      <c r="U54" s="90"/>
    </row>
    <row r="55" s="13" customFormat="1" ht="18" customHeight="1" spans="9:21">
      <c r="I55" s="81">
        <f t="shared" si="9"/>
        <v>0</v>
      </c>
      <c r="J55" s="38">
        <f t="shared" si="10"/>
        <v>0.251</v>
      </c>
      <c r="K55" s="70">
        <f t="shared" si="11"/>
        <v>0</v>
      </c>
      <c r="L55" s="70">
        <f t="shared" si="12"/>
        <v>0</v>
      </c>
      <c r="M55" s="70">
        <f t="shared" si="13"/>
        <v>0</v>
      </c>
      <c r="N55" s="70">
        <f t="shared" si="14"/>
        <v>0</v>
      </c>
      <c r="O55" s="70">
        <f t="shared" si="15"/>
        <v>0</v>
      </c>
      <c r="P55" s="70">
        <f t="shared" si="16"/>
        <v>0</v>
      </c>
      <c r="Q55" s="70">
        <f t="shared" si="17"/>
        <v>0</v>
      </c>
      <c r="R55" s="70">
        <f t="shared" si="18"/>
        <v>0</v>
      </c>
      <c r="S55" s="70">
        <f t="shared" si="19"/>
        <v>0</v>
      </c>
      <c r="T55" s="70"/>
      <c r="U55" s="90"/>
    </row>
    <row r="56" s="13" customFormat="1" ht="18" customHeight="1" spans="9:21">
      <c r="I56" s="81">
        <f t="shared" si="9"/>
        <v>0</v>
      </c>
      <c r="J56" s="38">
        <f t="shared" si="10"/>
        <v>0.252</v>
      </c>
      <c r="K56" s="70">
        <f t="shared" si="11"/>
        <v>0</v>
      </c>
      <c r="L56" s="70">
        <f t="shared" si="12"/>
        <v>0</v>
      </c>
      <c r="M56" s="70">
        <f t="shared" si="13"/>
        <v>0</v>
      </c>
      <c r="N56" s="70">
        <f t="shared" si="14"/>
        <v>0</v>
      </c>
      <c r="O56" s="70">
        <f t="shared" si="15"/>
        <v>0</v>
      </c>
      <c r="P56" s="70">
        <f t="shared" si="16"/>
        <v>0</v>
      </c>
      <c r="Q56" s="70">
        <f t="shared" si="17"/>
        <v>0</v>
      </c>
      <c r="R56" s="70">
        <f t="shared" si="18"/>
        <v>0</v>
      </c>
      <c r="S56" s="70">
        <f t="shared" si="19"/>
        <v>0</v>
      </c>
      <c r="T56" s="70"/>
      <c r="U56" s="90"/>
    </row>
    <row r="57" s="13" customFormat="1" ht="18" customHeight="1" spans="9:21">
      <c r="I57" s="81">
        <f t="shared" si="9"/>
        <v>0.0292160166686159</v>
      </c>
      <c r="J57" s="38">
        <f t="shared" si="10"/>
        <v>0.253</v>
      </c>
      <c r="K57" s="70">
        <f t="shared" si="11"/>
        <v>3.2313441928315e-11</v>
      </c>
      <c r="L57" s="70">
        <f t="shared" si="12"/>
        <v>1.98233287152355e-5</v>
      </c>
      <c r="M57" s="70">
        <f t="shared" si="13"/>
        <v>0.00977058349402364</v>
      </c>
      <c r="N57" s="70">
        <f t="shared" si="14"/>
        <v>0.0191527757784399</v>
      </c>
      <c r="O57" s="70">
        <f t="shared" si="15"/>
        <v>0.000272829795665126</v>
      </c>
      <c r="P57" s="70">
        <f t="shared" si="16"/>
        <v>4.23945848920689e-9</v>
      </c>
      <c r="Q57" s="70">
        <f t="shared" si="17"/>
        <v>3.83708866689466e-17</v>
      </c>
      <c r="R57" s="70">
        <f t="shared" si="18"/>
        <v>1.74315379450043e-28</v>
      </c>
      <c r="S57" s="70">
        <f t="shared" si="19"/>
        <v>3.77065794157494e-43</v>
      </c>
      <c r="T57" s="70"/>
      <c r="U57" s="90"/>
    </row>
    <row r="58" s="13" customFormat="1" ht="18" customHeight="1" spans="9:21">
      <c r="I58" s="81">
        <f t="shared" si="9"/>
        <v>0.11510335337567</v>
      </c>
      <c r="J58" s="38">
        <f t="shared" si="10"/>
        <v>0.254</v>
      </c>
      <c r="K58" s="70">
        <f t="shared" si="11"/>
        <v>5.57370578672469e-13</v>
      </c>
      <c r="L58" s="70">
        <f t="shared" si="12"/>
        <v>3.16483448457592e-6</v>
      </c>
      <c r="M58" s="70">
        <f t="shared" si="13"/>
        <v>0.0120410862586192</v>
      </c>
      <c r="N58" s="70">
        <f t="shared" si="14"/>
        <v>0.0956951690677092</v>
      </c>
      <c r="O58" s="70">
        <f t="shared" si="15"/>
        <v>0.00736295024254251</v>
      </c>
      <c r="P58" s="70">
        <f t="shared" si="16"/>
        <v>9.82971672918154e-7</v>
      </c>
      <c r="Q58" s="70">
        <f t="shared" si="17"/>
        <v>8.43042105113029e-14</v>
      </c>
      <c r="R58" s="70">
        <f t="shared" si="18"/>
        <v>3.73262993647039e-24</v>
      </c>
      <c r="S58" s="70">
        <f t="shared" si="19"/>
        <v>7.95901629964099e-38</v>
      </c>
      <c r="T58" s="70"/>
      <c r="U58" s="90"/>
    </row>
    <row r="59" s="13" customFormat="1" ht="18" customHeight="1" spans="9:21">
      <c r="I59" s="81">
        <f t="shared" si="9"/>
        <v>0.216170525975891</v>
      </c>
      <c r="J59" s="38">
        <f t="shared" si="10"/>
        <v>0.255</v>
      </c>
      <c r="K59" s="70">
        <f t="shared" si="11"/>
        <v>2.39997495183765e-15</v>
      </c>
      <c r="L59" s="70">
        <f t="shared" si="12"/>
        <v>1.27631009743159e-7</v>
      </c>
      <c r="M59" s="70">
        <f t="shared" si="13"/>
        <v>0.00404544538580883</v>
      </c>
      <c r="N59" s="70">
        <f t="shared" si="14"/>
        <v>0.159598511143069</v>
      </c>
      <c r="O59" s="70">
        <f t="shared" si="15"/>
        <v>0.0524711245293451</v>
      </c>
      <c r="P59" s="70">
        <f t="shared" si="16"/>
        <v>5.53172429367236e-5</v>
      </c>
      <c r="Q59" s="70">
        <f t="shared" si="17"/>
        <v>4.37195172508129e-11</v>
      </c>
      <c r="R59" s="70">
        <f t="shared" si="18"/>
        <v>1.8544591113363e-20</v>
      </c>
      <c r="S59" s="70">
        <f t="shared" si="19"/>
        <v>3.84327026710682e-33</v>
      </c>
      <c r="T59" s="70"/>
      <c r="U59" s="90"/>
    </row>
    <row r="60" s="13" customFormat="1" ht="18" customHeight="1" spans="9:21">
      <c r="I60" s="81">
        <f t="shared" si="9"/>
        <v>0.365285075133589</v>
      </c>
      <c r="J60" s="38">
        <f t="shared" si="10"/>
        <v>0.256</v>
      </c>
      <c r="K60" s="70">
        <f t="shared" si="11"/>
        <v>0</v>
      </c>
      <c r="L60" s="70">
        <f t="shared" si="12"/>
        <v>2.45838595428638e-9</v>
      </c>
      <c r="M60" s="70">
        <f t="shared" si="13"/>
        <v>0.000676477557440903</v>
      </c>
      <c r="N60" s="70">
        <f t="shared" si="14"/>
        <v>0.163860531343984</v>
      </c>
      <c r="O60" s="70">
        <f t="shared" si="15"/>
        <v>0.199291868365008</v>
      </c>
      <c r="P60" s="70">
        <f t="shared" si="16"/>
        <v>0.00145618517318072</v>
      </c>
      <c r="Q60" s="70">
        <f t="shared" si="17"/>
        <v>1.02355900972569e-8</v>
      </c>
      <c r="R60" s="70">
        <f t="shared" si="18"/>
        <v>4.08144494524927e-17</v>
      </c>
      <c r="S60" s="70">
        <f t="shared" si="19"/>
        <v>8.10148463490212e-29</v>
      </c>
      <c r="T60" s="70"/>
      <c r="U60" s="90"/>
    </row>
    <row r="61" s="13" customFormat="1" ht="18" customHeight="1" spans="9:21">
      <c r="I61" s="81">
        <f t="shared" si="9"/>
        <v>0.201364415450248</v>
      </c>
      <c r="J61" s="38">
        <f t="shared" si="10"/>
        <v>0.257</v>
      </c>
      <c r="K61" s="70">
        <f t="shared" si="11"/>
        <v>0</v>
      </c>
      <c r="L61" s="70">
        <f t="shared" si="12"/>
        <v>8.23805249254174e-12</v>
      </c>
      <c r="M61" s="70">
        <f t="shared" si="13"/>
        <v>2.01031869989619e-5</v>
      </c>
      <c r="N61" s="70">
        <f t="shared" si="14"/>
        <v>0.0348530647711093</v>
      </c>
      <c r="O61" s="70">
        <f t="shared" si="15"/>
        <v>0.159812023408589</v>
      </c>
      <c r="P61" s="70">
        <f t="shared" si="16"/>
        <v>0.00667882619564208</v>
      </c>
      <c r="Q61" s="70">
        <f t="shared" si="17"/>
        <v>3.97879655707805e-7</v>
      </c>
      <c r="R61" s="70">
        <f t="shared" si="18"/>
        <v>1.45977282393076e-14</v>
      </c>
      <c r="S61" s="70">
        <f t="shared" si="19"/>
        <v>2.73274773198655e-25</v>
      </c>
      <c r="T61" s="70"/>
      <c r="U61" s="90"/>
    </row>
    <row r="62" s="13" customFormat="1" ht="18" customHeight="1" spans="9:21">
      <c r="I62" s="81">
        <f t="shared" si="9"/>
        <v>0.0675483708264866</v>
      </c>
      <c r="J62" s="38">
        <f t="shared" si="10"/>
        <v>0.258</v>
      </c>
      <c r="K62" s="70">
        <f t="shared" si="11"/>
        <v>0</v>
      </c>
      <c r="L62" s="70">
        <f t="shared" si="12"/>
        <v>9.01424953941153e-15</v>
      </c>
      <c r="M62" s="70">
        <f t="shared" si="13"/>
        <v>1.97030715286498e-7</v>
      </c>
      <c r="N62" s="70">
        <f t="shared" si="14"/>
        <v>0.00267933132424083</v>
      </c>
      <c r="O62" s="70">
        <f t="shared" si="15"/>
        <v>0.0545272065519626</v>
      </c>
      <c r="P62" s="70">
        <f t="shared" si="16"/>
        <v>0.0103367687502377</v>
      </c>
      <c r="Q62" s="70">
        <f t="shared" si="17"/>
        <v>4.86716771926575e-6</v>
      </c>
      <c r="R62" s="70">
        <f t="shared" si="18"/>
        <v>1.60193770796816e-12</v>
      </c>
      <c r="S62" s="70">
        <f t="shared" si="19"/>
        <v>2.78207780762523e-22</v>
      </c>
      <c r="T62" s="70"/>
      <c r="U62" s="90"/>
    </row>
    <row r="63" s="13" customFormat="1" ht="18" customHeight="1" spans="9:21">
      <c r="I63" s="81">
        <f t="shared" si="9"/>
        <v>0.00531224256949884</v>
      </c>
      <c r="J63" s="38">
        <f t="shared" si="10"/>
        <v>0.259</v>
      </c>
      <c r="K63" s="70">
        <f t="shared" si="11"/>
        <v>0</v>
      </c>
      <c r="L63" s="70">
        <f t="shared" si="12"/>
        <v>0</v>
      </c>
      <c r="M63" s="70">
        <f t="shared" si="13"/>
        <v>2.45494510658815e-10</v>
      </c>
      <c r="N63" s="70">
        <f t="shared" si="14"/>
        <v>2.75437832237682e-5</v>
      </c>
      <c r="O63" s="70">
        <f t="shared" si="15"/>
        <v>0.00307977764971333</v>
      </c>
      <c r="P63" s="70">
        <f t="shared" si="16"/>
        <v>0.00219756687857704</v>
      </c>
      <c r="Q63" s="70">
        <f t="shared" si="17"/>
        <v>7.3539914463064e-6</v>
      </c>
      <c r="R63" s="70">
        <f t="shared" si="18"/>
        <v>2.10438827926195e-11</v>
      </c>
      <c r="S63" s="70">
        <f t="shared" si="19"/>
        <v>3.33024877496909e-20</v>
      </c>
      <c r="T63" s="70"/>
      <c r="U63" s="90"/>
    </row>
    <row r="64" s="13" customFormat="1" ht="18" customHeight="1" spans="9:21">
      <c r="I64" s="81">
        <f t="shared" si="9"/>
        <v>0</v>
      </c>
      <c r="J64" s="38">
        <f t="shared" si="10"/>
        <v>0.26</v>
      </c>
      <c r="K64" s="70">
        <f t="shared" si="11"/>
        <v>0</v>
      </c>
      <c r="L64" s="70">
        <f t="shared" si="12"/>
        <v>0</v>
      </c>
      <c r="M64" s="70">
        <f t="shared" si="13"/>
        <v>0</v>
      </c>
      <c r="N64" s="70">
        <f t="shared" si="14"/>
        <v>0</v>
      </c>
      <c r="O64" s="70">
        <f t="shared" si="15"/>
        <v>0</v>
      </c>
      <c r="P64" s="70">
        <f t="shared" si="16"/>
        <v>0</v>
      </c>
      <c r="Q64" s="70">
        <f t="shared" si="17"/>
        <v>0</v>
      </c>
      <c r="R64" s="70">
        <f t="shared" si="18"/>
        <v>0</v>
      </c>
      <c r="S64" s="70">
        <f t="shared" si="19"/>
        <v>0</v>
      </c>
      <c r="T64" s="70"/>
      <c r="U64" s="90"/>
    </row>
    <row r="65" s="13" customFormat="1" ht="18" customHeight="1" spans="9:21">
      <c r="I65" s="81">
        <f t="shared" si="9"/>
        <v>0</v>
      </c>
      <c r="J65" s="38">
        <f t="shared" si="10"/>
        <v>0.261</v>
      </c>
      <c r="K65" s="70">
        <f t="shared" si="11"/>
        <v>0</v>
      </c>
      <c r="L65" s="70">
        <f t="shared" si="12"/>
        <v>0</v>
      </c>
      <c r="M65" s="70">
        <f t="shared" si="13"/>
        <v>0</v>
      </c>
      <c r="N65" s="70">
        <f t="shared" si="14"/>
        <v>0</v>
      </c>
      <c r="O65" s="70">
        <f t="shared" si="15"/>
        <v>0</v>
      </c>
      <c r="P65" s="70">
        <f t="shared" si="16"/>
        <v>0</v>
      </c>
      <c r="Q65" s="70">
        <f t="shared" si="17"/>
        <v>0</v>
      </c>
      <c r="R65" s="70">
        <f t="shared" si="18"/>
        <v>0</v>
      </c>
      <c r="S65" s="70">
        <f t="shared" si="19"/>
        <v>0</v>
      </c>
      <c r="T65" s="70"/>
      <c r="U65" s="90"/>
    </row>
    <row r="66" s="13" customFormat="1" ht="18" customHeight="1" spans="9:21">
      <c r="I66" s="81">
        <f t="shared" si="9"/>
        <v>0</v>
      </c>
      <c r="J66" s="38">
        <f t="shared" si="10"/>
        <v>0.262</v>
      </c>
      <c r="K66" s="70">
        <f t="shared" si="11"/>
        <v>0</v>
      </c>
      <c r="L66" s="70">
        <f t="shared" si="12"/>
        <v>0</v>
      </c>
      <c r="M66" s="70">
        <f t="shared" si="13"/>
        <v>0</v>
      </c>
      <c r="N66" s="70">
        <f t="shared" si="14"/>
        <v>0</v>
      </c>
      <c r="O66" s="70">
        <f t="shared" si="15"/>
        <v>0</v>
      </c>
      <c r="P66" s="70">
        <f t="shared" si="16"/>
        <v>0</v>
      </c>
      <c r="Q66" s="70">
        <f t="shared" si="17"/>
        <v>0</v>
      </c>
      <c r="R66" s="70">
        <f t="shared" si="18"/>
        <v>0</v>
      </c>
      <c r="S66" s="70">
        <f t="shared" si="19"/>
        <v>0</v>
      </c>
      <c r="T66" s="70"/>
      <c r="U66" s="90"/>
    </row>
    <row r="67" s="13" customFormat="1" ht="18" customHeight="1" spans="9:21">
      <c r="I67" s="81">
        <f t="shared" si="9"/>
        <v>0</v>
      </c>
      <c r="J67" s="38">
        <f t="shared" si="10"/>
        <v>0.263</v>
      </c>
      <c r="K67" s="70">
        <f t="shared" si="11"/>
        <v>0</v>
      </c>
      <c r="L67" s="70">
        <f t="shared" si="12"/>
        <v>0</v>
      </c>
      <c r="M67" s="70">
        <f t="shared" si="13"/>
        <v>0</v>
      </c>
      <c r="N67" s="70">
        <f t="shared" si="14"/>
        <v>0</v>
      </c>
      <c r="O67" s="70">
        <f t="shared" si="15"/>
        <v>0</v>
      </c>
      <c r="P67" s="70">
        <f t="shared" si="16"/>
        <v>0</v>
      </c>
      <c r="Q67" s="70">
        <f t="shared" si="17"/>
        <v>0</v>
      </c>
      <c r="R67" s="70">
        <f t="shared" si="18"/>
        <v>0</v>
      </c>
      <c r="S67" s="70">
        <f t="shared" si="19"/>
        <v>0</v>
      </c>
      <c r="T67" s="70"/>
      <c r="U67" s="90"/>
    </row>
    <row r="68" s="13" customFormat="1" ht="18" customHeight="1" spans="9:21">
      <c r="I68" s="81">
        <f t="shared" si="9"/>
        <v>0</v>
      </c>
      <c r="J68" s="38">
        <f t="shared" si="10"/>
        <v>0.264</v>
      </c>
      <c r="K68" s="70">
        <f t="shared" si="11"/>
        <v>0</v>
      </c>
      <c r="L68" s="70">
        <f t="shared" si="12"/>
        <v>0</v>
      </c>
      <c r="M68" s="70">
        <f t="shared" si="13"/>
        <v>0</v>
      </c>
      <c r="N68" s="70">
        <f t="shared" si="14"/>
        <v>0</v>
      </c>
      <c r="O68" s="70">
        <f t="shared" si="15"/>
        <v>0</v>
      </c>
      <c r="P68" s="70">
        <f t="shared" si="16"/>
        <v>0</v>
      </c>
      <c r="Q68" s="70">
        <f t="shared" si="17"/>
        <v>0</v>
      </c>
      <c r="R68" s="70">
        <f t="shared" si="18"/>
        <v>0</v>
      </c>
      <c r="S68" s="70">
        <f t="shared" si="19"/>
        <v>0</v>
      </c>
      <c r="T68" s="70"/>
      <c r="U68" s="90"/>
    </row>
    <row r="69" s="13" customFormat="1" ht="18" customHeight="1" spans="9:21">
      <c r="I69" s="81">
        <f t="shared" si="9"/>
        <v>0</v>
      </c>
      <c r="J69" s="38">
        <f t="shared" si="10"/>
        <v>0.265</v>
      </c>
      <c r="K69" s="70">
        <f t="shared" si="11"/>
        <v>0</v>
      </c>
      <c r="L69" s="70">
        <f t="shared" si="12"/>
        <v>0</v>
      </c>
      <c r="M69" s="70">
        <f t="shared" si="13"/>
        <v>0</v>
      </c>
      <c r="N69" s="70">
        <f t="shared" si="14"/>
        <v>0</v>
      </c>
      <c r="O69" s="70">
        <f t="shared" si="15"/>
        <v>0</v>
      </c>
      <c r="P69" s="70">
        <f t="shared" si="16"/>
        <v>0</v>
      </c>
      <c r="Q69" s="70">
        <f t="shared" si="17"/>
        <v>0</v>
      </c>
      <c r="R69" s="70">
        <f t="shared" si="18"/>
        <v>0</v>
      </c>
      <c r="S69" s="70">
        <f t="shared" si="19"/>
        <v>0</v>
      </c>
      <c r="T69" s="70"/>
      <c r="U69" s="90"/>
    </row>
    <row r="70" s="13" customFormat="1" ht="18" customHeight="1" spans="9:21">
      <c r="I70" s="81">
        <f t="shared" si="9"/>
        <v>0</v>
      </c>
      <c r="J70" s="38">
        <f t="shared" si="10"/>
        <v>0.266</v>
      </c>
      <c r="K70" s="70">
        <f t="shared" si="11"/>
        <v>0</v>
      </c>
      <c r="L70" s="70">
        <f t="shared" si="12"/>
        <v>0</v>
      </c>
      <c r="M70" s="70">
        <f t="shared" si="13"/>
        <v>0</v>
      </c>
      <c r="N70" s="70">
        <f t="shared" si="14"/>
        <v>0</v>
      </c>
      <c r="O70" s="70">
        <f t="shared" si="15"/>
        <v>0</v>
      </c>
      <c r="P70" s="70">
        <f t="shared" si="16"/>
        <v>0</v>
      </c>
      <c r="Q70" s="70">
        <f t="shared" si="17"/>
        <v>0</v>
      </c>
      <c r="R70" s="70">
        <f t="shared" si="18"/>
        <v>0</v>
      </c>
      <c r="S70" s="70">
        <f t="shared" si="19"/>
        <v>0</v>
      </c>
      <c r="T70" s="70"/>
      <c r="U70" s="90"/>
    </row>
    <row r="71" s="13" customFormat="1" ht="18" customHeight="1" spans="9:21">
      <c r="I71" s="97" t="s">
        <v>100</v>
      </c>
      <c r="J71" s="98"/>
      <c r="K71" s="99">
        <f t="shared" ref="K71:S71" si="20">SUM(K51:K70)</f>
        <v>3.28732124819393e-11</v>
      </c>
      <c r="L71" s="99">
        <f t="shared" si="20"/>
        <v>2.31182608425756e-5</v>
      </c>
      <c r="M71" s="99">
        <f t="shared" si="20"/>
        <v>0.0265538931591013</v>
      </c>
      <c r="N71" s="99">
        <f t="shared" si="20"/>
        <v>0.475866927211775</v>
      </c>
      <c r="O71" s="99">
        <f t="shared" si="20"/>
        <v>0.476817780542826</v>
      </c>
      <c r="P71" s="99">
        <f t="shared" si="20"/>
        <v>0.0207256514517056</v>
      </c>
      <c r="Q71" s="99">
        <f t="shared" si="20"/>
        <v>1.2629318215237e-5</v>
      </c>
      <c r="R71" s="99">
        <f t="shared" si="20"/>
        <v>2.26604590618247e-11</v>
      </c>
      <c r="S71" s="99">
        <f t="shared" si="20"/>
        <v>3.35809688862453e-20</v>
      </c>
      <c r="T71" s="99"/>
      <c r="U71" s="101">
        <f>SUM(K71:T71)</f>
        <v>0.999999999999999</v>
      </c>
    </row>
    <row r="72" ht="18" customHeight="1" spans="11:20">
      <c r="K72" s="67">
        <f>K50</f>
        <v>605</v>
      </c>
      <c r="L72" s="67">
        <f t="shared" ref="L72:T72" si="21">L50</f>
        <v>610</v>
      </c>
      <c r="M72" s="67">
        <f t="shared" si="21"/>
        <v>615</v>
      </c>
      <c r="N72" s="67">
        <f t="shared" si="21"/>
        <v>620</v>
      </c>
      <c r="O72" s="67">
        <f t="shared" si="21"/>
        <v>625</v>
      </c>
      <c r="P72" s="67">
        <f t="shared" si="21"/>
        <v>630</v>
      </c>
      <c r="Q72" s="67">
        <f t="shared" si="21"/>
        <v>635</v>
      </c>
      <c r="R72" s="67">
        <f t="shared" si="21"/>
        <v>640</v>
      </c>
      <c r="S72" s="67">
        <f t="shared" si="21"/>
        <v>645</v>
      </c>
      <c r="T72" s="67">
        <f t="shared" si="21"/>
        <v>650</v>
      </c>
    </row>
    <row r="73" ht="4.8" customHeight="1" spans="9:9">
      <c r="I73" s="100"/>
    </row>
    <row r="74" ht="4.8" customHeight="1" spans="9:9">
      <c r="I74" s="100"/>
    </row>
    <row r="75" ht="4.8" customHeight="1" spans="9:9">
      <c r="I75" s="100"/>
    </row>
    <row r="76" ht="26.4" customHeight="1" spans="1:17">
      <c r="A76" s="92" t="s">
        <v>101</v>
      </c>
      <c r="B76" s="126" t="s">
        <v>89</v>
      </c>
      <c r="C76" s="126" t="str">
        <f>C9</f>
        <v>芜湖</v>
      </c>
      <c r="D76" s="126" t="str">
        <f t="shared" ref="D76:Q76" si="22">D9</f>
        <v>和光同程</v>
      </c>
      <c r="E76" s="126" t="str">
        <f t="shared" si="22"/>
        <v>中润</v>
      </c>
      <c r="F76" s="126" t="str">
        <f t="shared" si="22"/>
        <v>新霖飞</v>
      </c>
      <c r="G76" s="126" t="str">
        <f t="shared" si="22"/>
        <v>通威</v>
      </c>
      <c r="H76" s="126" t="str">
        <f t="shared" si="22"/>
        <v>英发</v>
      </c>
      <c r="I76" s="126" t="str">
        <f t="shared" si="22"/>
        <v>日月新能</v>
      </c>
      <c r="J76" s="126" t="str">
        <f t="shared" si="22"/>
        <v>捷泰</v>
      </c>
      <c r="K76" s="126" t="str">
        <f t="shared" si="22"/>
        <v>中环低碳</v>
      </c>
      <c r="L76" s="126" t="str">
        <f t="shared" si="22"/>
        <v>润阳</v>
      </c>
      <c r="M76" s="126" t="str">
        <f t="shared" si="22"/>
        <v>赛福天</v>
      </c>
      <c r="N76" s="126" t="str">
        <f t="shared" si="22"/>
        <v>弘元</v>
      </c>
      <c r="O76" s="126" t="str">
        <f t="shared" si="22"/>
        <v>厂家13</v>
      </c>
      <c r="P76" s="126">
        <f t="shared" si="22"/>
        <v>0</v>
      </c>
      <c r="Q76" s="126">
        <f t="shared" si="22"/>
        <v>0</v>
      </c>
    </row>
    <row r="77" ht="17.4" customHeight="1" spans="1:17">
      <c r="A77" s="92"/>
      <c r="B77" s="94">
        <f>C29</f>
        <v>0.247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129"/>
      <c r="Q77" s="129"/>
    </row>
    <row r="78" ht="17.4" customHeight="1" spans="1:17">
      <c r="A78" s="92"/>
      <c r="B78" s="94">
        <f t="shared" ref="B78:B96" si="23">C30</f>
        <v>0.248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129"/>
      <c r="Q78" s="129"/>
    </row>
    <row r="79" ht="17.4" customHeight="1" spans="1:17">
      <c r="A79" s="92"/>
      <c r="B79" s="94">
        <f t="shared" si="23"/>
        <v>0.249</v>
      </c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129"/>
      <c r="Q79" s="129"/>
    </row>
    <row r="80" ht="17.4" customHeight="1" spans="1:17">
      <c r="A80" s="92"/>
      <c r="B80" s="94">
        <f t="shared" si="23"/>
        <v>0.25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129"/>
      <c r="Q80" s="129"/>
    </row>
    <row r="81" ht="17.4" customHeight="1" spans="1:17">
      <c r="A81" s="92"/>
      <c r="B81" s="94">
        <f t="shared" si="23"/>
        <v>0.251</v>
      </c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129"/>
      <c r="Q81" s="129"/>
    </row>
    <row r="82" ht="17.4" customHeight="1" spans="1:17">
      <c r="A82" s="92"/>
      <c r="B82" s="94">
        <f t="shared" si="23"/>
        <v>0.252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129"/>
      <c r="Q82" s="129"/>
    </row>
    <row r="83" ht="17.4" customHeight="1" spans="1:17">
      <c r="A83" s="92"/>
      <c r="B83" s="94">
        <f t="shared" si="23"/>
        <v>0.253</v>
      </c>
      <c r="C83" s="95">
        <v>0.0292160166686159</v>
      </c>
      <c r="D83" s="95"/>
      <c r="E83" s="95"/>
      <c r="F83" s="95"/>
      <c r="G83" s="95"/>
      <c r="H83" s="95"/>
      <c r="I83" s="95"/>
      <c r="J83" s="95"/>
      <c r="K83" s="95"/>
      <c r="L83" s="95">
        <v>0.0681484587963934</v>
      </c>
      <c r="M83" s="95"/>
      <c r="N83" s="95"/>
      <c r="O83" s="95"/>
      <c r="P83" s="95"/>
      <c r="Q83" s="129"/>
    </row>
    <row r="84" ht="17.4" customHeight="1" spans="1:17">
      <c r="A84" s="92"/>
      <c r="B84" s="94">
        <f t="shared" si="23"/>
        <v>0.254</v>
      </c>
      <c r="C84" s="95">
        <v>0.11510335337567</v>
      </c>
      <c r="D84" s="95"/>
      <c r="E84" s="95"/>
      <c r="F84" s="95"/>
      <c r="G84" s="95"/>
      <c r="H84" s="95"/>
      <c r="I84" s="95"/>
      <c r="J84" s="95"/>
      <c r="K84" s="95"/>
      <c r="L84" s="95">
        <v>0.150975047179702</v>
      </c>
      <c r="M84" s="95"/>
      <c r="N84" s="95"/>
      <c r="O84" s="95"/>
      <c r="P84" s="95"/>
      <c r="Q84" s="129"/>
    </row>
    <row r="85" ht="17.4" customHeight="1" spans="1:17">
      <c r="A85" s="92"/>
      <c r="B85" s="94">
        <f t="shared" si="23"/>
        <v>0.255</v>
      </c>
      <c r="C85" s="95">
        <v>0.216170525975891</v>
      </c>
      <c r="D85" s="95">
        <v>0.138819095477387</v>
      </c>
      <c r="E85" s="95">
        <v>0.0703047509850491</v>
      </c>
      <c r="F85" s="95"/>
      <c r="G85" s="95">
        <v>0.0416666666666667</v>
      </c>
      <c r="H85" s="95">
        <v>0.170212765957447</v>
      </c>
      <c r="I85" s="95"/>
      <c r="J85" s="95"/>
      <c r="K85" s="95"/>
      <c r="L85" s="95">
        <v>0.356049486265464</v>
      </c>
      <c r="M85" s="95"/>
      <c r="N85" s="95"/>
      <c r="O85" s="95"/>
      <c r="P85" s="95"/>
      <c r="Q85" s="129"/>
    </row>
    <row r="86" ht="17.4" customHeight="1" spans="1:17">
      <c r="A86" s="92"/>
      <c r="B86" s="94">
        <f t="shared" si="23"/>
        <v>0.256</v>
      </c>
      <c r="C86" s="95">
        <v>0.365285075133589</v>
      </c>
      <c r="D86" s="95">
        <v>0.463463149078727</v>
      </c>
      <c r="E86" s="95">
        <v>0.207342596889702</v>
      </c>
      <c r="F86" s="95"/>
      <c r="G86" s="95">
        <v>0.25</v>
      </c>
      <c r="H86" s="95">
        <v>0.542553191489362</v>
      </c>
      <c r="I86" s="95"/>
      <c r="J86" s="95"/>
      <c r="K86" s="95"/>
      <c r="L86" s="95">
        <v>0.348081358775425</v>
      </c>
      <c r="M86" s="95"/>
      <c r="N86" s="95"/>
      <c r="O86" s="95"/>
      <c r="P86" s="95"/>
      <c r="Q86" s="129"/>
    </row>
    <row r="87" ht="17.4" customHeight="1" spans="1:17">
      <c r="A87" s="92"/>
      <c r="B87" s="94">
        <f t="shared" si="23"/>
        <v>0.257</v>
      </c>
      <c r="C87" s="95">
        <v>0.201364415450248</v>
      </c>
      <c r="D87" s="95">
        <v>0.332600502512563</v>
      </c>
      <c r="E87" s="95">
        <v>0.458582439281847</v>
      </c>
      <c r="F87" s="95"/>
      <c r="G87" s="95">
        <v>0.5</v>
      </c>
      <c r="H87" s="95">
        <v>0.287234042553192</v>
      </c>
      <c r="I87" s="95"/>
      <c r="J87" s="95"/>
      <c r="K87" s="95"/>
      <c r="L87" s="95">
        <v>0.0731809603690501</v>
      </c>
      <c r="M87" s="95"/>
      <c r="N87" s="95"/>
      <c r="O87" s="95"/>
      <c r="P87" s="95"/>
      <c r="Q87" s="129"/>
    </row>
    <row r="88" ht="17.4" customHeight="1" spans="1:17">
      <c r="A88" s="92"/>
      <c r="B88" s="94">
        <f t="shared" si="23"/>
        <v>0.258</v>
      </c>
      <c r="C88" s="95">
        <v>0.0675483708264866</v>
      </c>
      <c r="D88" s="95">
        <v>0.0651172529313233</v>
      </c>
      <c r="E88" s="95">
        <v>0.248086775317809</v>
      </c>
      <c r="F88" s="95"/>
      <c r="G88" s="95">
        <v>0.208333333333333</v>
      </c>
      <c r="H88" s="95">
        <v>0</v>
      </c>
      <c r="I88" s="95"/>
      <c r="J88" s="95"/>
      <c r="K88" s="95"/>
      <c r="L88" s="95">
        <v>0.00356468861396519</v>
      </c>
      <c r="M88" s="95"/>
      <c r="N88" s="95"/>
      <c r="O88" s="95"/>
      <c r="P88" s="95"/>
      <c r="Q88" s="129"/>
    </row>
    <row r="89" ht="17.4" customHeight="1" spans="1:17">
      <c r="A89" s="92"/>
      <c r="B89" s="94">
        <f t="shared" si="23"/>
        <v>0.259</v>
      </c>
      <c r="C89" s="95">
        <v>0.00531224256949884</v>
      </c>
      <c r="D89" s="95">
        <v>0</v>
      </c>
      <c r="E89" s="95">
        <v>0.0153603960215846</v>
      </c>
      <c r="F89" s="95"/>
      <c r="G89" s="95">
        <v>0</v>
      </c>
      <c r="H89" s="95"/>
      <c r="I89" s="95"/>
      <c r="J89" s="95"/>
      <c r="K89" s="95"/>
      <c r="L89" s="95"/>
      <c r="M89" s="95"/>
      <c r="N89" s="95"/>
      <c r="O89" s="95"/>
      <c r="P89" s="95"/>
      <c r="Q89" s="129"/>
    </row>
    <row r="90" ht="17.4" customHeight="1" spans="1:17">
      <c r="A90" s="92"/>
      <c r="B90" s="94">
        <f t="shared" si="23"/>
        <v>0.26</v>
      </c>
      <c r="C90" s="95"/>
      <c r="D90" s="95"/>
      <c r="E90" s="95">
        <v>0.000323041504008445</v>
      </c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129"/>
    </row>
    <row r="91" ht="17.4" customHeight="1" spans="1:17">
      <c r="A91" s="92"/>
      <c r="B91" s="94">
        <f t="shared" si="23"/>
        <v>0.261</v>
      </c>
      <c r="C91" s="95"/>
      <c r="D91" s="95"/>
      <c r="E91" s="95">
        <v>0</v>
      </c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129"/>
      <c r="Q91" s="129"/>
    </row>
    <row r="92" ht="17.4" customHeight="1" spans="1:17">
      <c r="A92" s="92"/>
      <c r="B92" s="94">
        <f t="shared" si="23"/>
        <v>0.262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129"/>
      <c r="Q92" s="129"/>
    </row>
    <row r="93" ht="17.4" customHeight="1" spans="1:17">
      <c r="A93" s="92"/>
      <c r="B93" s="94">
        <f t="shared" si="23"/>
        <v>0.263</v>
      </c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129"/>
      <c r="Q93" s="129"/>
    </row>
    <row r="94" ht="17.4" customHeight="1" spans="1:17">
      <c r="A94" s="92"/>
      <c r="B94" s="94">
        <f t="shared" si="23"/>
        <v>0.264</v>
      </c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129"/>
      <c r="Q94" s="129"/>
    </row>
    <row r="95" ht="17.4" customHeight="1" spans="1:17">
      <c r="A95" s="92"/>
      <c r="B95" s="94">
        <f t="shared" si="23"/>
        <v>0.265</v>
      </c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129"/>
      <c r="Q95" s="129"/>
    </row>
    <row r="96" ht="17.4" customHeight="1" spans="1:17">
      <c r="A96" s="92"/>
      <c r="B96" s="94">
        <f t="shared" si="23"/>
        <v>0.266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129"/>
      <c r="Q96" s="129"/>
    </row>
  </sheetData>
  <sheetProtection formatCells="0" formatColumns="0" formatRows="0" insertRows="0" insertColumns="0" insertHyperlinks="0" deleteColumns="0" deleteRows="0" sort="0" autoFilter="0" pivotTables="0"/>
  <mergeCells count="22">
    <mergeCell ref="A1:F1"/>
    <mergeCell ref="G1:I1"/>
    <mergeCell ref="L1:O1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{fee9f10f-4d1d-4ba6-b942-ee052f1f3075}</x14:id>
        </ext>
      </extLst>
    </cfRule>
  </conditionalFormatting>
  <conditionalFormatting sqref="D3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{465f1815-aa7f-4b57-9ceb-a7a5cd35ede7}</x14:id>
        </ext>
      </extLst>
    </cfRule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{9324bca3-1f61-466f-9a7a-1fdeea52fca3}</x14:id>
        </ext>
      </extLst>
    </cfRule>
  </conditionalFormatting>
  <conditionalFormatting sqref="D33:D4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{014bdd48-cf87-4f1e-a240-65fe0b94f989}</x14:id>
        </ext>
      </extLst>
    </cfRule>
  </conditionalFormatting>
  <conditionalFormatting sqref="D45:D48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{e8d73ba0-5511-413b-9a2f-bb94c16779b3}</x14:id>
        </ext>
      </extLst>
    </cfRule>
    <cfRule type="dataBar" priority="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{f949ca02-5c49-4226-b287-179c1b55e446}</x14:id>
        </ext>
      </extLst>
    </cfRule>
  </conditionalFormatting>
  <conditionalFormatting sqref="D49:D50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{23aa893e-9489-43e5-a167-cf9e4adc2aa2}</x14:id>
        </ext>
      </extLst>
    </cfRule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{75b1a636-6dca-4de1-bc44-2e3f443e3900}</x14:id>
        </ext>
      </extLst>
    </cfRule>
  </conditionalFormatting>
  <conditionalFormatting sqref="D29:D32 D45:D48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{bc7d5895-c79f-4038-9e8e-66da93ddc220}</x14:id>
        </ext>
      </extLst>
    </cfRule>
  </conditionalFormatting>
  <conditionalFormatting sqref="K29:R4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{fc48648d-9b6a-464f-a6b7-bbe37e1c2ec2}</x14:id>
        </ext>
      </extLst>
    </cfRule>
  </conditionalFormatting>
  <conditionalFormatting sqref="K29:T48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{c993a153-7c9a-437f-b357-ee82a7745654}</x14:id>
        </ext>
      </extLst>
    </cfRule>
  </conditionalFormatting>
  <conditionalFormatting sqref="K29:S48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{ad15be1a-6812-4434-bc80-a47235a7a19d}</x14:id>
        </ext>
      </extLst>
    </cfRule>
  </conditionalFormatting>
  <conditionalFormatting sqref="M29:O30 O35 N31:O34 M31:M48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{c7a1d67f-6a8d-4251-95a4-038564aaed59}</x14:id>
        </ext>
      </extLst>
    </cfRule>
    <cfRule type="colorScale" priority="20">
      <colorScale>
        <cfvo type="percent" val="0"/>
        <cfvo type="percent" val="0"/>
        <color theme="0"/>
        <color theme="0"/>
      </colorScale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{107acc5a-8ff8-4a97-81ad-ccad19428c34}</x14:id>
        </ext>
      </extLst>
    </cfRule>
    <cfRule type="dataBar" priority="2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{b45f8d4c-19a1-4e47-b987-53ab107a5403}</x14:id>
        </ext>
      </extLst>
    </cfRule>
    <cfRule type="dataBar" priority="2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{c993af52-d0e0-4b91-a872-e4762a691df7}</x14:id>
        </ext>
      </extLst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{97bbed15-d1b8-4a9f-a8a7-37d8fde9a4cf}</x14:id>
        </ext>
      </extLst>
    </cfRule>
  </conditionalFormatting>
  <conditionalFormatting sqref="P29:R35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{c80593be-ed18-4105-baca-98c9ccfbd023}</x14:id>
        </ext>
      </extLst>
    </cfRule>
    <cfRule type="colorScale" priority="13">
      <colorScale>
        <cfvo type="percent" val="0"/>
        <cfvo type="percent" val="0"/>
        <color theme="0"/>
        <color theme="0"/>
      </colorScale>
    </cfRule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{63b92507-75bf-4e2d-98c8-faebfd4ec8a6}</x14:id>
        </ext>
      </extLst>
    </cfRule>
    <cfRule type="dataBar" priority="1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{4079f266-20f8-4be2-9483-29231e9029ca}</x14:id>
        </ext>
      </extLst>
    </cfRule>
    <cfRule type="dataBar" priority="1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{fad3a995-29fb-4e83-b329-2b591f6a51de}</x14:id>
        </ext>
      </extLst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{146b72cf-692a-4a92-85f5-841a9283fa38}</x14:id>
        </ext>
      </extLst>
    </cfRule>
  </conditionalFormatting>
  <conditionalFormatting sqref="S29:T48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{18635d2c-4948-4640-acdc-1b3d42243931}</x14:id>
        </ext>
      </extLst>
    </cfRule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{d0457ef0-9f64-4624-b8a6-86e6da98fe1a}</x14:id>
        </ext>
      </extLst>
    </cfRule>
    <cfRule type="colorScale" priority="34">
      <colorScale>
        <cfvo type="percent" val="0"/>
        <cfvo type="percent" val="0"/>
        <color theme="0"/>
        <color theme="0"/>
      </colorScale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{78cb636d-4591-4d8b-b113-1cf741d62c9b}</x14:id>
        </ext>
      </extLst>
    </cfRule>
    <cfRule type="dataBar" priority="3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{f6d75318-c05e-4875-8b6b-95846150c95c}</x14:id>
        </ext>
      </extLst>
    </cfRule>
    <cfRule type="dataBar" priority="3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{54a9c4a0-0ebb-4338-b356-770ca0a1916a}</x14:id>
        </ext>
      </extLst>
    </cfRule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{c102c36b-66c7-427a-8363-badcaf5effc6}</x14:id>
        </ext>
      </extLst>
    </cfRule>
  </conditionalFormatting>
  <conditionalFormatting sqref="P36:R48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{be0b66c7-44fc-4c9c-8170-4648a7b2a504}</x14:id>
        </ext>
      </extLst>
    </cfRule>
    <cfRule type="colorScale" priority="26">
      <colorScale>
        <cfvo type="percent" val="0"/>
        <cfvo type="percent" val="0"/>
        <color theme="0"/>
        <color theme="0"/>
      </colorScale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{5e6f420d-ff5a-4427-895e-0a1a476bf16c}</x14:id>
        </ext>
      </extLst>
    </cfRule>
    <cfRule type="dataBar" priority="2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{f7771eae-8864-40f7-a25a-e407d1190491}</x14:id>
        </ext>
      </extLst>
    </cfRule>
    <cfRule type="dataBar" priority="2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{c2f76287-8757-40ef-871c-d85571ceebb2}</x14:id>
        </ext>
      </extLst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{4ee8cfce-9918-4f10-a170-821fb65f4725}</x14:id>
        </ext>
      </extLst>
    </cfRule>
  </conditionalFormatting>
  <conditionalFormatting sqref="C77:Q9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{aa98b785-b961-4d53-ad31-475b3bb2ad6d}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e9f10f-4d1d-4ba6-b942-ee052f1f3075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465f1815-aa7f-4b57-9ceb-a7a5cd35ede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324bca3-1f61-466f-9a7a-1fdeea52fc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014bdd48-cf87-4f1e-a240-65fe0b94f98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e8d73ba0-5511-413b-9a2f-bb94c16779b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949ca02-5c49-4226-b287-179c1b55e44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23aa893e-9489-43e5-a167-cf9e4adc2a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5b1a636-6dca-4de1-bc44-2e3f443e39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bc7d5895-c79f-4038-9e8e-66da93ddc22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fc48648d-9b6a-464f-a6b7-bbe37e1c2ec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c993a153-7c9a-437f-b357-ee82a77456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ad15be1a-6812-4434-bc80-a47235a7a1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</xm:sqref>
        </x14:conditionalFormatting>
        <x14:conditionalFormatting xmlns:xm="http://schemas.microsoft.com/office/excel/2006/main">
          <x14:cfRule type="dataBar" id="{c7a1d67f-6a8d-4251-95a4-038564aaed5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107acc5a-8ff8-4a97-81ad-ccad19428c3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45f8d4c-19a1-4e47-b987-53ab107a540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c993af52-d0e0-4b91-a872-e4762a691df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7bbed15-d1b8-4a9f-a8a7-37d8fde9a4c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c80593be-ed18-4105-baca-98c9ccfbd0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63b92507-75bf-4e2d-98c8-faebfd4ec8a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079f266-20f8-4be2-9483-29231e9029c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ad3a995-29fb-4e83-b329-2b591f6a51d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46b72cf-692a-4a92-85f5-841a9283fa3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18635d2c-4948-4640-acdc-1b3d422439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d0457ef0-9f64-4624-b8a6-86e6da98fe1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78cb636d-4591-4d8b-b113-1cf741d62c9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6d75318-c05e-4875-8b6b-95846150c95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4a9c4a0-0ebb-4338-b356-770ca0a1916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c102c36b-66c7-427a-8363-badcaf5effc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be0b66c7-44fc-4c9c-8170-4648a7b2a5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5e6f420d-ff5a-4427-895e-0a1a476bf16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7771eae-8864-40f7-a25a-e407d119049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c2f76287-8757-40ef-871c-d85571ceebb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ee8cfce-9918-4f10-a170-821fb65f472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aa98b785-b961-4d53-ad31-475b3bb2ad6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C77:Q96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tabColor rgb="FFFF0000"/>
  </sheetPr>
  <dimension ref="A1:Y96"/>
  <sheetViews>
    <sheetView showGridLines="0" zoomScale="70" zoomScaleNormal="70" topLeftCell="A7" workbookViewId="0">
      <selection activeCell="S35" sqref="S35"/>
    </sheetView>
  </sheetViews>
  <sheetFormatPr defaultColWidth="8.44444444444444" defaultRowHeight="13.2"/>
  <cols>
    <col min="1" max="19" width="10.5555555555556" style="16" customWidth="1"/>
    <col min="20" max="20" width="10.5555555555556" style="16" hidden="1" customWidth="1"/>
    <col min="21" max="21" width="10.5555555555556" style="16" customWidth="1"/>
    <col min="22" max="23" width="17.1111111111111" style="16"/>
    <col min="24" max="16384" width="8.44444444444444" style="16"/>
  </cols>
  <sheetData>
    <row r="1" s="12" customFormat="1" ht="40.8" customHeight="1" spans="1:21">
      <c r="A1" s="17" t="s">
        <v>117</v>
      </c>
      <c r="B1" s="17"/>
      <c r="C1" s="17"/>
      <c r="D1" s="17"/>
      <c r="E1" s="17"/>
      <c r="F1" s="17"/>
      <c r="G1" s="18" t="s">
        <v>118</v>
      </c>
      <c r="H1" s="18"/>
      <c r="I1" s="18"/>
      <c r="J1" s="18">
        <v>633.6</v>
      </c>
      <c r="K1" s="58" t="s">
        <v>2</v>
      </c>
      <c r="L1" s="58" t="s">
        <v>3</v>
      </c>
      <c r="M1" s="58"/>
      <c r="N1" s="58"/>
      <c r="O1" s="58"/>
      <c r="P1" s="120" t="s">
        <v>119</v>
      </c>
      <c r="Q1" s="82"/>
      <c r="R1" s="82"/>
      <c r="S1" s="82"/>
      <c r="T1" s="82"/>
      <c r="U1" s="82"/>
    </row>
    <row r="2" ht="1.95" customHeight="1" spans="8:21">
      <c r="H2" s="19"/>
      <c r="P2" s="12"/>
      <c r="Q2" s="82"/>
      <c r="R2" s="82"/>
      <c r="S2" s="82"/>
      <c r="T2" s="82"/>
      <c r="U2" s="82"/>
    </row>
    <row r="3" s="13" customFormat="1" ht="21.9" customHeight="1" spans="1:25">
      <c r="A3" s="20" t="s">
        <v>4</v>
      </c>
      <c r="B3" s="20">
        <v>0</v>
      </c>
      <c r="C3" s="24">
        <v>0.26</v>
      </c>
      <c r="D3" s="10">
        <v>0.24</v>
      </c>
      <c r="E3" s="10">
        <v>0.23</v>
      </c>
      <c r="F3" s="10">
        <v>0.28</v>
      </c>
      <c r="G3" s="10" t="s">
        <v>6</v>
      </c>
      <c r="H3" s="10" t="s">
        <v>7</v>
      </c>
      <c r="I3" s="10" t="s">
        <v>8</v>
      </c>
      <c r="J3" s="10" t="s">
        <v>9</v>
      </c>
      <c r="K3" s="10" t="s">
        <v>10</v>
      </c>
      <c r="L3" s="10" t="s">
        <v>11</v>
      </c>
      <c r="M3" s="10" t="s">
        <v>12</v>
      </c>
      <c r="N3" s="10" t="s">
        <v>13</v>
      </c>
      <c r="O3" s="10" t="s">
        <v>14</v>
      </c>
      <c r="P3" s="59"/>
      <c r="Q3" s="83"/>
      <c r="R3" s="83"/>
      <c r="S3" s="83"/>
      <c r="T3" s="83"/>
      <c r="U3" s="83"/>
      <c r="V3" s="84"/>
      <c r="W3" s="84"/>
      <c r="X3" s="84"/>
      <c r="Y3" s="84"/>
    </row>
    <row r="4" s="13" customFormat="1" ht="21.9" customHeight="1" spans="1:25">
      <c r="A4" s="20"/>
      <c r="B4" s="20"/>
      <c r="C4" s="24">
        <v>0</v>
      </c>
      <c r="D4" s="10">
        <v>-2</v>
      </c>
      <c r="E4" s="10">
        <v>-3</v>
      </c>
      <c r="F4" s="10">
        <v>1.5</v>
      </c>
      <c r="G4" s="10"/>
      <c r="H4" s="10"/>
      <c r="I4" s="10"/>
      <c r="J4" s="10"/>
      <c r="K4" s="10"/>
      <c r="L4" s="10"/>
      <c r="M4" s="10"/>
      <c r="N4" s="10"/>
      <c r="O4" s="10"/>
      <c r="P4" s="59"/>
      <c r="Q4" s="83"/>
      <c r="R4" s="83"/>
      <c r="S4" s="83"/>
      <c r="T4" s="83"/>
      <c r="U4" s="83"/>
      <c r="V4" s="84"/>
      <c r="W4" s="84"/>
      <c r="X4" s="84"/>
      <c r="Y4" s="84"/>
    </row>
    <row r="5" ht="1.95" customHeight="1" spans="16:21">
      <c r="P5" s="12"/>
      <c r="Q5" s="82"/>
      <c r="R5" s="82"/>
      <c r="S5" s="82"/>
      <c r="T5" s="82"/>
      <c r="U5" s="82"/>
    </row>
    <row r="6" s="13" customFormat="1" ht="27" customHeight="1" spans="1:25">
      <c r="A6" s="20" t="s">
        <v>15</v>
      </c>
      <c r="B6" s="20">
        <v>0</v>
      </c>
      <c r="C6" s="24" t="s">
        <v>108</v>
      </c>
      <c r="D6" s="10" t="s">
        <v>19</v>
      </c>
      <c r="E6" s="10" t="s">
        <v>18</v>
      </c>
      <c r="F6" s="10" t="s">
        <v>120</v>
      </c>
      <c r="G6" s="10" t="s">
        <v>121</v>
      </c>
      <c r="H6" s="10" t="s">
        <v>122</v>
      </c>
      <c r="I6" s="10" t="s">
        <v>22</v>
      </c>
      <c r="J6" s="10" t="s">
        <v>23</v>
      </c>
      <c r="K6" s="10" t="s">
        <v>24</v>
      </c>
      <c r="L6" s="10" t="s">
        <v>25</v>
      </c>
      <c r="M6" s="10" t="s">
        <v>26</v>
      </c>
      <c r="N6" s="10" t="s">
        <v>27</v>
      </c>
      <c r="O6" s="10" t="s">
        <v>28</v>
      </c>
      <c r="P6" s="59"/>
      <c r="Q6" s="83"/>
      <c r="R6" s="83"/>
      <c r="S6" s="83"/>
      <c r="T6" s="83"/>
      <c r="U6" s="83"/>
      <c r="V6" s="84"/>
      <c r="W6" s="84"/>
      <c r="X6" s="84"/>
      <c r="Y6" s="84"/>
    </row>
    <row r="7" s="13" customFormat="1" ht="24.6" customHeight="1" spans="1:25">
      <c r="A7" s="20"/>
      <c r="B7" s="20"/>
      <c r="C7" s="24">
        <v>0</v>
      </c>
      <c r="D7" s="10">
        <v>-1.4</v>
      </c>
      <c r="E7" s="10">
        <v>-2.5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59"/>
      <c r="Q7" s="83"/>
      <c r="R7" s="83"/>
      <c r="S7" s="83"/>
      <c r="T7" s="83"/>
      <c r="U7" s="83"/>
      <c r="V7" s="84"/>
      <c r="W7" s="84"/>
      <c r="X7" s="84"/>
      <c r="Y7" s="84"/>
    </row>
    <row r="8" ht="1.95" customHeight="1" spans="8:21">
      <c r="H8" s="118"/>
      <c r="P8" s="12"/>
      <c r="Q8" s="82"/>
      <c r="R8" s="82"/>
      <c r="S8" s="82"/>
      <c r="T8" s="82"/>
      <c r="U8" s="82"/>
    </row>
    <row r="9" s="13" customFormat="1" ht="22.2" customHeight="1" spans="1:25">
      <c r="A9" s="20" t="s">
        <v>29</v>
      </c>
      <c r="B9" s="20">
        <v>0</v>
      </c>
      <c r="C9" s="24" t="s">
        <v>123</v>
      </c>
      <c r="D9" s="10" t="s">
        <v>124</v>
      </c>
      <c r="E9" s="10" t="s">
        <v>125</v>
      </c>
      <c r="F9" s="111" t="s">
        <v>32</v>
      </c>
      <c r="G9" s="111" t="s">
        <v>36</v>
      </c>
      <c r="H9" s="111" t="s">
        <v>110</v>
      </c>
      <c r="I9" s="111" t="s">
        <v>126</v>
      </c>
      <c r="J9" s="111" t="s">
        <v>127</v>
      </c>
      <c r="K9" s="10" t="s">
        <v>128</v>
      </c>
      <c r="L9" s="10" t="s">
        <v>129</v>
      </c>
      <c r="M9" s="10" t="s">
        <v>40</v>
      </c>
      <c r="N9" s="10" t="s">
        <v>41</v>
      </c>
      <c r="O9" s="10" t="s">
        <v>42</v>
      </c>
      <c r="P9" s="65"/>
      <c r="Q9" s="60"/>
      <c r="R9" s="84"/>
      <c r="S9" s="84"/>
      <c r="T9" s="84"/>
      <c r="U9" s="84"/>
      <c r="V9" s="84"/>
      <c r="W9" s="84"/>
      <c r="X9" s="84"/>
      <c r="Y9" s="84"/>
    </row>
    <row r="10" s="13" customFormat="1" ht="22.2" customHeight="1" spans="1:25">
      <c r="A10" s="20"/>
      <c r="B10" s="20"/>
      <c r="C10" s="24">
        <v>0</v>
      </c>
      <c r="D10" s="10">
        <v>0</v>
      </c>
      <c r="E10" s="10">
        <v>0</v>
      </c>
      <c r="F10" s="112">
        <v>2.7</v>
      </c>
      <c r="G10" s="111">
        <v>-0.4</v>
      </c>
      <c r="H10" s="111">
        <v>-1</v>
      </c>
      <c r="I10" s="111">
        <v>1.4</v>
      </c>
      <c r="J10" s="111">
        <v>5.2</v>
      </c>
      <c r="K10" s="121"/>
      <c r="L10" s="121"/>
      <c r="M10" s="121"/>
      <c r="N10" s="121"/>
      <c r="O10" s="121"/>
      <c r="P10" s="60"/>
      <c r="Q10" s="60"/>
      <c r="R10" s="84"/>
      <c r="S10" s="84"/>
      <c r="T10" s="84"/>
      <c r="U10" s="84"/>
      <c r="V10" s="84"/>
      <c r="W10" s="84"/>
      <c r="X10" s="84"/>
      <c r="Y10" s="84"/>
    </row>
    <row r="11" ht="1.95" customHeight="1" spans="16:21">
      <c r="P11" s="12"/>
      <c r="Q11" s="82"/>
      <c r="R11" s="82"/>
      <c r="S11" s="82"/>
      <c r="T11" s="82"/>
      <c r="U11" s="82"/>
    </row>
    <row r="12" s="13" customFormat="1" ht="25.2" customHeight="1" spans="1:25">
      <c r="A12" s="20" t="s">
        <v>43</v>
      </c>
      <c r="B12" s="20">
        <v>0</v>
      </c>
      <c r="C12" s="24" t="s">
        <v>114</v>
      </c>
      <c r="D12" s="10" t="s">
        <v>115</v>
      </c>
      <c r="E12" s="10" t="s">
        <v>46</v>
      </c>
      <c r="F12" s="10" t="s">
        <v>5</v>
      </c>
      <c r="G12" s="10" t="s">
        <v>6</v>
      </c>
      <c r="H12" s="10" t="s">
        <v>7</v>
      </c>
      <c r="I12" s="10" t="s">
        <v>8</v>
      </c>
      <c r="J12" s="10" t="s">
        <v>9</v>
      </c>
      <c r="K12" s="10" t="s">
        <v>10</v>
      </c>
      <c r="L12" s="10" t="s">
        <v>11</v>
      </c>
      <c r="M12" s="10" t="s">
        <v>12</v>
      </c>
      <c r="N12" s="10" t="s">
        <v>13</v>
      </c>
      <c r="O12" s="10" t="s">
        <v>14</v>
      </c>
      <c r="P12" s="62"/>
      <c r="Q12" s="83"/>
      <c r="R12" s="83"/>
      <c r="S12" s="83"/>
      <c r="T12" s="83"/>
      <c r="U12" s="83"/>
      <c r="V12" s="84"/>
      <c r="W12" s="84"/>
      <c r="X12" s="84"/>
      <c r="Y12" s="84"/>
    </row>
    <row r="13" s="13" customFormat="1" ht="21.9" customHeight="1" spans="1:25">
      <c r="A13" s="20"/>
      <c r="B13" s="20"/>
      <c r="C13" s="24">
        <v>0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59"/>
      <c r="Q13" s="83"/>
      <c r="R13" s="83"/>
      <c r="S13" s="83"/>
      <c r="T13" s="83"/>
      <c r="U13" s="83"/>
      <c r="V13" s="84"/>
      <c r="W13" s="84"/>
      <c r="X13" s="84"/>
      <c r="Y13" s="84"/>
    </row>
    <row r="14" s="13" customFormat="1" ht="21.9" customHeight="1" spans="1:25">
      <c r="A14" s="20" t="s">
        <v>47</v>
      </c>
      <c r="B14" s="20">
        <v>38184</v>
      </c>
      <c r="C14" s="24">
        <v>38184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59"/>
      <c r="Q14" s="83"/>
      <c r="R14" s="83"/>
      <c r="S14" s="83"/>
      <c r="T14" s="83"/>
      <c r="U14" s="83"/>
      <c r="V14" s="84"/>
      <c r="W14" s="84"/>
      <c r="X14" s="84"/>
      <c r="Y14" s="84"/>
    </row>
    <row r="15" s="13" customFormat="1" ht="21.9" customHeight="1" spans="1:25">
      <c r="A15" s="20" t="s">
        <v>48</v>
      </c>
      <c r="B15" s="20">
        <v>1.8</v>
      </c>
      <c r="C15" s="24">
        <v>1.8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9"/>
      <c r="Q15" s="83"/>
      <c r="R15" s="83"/>
      <c r="S15" s="83"/>
      <c r="T15" s="83"/>
      <c r="U15" s="83"/>
      <c r="V15" s="84"/>
      <c r="W15" s="84"/>
      <c r="X15" s="84"/>
      <c r="Y15" s="84"/>
    </row>
    <row r="16" ht="1.95" customHeight="1" spans="16:21">
      <c r="P16" s="12"/>
      <c r="Q16" s="82"/>
      <c r="R16" s="82"/>
      <c r="S16" s="82"/>
      <c r="T16" s="82"/>
      <c r="U16" s="82"/>
    </row>
    <row r="17" s="13" customFormat="1" ht="31.2" customHeight="1" spans="1:25">
      <c r="A17" s="20" t="s">
        <v>49</v>
      </c>
      <c r="B17" s="27">
        <v>0</v>
      </c>
      <c r="C17" s="28" t="s">
        <v>50</v>
      </c>
      <c r="D17" s="29" t="s">
        <v>51</v>
      </c>
      <c r="E17" s="29" t="s">
        <v>52</v>
      </c>
      <c r="F17" s="29" t="s">
        <v>53</v>
      </c>
      <c r="G17" s="29" t="s">
        <v>54</v>
      </c>
      <c r="H17" s="29" t="s">
        <v>55</v>
      </c>
      <c r="I17" s="29" t="s">
        <v>56</v>
      </c>
      <c r="J17" s="29" t="s">
        <v>57</v>
      </c>
      <c r="K17" s="10" t="s">
        <v>10</v>
      </c>
      <c r="L17" s="10" t="s">
        <v>11</v>
      </c>
      <c r="M17" s="10" t="s">
        <v>12</v>
      </c>
      <c r="N17" s="10" t="s">
        <v>13</v>
      </c>
      <c r="O17" s="10" t="s">
        <v>14</v>
      </c>
      <c r="P17" s="84"/>
      <c r="Q17" s="84"/>
      <c r="R17" s="84"/>
      <c r="S17" s="84"/>
      <c r="T17" s="84"/>
      <c r="U17" s="84"/>
      <c r="V17" s="84"/>
      <c r="W17" s="84"/>
      <c r="X17" s="84"/>
      <c r="Y17" s="84"/>
    </row>
    <row r="18" s="13" customFormat="1" ht="21.9" customHeight="1" spans="1:25">
      <c r="A18" s="20"/>
      <c r="B18" s="30"/>
      <c r="C18" s="24">
        <v>0</v>
      </c>
      <c r="D18" s="10">
        <v>-0.2</v>
      </c>
      <c r="E18" s="10">
        <v>-2.2</v>
      </c>
      <c r="F18" s="10">
        <v>-2.8</v>
      </c>
      <c r="G18" s="10">
        <v>0.2</v>
      </c>
      <c r="H18" s="10">
        <v>0.15</v>
      </c>
      <c r="I18" s="10">
        <v>-1.4</v>
      </c>
      <c r="J18" s="10">
        <v>-1.8</v>
      </c>
      <c r="K18" s="10"/>
      <c r="L18" s="10"/>
      <c r="M18" s="10"/>
      <c r="N18" s="10"/>
      <c r="O18" s="10"/>
      <c r="P18" s="87"/>
      <c r="Q18" s="87"/>
      <c r="R18" s="87"/>
      <c r="S18" s="87"/>
      <c r="T18" s="87"/>
      <c r="U18" s="87"/>
      <c r="V18" s="84"/>
      <c r="W18" s="84"/>
      <c r="X18" s="84"/>
      <c r="Y18" s="84"/>
    </row>
    <row r="19" ht="2.1" customHeight="1" spans="16:21">
      <c r="P19" s="122"/>
      <c r="Q19" s="122"/>
      <c r="R19" s="122"/>
      <c r="S19" s="122"/>
      <c r="T19" s="122"/>
      <c r="U19" s="122"/>
    </row>
    <row r="20" s="13" customFormat="1" ht="30" customHeight="1" spans="1:25">
      <c r="A20" s="20" t="s">
        <v>58</v>
      </c>
      <c r="B20" s="20">
        <v>1.5</v>
      </c>
      <c r="C20" s="23" t="s">
        <v>59</v>
      </c>
      <c r="D20" s="23" t="s">
        <v>60</v>
      </c>
      <c r="E20" s="23" t="s">
        <v>61</v>
      </c>
      <c r="F20" s="23" t="s">
        <v>62</v>
      </c>
      <c r="G20" s="32" t="s">
        <v>63</v>
      </c>
      <c r="H20" s="23" t="s">
        <v>64</v>
      </c>
      <c r="I20" s="23" t="s">
        <v>65</v>
      </c>
      <c r="J20" s="23" t="s">
        <v>66</v>
      </c>
      <c r="K20" s="23" t="s">
        <v>67</v>
      </c>
      <c r="L20" s="23" t="s">
        <v>68</v>
      </c>
      <c r="M20" s="23" t="s">
        <v>69</v>
      </c>
      <c r="N20" s="23" t="s">
        <v>70</v>
      </c>
      <c r="O20" s="23" t="s">
        <v>71</v>
      </c>
      <c r="P20" s="87"/>
      <c r="Q20" s="84"/>
      <c r="R20" s="84"/>
      <c r="S20" s="84"/>
      <c r="T20" s="84"/>
      <c r="U20" s="84"/>
      <c r="V20" s="84"/>
      <c r="W20" s="84"/>
      <c r="X20" s="84"/>
      <c r="Y20" s="84"/>
    </row>
    <row r="21" s="13" customFormat="1" ht="21.6" customHeight="1" spans="1:25">
      <c r="A21" s="20"/>
      <c r="B21" s="20"/>
      <c r="C21" s="10">
        <v>0</v>
      </c>
      <c r="D21" s="10">
        <v>0.4</v>
      </c>
      <c r="E21" s="10">
        <v>0.9</v>
      </c>
      <c r="F21" s="10">
        <v>1.2</v>
      </c>
      <c r="G21" s="24">
        <v>1.5</v>
      </c>
      <c r="H21" s="10">
        <v>0.2</v>
      </c>
      <c r="I21" s="10">
        <v>0.5</v>
      </c>
      <c r="J21" s="10"/>
      <c r="K21" s="10"/>
      <c r="L21" s="10"/>
      <c r="M21" s="10"/>
      <c r="N21" s="10"/>
      <c r="O21" s="10"/>
      <c r="P21" s="87"/>
      <c r="Q21" s="84"/>
      <c r="R21" s="84"/>
      <c r="S21" s="84"/>
      <c r="T21" s="84"/>
      <c r="U21" s="84"/>
      <c r="V21" s="84"/>
      <c r="W21" s="84"/>
      <c r="X21" s="84"/>
      <c r="Y21" s="84"/>
    </row>
    <row r="22" ht="2.1" customHeight="1" spans="16:21">
      <c r="P22" s="123"/>
      <c r="Q22" s="125"/>
      <c r="R22" s="125"/>
      <c r="S22" s="125"/>
      <c r="T22" s="125"/>
      <c r="U22" s="125"/>
    </row>
    <row r="23" s="13" customFormat="1" ht="22.2" hidden="1" customHeight="1" spans="1:25">
      <c r="A23" s="20" t="s">
        <v>72</v>
      </c>
      <c r="B23" s="20"/>
      <c r="C23" s="22" t="s">
        <v>130</v>
      </c>
      <c r="D23" s="23" t="s">
        <v>131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124"/>
      <c r="Q23" s="86"/>
      <c r="R23" s="86"/>
      <c r="S23" s="86"/>
      <c r="T23" s="86"/>
      <c r="U23" s="86"/>
      <c r="V23" s="84"/>
      <c r="W23" s="84"/>
      <c r="X23" s="84"/>
      <c r="Y23" s="84"/>
    </row>
    <row r="24" s="13" customFormat="1" ht="22.2" hidden="1" customHeight="1" spans="1:25">
      <c r="A24" s="20"/>
      <c r="B24" s="20"/>
      <c r="C24" s="21"/>
      <c r="D24" s="10"/>
      <c r="E24" s="10"/>
      <c r="F24" s="10"/>
      <c r="G24" s="31"/>
      <c r="H24" s="31"/>
      <c r="I24" s="10"/>
      <c r="J24" s="10"/>
      <c r="K24" s="10"/>
      <c r="L24" s="10"/>
      <c r="M24" s="10"/>
      <c r="N24" s="10"/>
      <c r="O24" s="10"/>
      <c r="P24" s="63"/>
      <c r="Q24" s="86"/>
      <c r="R24" s="86"/>
      <c r="S24" s="86"/>
      <c r="T24" s="86"/>
      <c r="U24" s="86"/>
      <c r="V24" s="84"/>
      <c r="W24" s="84"/>
      <c r="X24" s="84"/>
      <c r="Y24" s="84"/>
    </row>
    <row r="25" ht="3.6" customHeight="1" spans="16:21">
      <c r="P25" s="123"/>
      <c r="Q25" s="125"/>
      <c r="R25" s="125"/>
      <c r="S25" s="125"/>
      <c r="T25" s="125"/>
      <c r="U25" s="125"/>
    </row>
    <row r="26" s="13" customFormat="1" ht="21.6" customHeight="1" spans="1:25">
      <c r="A26" s="20" t="s">
        <v>73</v>
      </c>
      <c r="B26" s="20">
        <v>-1.2</v>
      </c>
      <c r="C26" s="10" t="s">
        <v>74</v>
      </c>
      <c r="D26" s="23" t="s">
        <v>75</v>
      </c>
      <c r="E26" s="24" t="s">
        <v>76</v>
      </c>
      <c r="F26" s="23" t="s">
        <v>77</v>
      </c>
      <c r="G26" s="23" t="s">
        <v>78</v>
      </c>
      <c r="H26" s="23" t="s">
        <v>79</v>
      </c>
      <c r="I26" s="23" t="s">
        <v>80</v>
      </c>
      <c r="J26" s="23" t="s">
        <v>81</v>
      </c>
      <c r="K26" s="23" t="s">
        <v>82</v>
      </c>
      <c r="L26" s="23" t="s">
        <v>83</v>
      </c>
      <c r="M26" s="23" t="s">
        <v>84</v>
      </c>
      <c r="N26" s="23" t="s">
        <v>85</v>
      </c>
      <c r="O26" s="23" t="s">
        <v>86</v>
      </c>
      <c r="P26" s="124"/>
      <c r="Q26" s="86"/>
      <c r="R26" s="86"/>
      <c r="S26" s="86"/>
      <c r="T26" s="86"/>
      <c r="U26" s="86"/>
      <c r="V26" s="86"/>
      <c r="W26" s="86"/>
      <c r="X26" s="84"/>
      <c r="Y26" s="84"/>
    </row>
    <row r="27" s="13" customFormat="1" ht="21.6" customHeight="1" spans="1:25">
      <c r="A27" s="20"/>
      <c r="B27" s="20"/>
      <c r="C27" s="34">
        <v>2</v>
      </c>
      <c r="D27" s="34">
        <v>-1.2</v>
      </c>
      <c r="E27" s="33">
        <v>-1.2</v>
      </c>
      <c r="F27" s="35"/>
      <c r="G27" s="35"/>
      <c r="H27" s="35"/>
      <c r="I27" s="34"/>
      <c r="J27" s="34"/>
      <c r="K27" s="34"/>
      <c r="L27" s="34"/>
      <c r="M27" s="34"/>
      <c r="N27" s="34"/>
      <c r="O27" s="34"/>
      <c r="P27" s="64"/>
      <c r="Q27" s="88"/>
      <c r="R27" s="88"/>
      <c r="S27" s="88"/>
      <c r="T27" s="88"/>
      <c r="U27" s="88"/>
      <c r="V27" s="84"/>
      <c r="W27" s="84"/>
      <c r="X27" s="84"/>
      <c r="Y27" s="84"/>
    </row>
    <row r="28" s="14" customFormat="1" ht="22.2" customHeight="1" spans="1:21">
      <c r="A28" s="36" t="s">
        <v>87</v>
      </c>
      <c r="B28" s="36" t="s">
        <v>88</v>
      </c>
      <c r="C28" s="36" t="s">
        <v>89</v>
      </c>
      <c r="D28" s="36" t="s">
        <v>90</v>
      </c>
      <c r="E28" s="36">
        <v>33081</v>
      </c>
      <c r="F28" s="36" t="s">
        <v>91</v>
      </c>
      <c r="G28" s="36" t="s">
        <v>92</v>
      </c>
      <c r="H28" s="36" t="s">
        <v>93</v>
      </c>
      <c r="I28" s="36" t="s">
        <v>94</v>
      </c>
      <c r="J28" s="66" t="s">
        <v>95</v>
      </c>
      <c r="K28" s="67">
        <v>615</v>
      </c>
      <c r="L28" s="67">
        <v>620</v>
      </c>
      <c r="M28" s="67">
        <v>625</v>
      </c>
      <c r="N28" s="67">
        <v>630</v>
      </c>
      <c r="O28" s="67">
        <v>635</v>
      </c>
      <c r="P28" s="67">
        <v>640</v>
      </c>
      <c r="Q28" s="67">
        <v>645</v>
      </c>
      <c r="R28" s="67">
        <v>650</v>
      </c>
      <c r="S28" s="67">
        <v>655</v>
      </c>
      <c r="T28" s="67">
        <v>660</v>
      </c>
      <c r="U28" s="89" t="s">
        <v>96</v>
      </c>
    </row>
    <row r="29" s="13" customFormat="1" ht="18" customHeight="1" spans="1:21">
      <c r="A29" s="37" t="s">
        <v>132</v>
      </c>
      <c r="B29" s="37" t="s">
        <v>98</v>
      </c>
      <c r="C29" s="119">
        <v>0.255</v>
      </c>
      <c r="D29" s="39"/>
      <c r="E29" s="40">
        <v>38184</v>
      </c>
      <c r="F29" s="41">
        <f t="shared" ref="F29:F48" si="0">C29*E29/1000</f>
        <v>9.73692</v>
      </c>
      <c r="G29" s="41">
        <f t="shared" ref="G29:G38" si="1">F29*66</f>
        <v>642.63672</v>
      </c>
      <c r="H29" s="42">
        <f>I29/G29</f>
        <v>0.970550556180504</v>
      </c>
      <c r="I29" s="68">
        <f>G29*(H30+0.15%)</f>
        <v>623.711426018015</v>
      </c>
      <c r="J29" s="68"/>
      <c r="K29" s="69">
        <f>(NORMSDIST((I29-$K$28)/B15)-NORMSDIST((I29-$L$28)/B15))</f>
        <v>0.0196078193497706</v>
      </c>
      <c r="L29" s="69">
        <f>(NORMSDIST((I29-$L$28)/B15)-NORMSDIST((I29-$M$28)/B15))</f>
        <v>0.743357087517112</v>
      </c>
      <c r="M29" s="70">
        <f>(NORMSDIST((I29-$M$28)/B15)-NORMSDIST((I29-$N$28)/B15))</f>
        <v>0.236796212253554</v>
      </c>
      <c r="N29" s="70">
        <f>(NORMSDIST((I29-$N$28)/B15)-NORMSDIST((I29-$O$28)/B15))</f>
        <v>0.000238230462570017</v>
      </c>
      <c r="O29" s="70">
        <f>(NORMSDIST((I29-$O$28)/B15)-NORMSDIST((I29-$P$28)/B15))</f>
        <v>1.78873574994103e-10</v>
      </c>
      <c r="P29" s="70">
        <f>(NORMSDIST((I29-$P$28)/B15)-NORMSDIST((I29-$Q$28)/B15))</f>
        <v>7.20046673590876e-20</v>
      </c>
      <c r="Q29" s="70">
        <f>(NORMSDIST((I29-$Q$28)/B15)-NORMSDIST((I29-$R$28)/B15))</f>
        <v>1.415639596101e-32</v>
      </c>
      <c r="R29" s="70">
        <f>(NORMSDIST((I29-$R$28)/B15)-NORMSDIST((I29-$S$28)/B15))</f>
        <v>1.30945078602128e-48</v>
      </c>
      <c r="S29" s="70">
        <f>(NORMSDIST((I29-$S$28)/B15)-NORMSDIST((I29-$T$28)/B15))</f>
        <v>5.59420516051868e-68</v>
      </c>
      <c r="T29" s="70"/>
      <c r="U29" s="90">
        <f t="shared" ref="U29:U48" si="2">SUM(K29:T29)</f>
        <v>0.99999934976188</v>
      </c>
    </row>
    <row r="30" s="13" customFormat="1" ht="18" customHeight="1" spans="1:21">
      <c r="A30" s="43"/>
      <c r="B30" s="43"/>
      <c r="C30" s="38">
        <f t="shared" ref="C30:C48" si="3">C29+0.1%</f>
        <v>0.256</v>
      </c>
      <c r="D30" s="44"/>
      <c r="E30" s="40">
        <v>38184</v>
      </c>
      <c r="F30" s="41">
        <f t="shared" si="0"/>
        <v>9.775104</v>
      </c>
      <c r="G30" s="41">
        <f t="shared" si="1"/>
        <v>645.156864</v>
      </c>
      <c r="H30" s="42">
        <f t="shared" ref="H30:H48" si="4">I30/G30</f>
        <v>0.969050556180504</v>
      </c>
      <c r="I30" s="68">
        <f t="shared" ref="I30:I35" si="5">G30*(H31+0.15%)</f>
        <v>625.18961788287</v>
      </c>
      <c r="J30" s="68"/>
      <c r="K30" s="69">
        <f>(NORMSDIST((I30-$K$28)/B15)-NORMSDIST((I30-$L$28)/B15))</f>
        <v>0.00196877297368014</v>
      </c>
      <c r="L30" s="69">
        <f>(NORMSDIST((I30-$L$28)/B15)-NORMSDIST((I30-$M$28)/B15))</f>
        <v>0.456082934919814</v>
      </c>
      <c r="M30" s="70">
        <f>(NORMSDIST((I30-$M$28)/B15)-NORMSDIST((I30-$N$28)/B15))</f>
        <v>0.538183130992048</v>
      </c>
      <c r="N30" s="70">
        <f>(NORMSDIST((I30-$N$28)/B15)-NORMSDIST((I30-$O$28)/B15))</f>
        <v>0.00376512843048289</v>
      </c>
      <c r="O30" s="70">
        <f>(NORMSDIST((I30-$O$28)/B15)-NORMSDIST((I30-$P$28)/B15))</f>
        <v>2.51548653242461e-8</v>
      </c>
      <c r="P30" s="70">
        <f>(NORMSDIST((I30-$P$28)/B15)-NORMSDIST((I30-$Q$28)/B15))</f>
        <v>9.51904341125849e-17</v>
      </c>
      <c r="Q30" s="70">
        <f>(NORMSDIST((I30-$Q$28)/B15)-NORMSDIST((I30-$R$28)/B15))</f>
        <v>1.79224623827607e-28</v>
      </c>
      <c r="R30" s="70">
        <f>(NORMSDIST((I30-$R$28)/B15)-NORMSDIST((I30-$S$28)/B15))</f>
        <v>1.60076874472472e-43</v>
      </c>
      <c r="S30" s="70">
        <f>(NORMSDIST((I30-$S$28)/B15)-NORMSDIST((I30-$T$28)/B15))</f>
        <v>6.63220630066683e-62</v>
      </c>
      <c r="T30" s="70"/>
      <c r="U30" s="90">
        <f t="shared" si="2"/>
        <v>0.99999999247089</v>
      </c>
    </row>
    <row r="31" s="13" customFormat="1" ht="18" customHeight="1" spans="1:21">
      <c r="A31" s="43"/>
      <c r="B31" s="43"/>
      <c r="C31" s="38">
        <f t="shared" si="3"/>
        <v>0.257</v>
      </c>
      <c r="D31" s="45"/>
      <c r="E31" s="40">
        <v>38184</v>
      </c>
      <c r="F31" s="41">
        <f t="shared" si="0"/>
        <v>9.813288</v>
      </c>
      <c r="G31" s="41">
        <f t="shared" si="1"/>
        <v>647.677008</v>
      </c>
      <c r="H31" s="42">
        <f t="shared" si="4"/>
        <v>0.967550556180504</v>
      </c>
      <c r="I31" s="68">
        <f t="shared" si="5"/>
        <v>626.660249315725</v>
      </c>
      <c r="J31" s="71"/>
      <c r="K31" s="69">
        <f>(NORMSDIST((I31-$K$28)/B15)-NORMSDIST((I31-$L$28)/B15))</f>
        <v>0.000107740866273853</v>
      </c>
      <c r="L31" s="69">
        <f>(NORMSDIST((I31-$L$28)/B15)-NORMSDIST((I31-$M$28)/B15))</f>
        <v>0.178062481963013</v>
      </c>
      <c r="M31" s="70">
        <f>(NORMSDIST((I31-$M$28)/B15)-NORMSDIST((I31-$N$28)/B15))</f>
        <v>0.7900614296523</v>
      </c>
      <c r="N31" s="72">
        <f>(NORMSDIST((I31-$N$28)/B15)-NORMSDIST((I31-$O$28)/B15))</f>
        <v>0.0317665471449613</v>
      </c>
      <c r="O31" s="72">
        <f>(NORMSDIST((I31-$O$28)/B15)-NORMSDIST((I31-$P$28)/B15))</f>
        <v>1.80032688984945e-6</v>
      </c>
      <c r="P31" s="70">
        <f>(NORMSDIST((I31-$P$28)/B15)-NORMSDIST((I31-$Q$28)/B15))</f>
        <v>6.26882432873555e-14</v>
      </c>
      <c r="Q31" s="70">
        <f>(NORMSDIST((I31-$Q$28)/B15)-NORMSDIST((I31-$R$28)/B15))</f>
        <v>1.11303561324768e-24</v>
      </c>
      <c r="R31" s="70">
        <f>(NORMSDIST((I31-$R$28)/B15)-NORMSDIST((I31-$S$28)/B15))</f>
        <v>9.47087006625084e-39</v>
      </c>
      <c r="S31" s="70">
        <f>(NORMSDIST((I31-$S$28)/B15)-NORMSDIST((I31-$T$28)/B15))</f>
        <v>3.75755674465509e-56</v>
      </c>
      <c r="T31" s="70"/>
      <c r="U31" s="90">
        <f t="shared" si="2"/>
        <v>0.999999999953501</v>
      </c>
    </row>
    <row r="32" s="15" customFormat="1" ht="18" customHeight="1" spans="1:21">
      <c r="A32" s="43"/>
      <c r="B32" s="43"/>
      <c r="C32" s="38">
        <f t="shared" si="3"/>
        <v>0.258</v>
      </c>
      <c r="D32" s="45"/>
      <c r="E32" s="40">
        <v>38184</v>
      </c>
      <c r="F32" s="46">
        <f t="shared" si="0"/>
        <v>9.851472</v>
      </c>
      <c r="G32" s="41">
        <f t="shared" si="1"/>
        <v>650.197152</v>
      </c>
      <c r="H32" s="47">
        <f t="shared" si="4"/>
        <v>0.966050556180504</v>
      </c>
      <c r="I32" s="68">
        <f t="shared" si="5"/>
        <v>628.12332031658</v>
      </c>
      <c r="J32" s="73"/>
      <c r="K32" s="74">
        <f>(NORMSDIST((I32-$K$28)/B15)-NORMSDIST((I32-$L$28)/B15))</f>
        <v>3.19651833302625e-6</v>
      </c>
      <c r="L32" s="74">
        <f>(NORMSDIST((I32-$L$28)/B15)-NORMSDIST((I32-$M$28)/B15))</f>
        <v>0.0413514485661373</v>
      </c>
      <c r="M32" s="74">
        <f>(NORMSDIST((I32-$M$28)/B15)-NORMSDIST((I32-$N$28)/B15))</f>
        <v>0.810078519537295</v>
      </c>
      <c r="N32" s="74">
        <f>(NORMSDIST((I32-$N$28)/B15)-NORMSDIST((I32-$O$28)/B15))</f>
        <v>0.148500211618932</v>
      </c>
      <c r="O32" s="74">
        <f>(NORMSDIST((I32-$O$28)/B15)-NORMSDIST((I32-$P$28)/B15))</f>
        <v>6.66237383340439e-5</v>
      </c>
      <c r="P32" s="74">
        <f>(NORMSDIST((I32-$P$28)/B15)-NORMSDIST((I32-$Q$28)/B15))</f>
        <v>2.0815242147771e-11</v>
      </c>
      <c r="Q32" s="74">
        <f>(NORMSDIST((I32-$Q$28)/B15)-NORMSDIST((I32-$R$28)/B15))</f>
        <v>3.42832638203791e-21</v>
      </c>
      <c r="R32" s="74">
        <f>(NORMSDIST((I32-$R$28)/B15)-NORMSDIST((I32-$S$28)/B15))</f>
        <v>2.7409822941835e-34</v>
      </c>
      <c r="S32" s="70">
        <f>(NORMSDIST((I32-$S$28)/B15)-NORMSDIST((I32-$T$28)/B15))</f>
        <v>1.02811815458856e-50</v>
      </c>
      <c r="T32" s="70"/>
      <c r="U32" s="90">
        <f t="shared" si="2"/>
        <v>0.999999999999847</v>
      </c>
    </row>
    <row r="33" s="13" customFormat="1" ht="18" customHeight="1" spans="1:21">
      <c r="A33" s="43"/>
      <c r="B33" s="43"/>
      <c r="C33" s="38">
        <f t="shared" si="3"/>
        <v>0.259</v>
      </c>
      <c r="D33" s="49"/>
      <c r="E33" s="40">
        <v>38184</v>
      </c>
      <c r="F33" s="41">
        <f t="shared" si="0"/>
        <v>9.889656</v>
      </c>
      <c r="G33" s="41">
        <f t="shared" si="1"/>
        <v>652.717296</v>
      </c>
      <c r="H33" s="42">
        <f t="shared" si="4"/>
        <v>0.964550556180504</v>
      </c>
      <c r="I33" s="68">
        <f t="shared" si="5"/>
        <v>629.578830885435</v>
      </c>
      <c r="J33" s="73"/>
      <c r="K33" s="69">
        <f>(NORMSDIST((I33-$K$28)/B15)-NORMSDIST((I33-$L$28)/B15))</f>
        <v>5.14369874471399e-8</v>
      </c>
      <c r="L33" s="69">
        <f>(NORMSDIST((I33-$L$28)/B15)-NORMSDIST((I33-$M$28)/B15))</f>
        <v>0.00548272051815335</v>
      </c>
      <c r="M33" s="70">
        <f>(NORMSDIST((I33-$M$28)/B15)-NORMSDIST((I33-$N$28)/B15))</f>
        <v>0.587018078286776</v>
      </c>
      <c r="N33" s="70">
        <f>(NORMSDIST((I33-$N$28)/B15)-NORMSDIST((I33-$O$28)/B15))</f>
        <v>0.406200463088846</v>
      </c>
      <c r="O33" s="70">
        <f>(NORMSDIST((I33-$O$28)/B15)-NORMSDIST((I33-$P$28)/B15))</f>
        <v>0.00129868314023164</v>
      </c>
      <c r="P33" s="70">
        <f>(NORMSDIST((I33-$P$28)/B15)-NORMSDIST((I33-$Q$28)/B15))</f>
        <v>3.52900607029076e-9</v>
      </c>
      <c r="Q33" s="70">
        <f>(NORMSDIST((I33-$Q$28)/B15)-NORMSDIST((I33-$R$28)/B15))</f>
        <v>5.29623814955552e-18</v>
      </c>
      <c r="R33" s="70">
        <f>(NORMSDIST((I33-$R$28)/B15)-NORMSDIST((I33-$S$28)/B15))</f>
        <v>3.92209735178537e-30</v>
      </c>
      <c r="S33" s="70">
        <f>(NORMSDIST((I33-$S$28)/B15)-NORMSDIST((I33-$T$28)/B15))</f>
        <v>1.37285126924751e-45</v>
      </c>
      <c r="T33" s="70"/>
      <c r="U33" s="90">
        <f t="shared" si="2"/>
        <v>1</v>
      </c>
    </row>
    <row r="34" s="13" customFormat="1" ht="18" customHeight="1" spans="1:21">
      <c r="A34" s="43"/>
      <c r="B34" s="43"/>
      <c r="C34" s="38">
        <f t="shared" si="3"/>
        <v>0.26</v>
      </c>
      <c r="D34" s="49">
        <v>0.0341140293136703</v>
      </c>
      <c r="E34" s="40">
        <v>38184</v>
      </c>
      <c r="F34" s="41">
        <f t="shared" si="0"/>
        <v>9.92784</v>
      </c>
      <c r="G34" s="41">
        <f t="shared" si="1"/>
        <v>655.23744</v>
      </c>
      <c r="H34" s="42">
        <f t="shared" si="4"/>
        <v>0.963050556180505</v>
      </c>
      <c r="I34" s="68">
        <f t="shared" si="5"/>
        <v>631.02678102229</v>
      </c>
      <c r="J34" s="75"/>
      <c r="K34" s="69">
        <f>(NORMSDIST((I34-$K$28)/B15)-NORMSDIST((I34-$L$28)/B15))</f>
        <v>4.50608883539871e-10</v>
      </c>
      <c r="L34" s="69">
        <f>(NORMSDIST((I34-$L$28)/B15)-NORMSDIST((I34-$M$28)/B15))</f>
        <v>0.000406673858479478</v>
      </c>
      <c r="M34" s="70">
        <f>(NORMSDIST((I34-$M$28)/B15)-NORMSDIST((I34-$N$28)/B15))</f>
        <v>0.283785046465832</v>
      </c>
      <c r="N34" s="70">
        <f>(NORMSDIST((I34-$N$28)/B15)-NORMSDIST((I34-$O$28)/B15))</f>
        <v>0.702163257157775</v>
      </c>
      <c r="O34" s="70">
        <f>(NORMSDIST((I34-$O$28)/B15)-NORMSDIST((I34-$P$28)/B15))</f>
        <v>0.0136447124531108</v>
      </c>
      <c r="P34" s="70">
        <f>(NORMSDIST((I34-$P$28)/B15)-NORMSDIST((I34-$Q$28)/B15))</f>
        <v>3.09614189049659e-7</v>
      </c>
      <c r="Q34" s="70">
        <f>(NORMSDIST((I34-$Q$28)/B15)-NORMSDIST((I34-$R$28)/B15))</f>
        <v>4.15047172890608e-15</v>
      </c>
      <c r="R34" s="70">
        <f>(NORMSDIST((I34-$R$28)/B15)-NORMSDIST((I34-$S$28)/B15))</f>
        <v>2.80467511633675e-26</v>
      </c>
      <c r="S34" s="70">
        <f>(NORMSDIST((I34-$S$28)/B15)-NORMSDIST((I34-$T$28)/B15))</f>
        <v>9.04052945228646e-41</v>
      </c>
      <c r="T34" s="70"/>
      <c r="U34" s="90">
        <f t="shared" si="2"/>
        <v>0.999999999999999</v>
      </c>
    </row>
    <row r="35" s="13" customFormat="1" ht="18" customHeight="1" spans="1:21">
      <c r="A35" s="43"/>
      <c r="B35" s="43"/>
      <c r="C35" s="38">
        <f t="shared" si="3"/>
        <v>0.261</v>
      </c>
      <c r="D35" s="49">
        <v>0.0586334878828709</v>
      </c>
      <c r="E35" s="40">
        <v>38184</v>
      </c>
      <c r="F35" s="41">
        <f t="shared" si="0"/>
        <v>9.966024</v>
      </c>
      <c r="G35" s="41">
        <f t="shared" si="1"/>
        <v>657.757584</v>
      </c>
      <c r="H35" s="42">
        <f t="shared" si="4"/>
        <v>0.961550556180505</v>
      </c>
      <c r="I35" s="68">
        <f t="shared" si="5"/>
        <v>632.467170727145</v>
      </c>
      <c r="J35" s="76"/>
      <c r="K35" s="69">
        <f>(NORMSDIST((I35-$K$28)/B15)-NORMSDIST((I35-$L$28)/B15))</f>
        <v>2.16138218434025e-12</v>
      </c>
      <c r="L35" s="69">
        <f>(NORMSDIST((I35-$L$28)/B15)-NORMSDIST((I35-$M$28)/B15))</f>
        <v>1.67382894131762e-5</v>
      </c>
      <c r="M35" s="70">
        <f>(NORMSDIST((I35-$M$28)/B15)-NORMSDIST((I35-$N$28)/B15))</f>
        <v>0.0852252428981516</v>
      </c>
      <c r="N35" s="70">
        <f>(NORMSDIST((I35-$N$28)/B15)-NORMSDIST((I35-$O$28)/B15))</f>
        <v>0.835063207638795</v>
      </c>
      <c r="O35" s="70">
        <f>(NORMSDIST((I35-$O$28)/B15)-NORMSDIST((I35-$P$28)/B15))</f>
        <v>0.0796805469117055</v>
      </c>
      <c r="P35" s="70">
        <f>(NORMSDIST((I35-$P$28)/B15)-NORMSDIST((I35-$Q$28)/B15))</f>
        <v>1.426425810405e-5</v>
      </c>
      <c r="Q35" s="70">
        <f>(NORMSDIST((I35-$Q$28)/B15)-NORMSDIST((I35-$R$28)/B15))</f>
        <v>1.66926328966228e-12</v>
      </c>
      <c r="R35" s="70">
        <f>(NORMSDIST((I35-$R$28)/B15)-NORMSDIST((I35-$S$28)/B15))</f>
        <v>1.01316791814703e-22</v>
      </c>
      <c r="S35" s="70">
        <f>(NORMSDIST((I35-$S$28)/B15)-NORMSDIST((I35-$T$28)/B15))</f>
        <v>2.96687184085767e-36</v>
      </c>
      <c r="T35" s="70"/>
      <c r="U35" s="90">
        <f t="shared" si="2"/>
        <v>1</v>
      </c>
    </row>
    <row r="36" s="15" customFormat="1" ht="18" customHeight="1" spans="1:21">
      <c r="A36" s="43"/>
      <c r="B36" s="43"/>
      <c r="C36" s="50">
        <f t="shared" si="3"/>
        <v>0.262</v>
      </c>
      <c r="D36" s="49">
        <v>0.0841203302499458</v>
      </c>
      <c r="E36" s="51">
        <v>38184</v>
      </c>
      <c r="F36" s="52">
        <f t="shared" si="0"/>
        <v>10.004208</v>
      </c>
      <c r="G36" s="52">
        <f t="shared" si="1"/>
        <v>660.277728</v>
      </c>
      <c r="H36" s="53">
        <f t="shared" si="4"/>
        <v>0.960050556180505</v>
      </c>
      <c r="I36" s="77">
        <v>633.9</v>
      </c>
      <c r="J36" s="77" t="s">
        <v>99</v>
      </c>
      <c r="K36" s="78">
        <f>(NORMSDIST((I36-$K$28)/B15)-NORMSDIST((I36-$L$28)/B15))</f>
        <v>5.6621374255883e-15</v>
      </c>
      <c r="L36" s="78">
        <f>(NORMSDIST((I36-$L$28)/B15)-NORMSDIST((I36-$M$28)/B15))</f>
        <v>3.81806561366993e-7</v>
      </c>
      <c r="M36" s="79">
        <f>(NORMSDIST((I36-$M$28)/B15)-NORMSDIST((I36-$N$28)/B15))</f>
        <v>0.0151297582036692</v>
      </c>
      <c r="N36" s="79">
        <f>(NORMSDIST((I36-$N$28)/B15)-NORMSDIST((I36-$O$28)/B15))</f>
        <v>0.714306847753934</v>
      </c>
      <c r="O36" s="79">
        <f>(NORMSDIST((I36-$O$28)/B15)-NORMSDIST((I36-$P$28)/B15))</f>
        <v>0.270212130034362</v>
      </c>
      <c r="P36" s="79">
        <f>(NORMSDIST((I36-$P$28)/B15)-NORMSDIST((I36-$Q$28)/B15))</f>
        <v>0.000350881852745134</v>
      </c>
      <c r="Q36" s="79">
        <f>(NORMSDIST((I36-$Q$28)/B15)-NORMSDIST((I36-$R$28)/B15))</f>
        <v>3.48722820805867e-10</v>
      </c>
      <c r="R36" s="79">
        <f>(NORMSDIST((I36-$R$28)/B15)-NORMSDIST((I36-$S$28)/B15))</f>
        <v>1.8691267504306e-19</v>
      </c>
      <c r="S36" s="79">
        <f>(NORMSDIST((I36-$S$28)/B15)-NORMSDIST((I36-$T$28)/B15))</f>
        <v>4.9032662816888e-32</v>
      </c>
      <c r="T36" s="79"/>
      <c r="U36" s="91">
        <f t="shared" si="2"/>
        <v>1</v>
      </c>
    </row>
    <row r="37" s="84" customFormat="1" ht="18" customHeight="1" spans="1:21">
      <c r="A37" s="43"/>
      <c r="B37" s="43"/>
      <c r="C37" s="103">
        <f t="shared" si="3"/>
        <v>0.263</v>
      </c>
      <c r="D37" s="74">
        <v>0.231516943533095</v>
      </c>
      <c r="E37" s="104">
        <v>38184</v>
      </c>
      <c r="F37" s="105">
        <f t="shared" si="0"/>
        <v>10.042392</v>
      </c>
      <c r="G37" s="105">
        <f t="shared" si="1"/>
        <v>662.797872</v>
      </c>
      <c r="H37" s="47">
        <f t="shared" si="4"/>
        <v>0.958550556180505</v>
      </c>
      <c r="I37" s="68">
        <f t="shared" ref="I37:I48" si="6">G37*(H36-0.15%)</f>
        <v>635.325268840855</v>
      </c>
      <c r="J37" s="68"/>
      <c r="K37" s="74">
        <f>(NORMSDIST((I37-$K$28)/B15)-NORMSDIST((I37-$L$28)/B15))</f>
        <v>0</v>
      </c>
      <c r="L37" s="74">
        <f>(NORMSDIST((I37-$L$28)/B15)-NORMSDIST((I37-$M$28)/B15))</f>
        <v>4.83948869867135e-9</v>
      </c>
      <c r="M37" s="74">
        <f>(NORMSDIST((I37-$M$28)/B15)-NORMSDIST((I37-$N$28)/B15))</f>
        <v>0.00154578318623111</v>
      </c>
      <c r="N37" s="74">
        <f>(NORMSDIST((I37-$N$28)/B15)-NORMSDIST((I37-$O$28)/B15))</f>
        <v>0.426753813659607</v>
      </c>
      <c r="O37" s="74">
        <f>(NORMSDIST((I37-$O$28)/B15)-NORMSDIST((I37-$P$28)/B15))</f>
        <v>0.566999299500525</v>
      </c>
      <c r="P37" s="74">
        <f>(NORMSDIST((I37-$P$28)/B15)-NORMSDIST((I37-$Q$28)/B15))</f>
        <v>0.00470106049105465</v>
      </c>
      <c r="Q37" s="74">
        <f>(NORMSDIST((I37-$Q$28)/B15)-NORMSDIST((I37-$R$28)/B15))</f>
        <v>3.83230940945291e-8</v>
      </c>
      <c r="R37" s="74">
        <f>(NORMSDIST((I37-$R$28)/B15)-NORMSDIST((I37-$S$28)/B15))</f>
        <v>1.78049237131282e-16</v>
      </c>
      <c r="S37" s="74">
        <f>(NORMSDIST((I37-$S$28)/B15)-NORMSDIST((I37-$T$28)/B15))</f>
        <v>4.12391947052777e-28</v>
      </c>
      <c r="T37" s="74"/>
      <c r="U37" s="103">
        <f t="shared" si="2"/>
        <v>1</v>
      </c>
    </row>
    <row r="38" s="84" customFormat="1" ht="18" customHeight="1" spans="1:21">
      <c r="A38" s="43"/>
      <c r="B38" s="43"/>
      <c r="C38" s="103">
        <f t="shared" si="3"/>
        <v>0.264</v>
      </c>
      <c r="D38" s="74">
        <v>0.320133020125304</v>
      </c>
      <c r="E38" s="40">
        <v>38184</v>
      </c>
      <c r="F38" s="41">
        <f t="shared" si="0"/>
        <v>10.080576</v>
      </c>
      <c r="G38" s="41">
        <f t="shared" si="1"/>
        <v>665.318016</v>
      </c>
      <c r="H38" s="42">
        <f t="shared" si="4"/>
        <v>0.957050556180505</v>
      </c>
      <c r="I38" s="68">
        <f t="shared" si="6"/>
        <v>636.74297724971</v>
      </c>
      <c r="J38" s="68"/>
      <c r="K38" s="74">
        <f>(NORMSDIST((I38-$K$28)/B15)-NORMSDIST((I38-$L$28)/B15))</f>
        <v>0</v>
      </c>
      <c r="L38" s="74">
        <f>(NORMSDIST((I38-$L$28)/B15)-NORMSDIST((I38-$M$28)/B15))</f>
        <v>3.4256597558624e-11</v>
      </c>
      <c r="M38" s="74">
        <f>(NORMSDIST((I38-$M$28)/B15)-NORMSDIST((I38-$N$28)/B15))</f>
        <v>8.98030220489732e-5</v>
      </c>
      <c r="N38" s="74">
        <f>(NORMSDIST((I38-$N$28)/B15)-NORMSDIST((I38-$O$28)/B15))</f>
        <v>0.166352313293848</v>
      </c>
      <c r="O38" s="74">
        <f>(NORMSDIST((I38-$O$28)/B15)-NORMSDIST((I38-$P$28)/B15))</f>
        <v>0.798367872776014</v>
      </c>
      <c r="P38" s="74">
        <f>(NORMSDIST((I38-$P$28)/B15)-NORMSDIST((I38-$Q$28)/B15))</f>
        <v>0.0351877650973143</v>
      </c>
      <c r="Q38" s="74">
        <f>(NORMSDIST((I38-$Q$28)/B15)-NORMSDIST((I38-$R$28)/B15))</f>
        <v>2.24577642896223e-6</v>
      </c>
      <c r="R38" s="74">
        <f>(NORMSDIST((I38-$R$28)/B15)-NORMSDIST((I38-$S$28)/B15))</f>
        <v>8.8565042376269e-14</v>
      </c>
      <c r="S38" s="74">
        <f>(NORMSDIST((I38-$S$28)/B15)-NORMSDIST((I38-$T$28)/B15))</f>
        <v>1.78380196324507e-24</v>
      </c>
      <c r="T38" s="74"/>
      <c r="U38" s="103">
        <f t="shared" si="2"/>
        <v>0.999999999999999</v>
      </c>
    </row>
    <row r="39" s="84" customFormat="1" ht="18" customHeight="1" spans="1:21">
      <c r="A39" s="43"/>
      <c r="B39" s="43"/>
      <c r="C39" s="103">
        <f t="shared" si="3"/>
        <v>0.265</v>
      </c>
      <c r="D39" s="44">
        <v>0.22052468114755</v>
      </c>
      <c r="E39" s="104">
        <v>38184</v>
      </c>
      <c r="F39" s="105">
        <f t="shared" si="0"/>
        <v>10.11876</v>
      </c>
      <c r="G39" s="105">
        <f t="shared" ref="G39:G48" si="7">F39*66</f>
        <v>667.83816</v>
      </c>
      <c r="H39" s="47">
        <f t="shared" si="4"/>
        <v>0.955550556180505</v>
      </c>
      <c r="I39" s="68">
        <f t="shared" si="6"/>
        <v>638.153125226565</v>
      </c>
      <c r="J39" s="68"/>
      <c r="K39" s="74">
        <f>(NORMSDIST((I39-$K$28)/B15)-NORMSDIST((I39-$L$28)/B15))</f>
        <v>0</v>
      </c>
      <c r="L39" s="74">
        <f>(NORMSDIST((I39-$L$28)/B15)-NORMSDIST((I39-$M$28)/B15))</f>
        <v>1.36335387423969e-13</v>
      </c>
      <c r="M39" s="74">
        <f>(NORMSDIST((I39-$M$28)/B15)-NORMSDIST((I39-$N$28)/B15))</f>
        <v>2.9559755105879e-6</v>
      </c>
      <c r="N39" s="74">
        <f>(NORMSDIST((I39-$N$28)/B15)-NORMSDIST((I39-$O$28)/B15))</f>
        <v>0.0399066304354537</v>
      </c>
      <c r="O39" s="74">
        <f>(NORMSDIST((I39-$O$28)/B15)-NORMSDIST((I39-$P$28)/B15))</f>
        <v>0.807654411719697</v>
      </c>
      <c r="P39" s="74">
        <f>(NORMSDIST((I39-$P$28)/B15)-NORMSDIST((I39-$Q$28)/B15))</f>
        <v>0.152364760808411</v>
      </c>
      <c r="Q39" s="74">
        <f>(NORMSDIST((I39-$Q$28)/B15)-NORMSDIST((I39-$R$28)/B15))</f>
        <v>7.12410375199369e-5</v>
      </c>
      <c r="R39" s="74">
        <f>(NORMSDIST((I39-$R$28)/B15)-NORMSDIST((I39-$S$28)/B15))</f>
        <v>2.32710701951744e-11</v>
      </c>
      <c r="S39" s="74">
        <f>(NORMSDIST((I39-$S$28)/B15)-NORMSDIST((I39-$T$28)/B15))</f>
        <v>4.01049194387012e-21</v>
      </c>
      <c r="T39" s="74"/>
      <c r="U39" s="103">
        <f t="shared" si="2"/>
        <v>1</v>
      </c>
    </row>
    <row r="40" s="13" customFormat="1" ht="18" customHeight="1" spans="1:21">
      <c r="A40" s="43"/>
      <c r="B40" s="43"/>
      <c r="C40" s="38">
        <f t="shared" si="3"/>
        <v>0.266</v>
      </c>
      <c r="D40" s="49">
        <v>0.0509575077475633</v>
      </c>
      <c r="E40" s="40">
        <v>38184</v>
      </c>
      <c r="F40" s="41">
        <f t="shared" si="0"/>
        <v>10.156944</v>
      </c>
      <c r="G40" s="41">
        <f t="shared" si="7"/>
        <v>670.358304</v>
      </c>
      <c r="H40" s="42">
        <f t="shared" si="4"/>
        <v>0.954050556180505</v>
      </c>
      <c r="I40" s="68">
        <f t="shared" si="6"/>
        <v>639.55571277142</v>
      </c>
      <c r="J40" s="68"/>
      <c r="K40" s="69">
        <f>(NORMSDIST((I40-$K$28)/B15)-NORMSDIST((I40-$L$28)/B15))</f>
        <v>0</v>
      </c>
      <c r="L40" s="69">
        <f>(NORMSDIST((I40-$L$28)/B15)-NORMSDIST((I40-$M$28)/B15))</f>
        <v>0</v>
      </c>
      <c r="M40" s="70">
        <f>(NORMSDIST((I40-$M$28)/B15)-NORMSDIST((I40-$N$28)/B15))</f>
        <v>5.51960661621109e-8</v>
      </c>
      <c r="N40" s="70">
        <f>(NORMSDIST((I40-$N$28)/B15)-NORMSDIST((I40-$O$28)/B15))</f>
        <v>0.00568762298702763</v>
      </c>
      <c r="O40" s="70">
        <f>(NORMSDIST((I40-$O$28)/B15)-NORMSDIST((I40-$P$28)/B15))</f>
        <v>0.591790970043332</v>
      </c>
      <c r="P40" s="70">
        <f>(NORMSDIST((I40-$P$28)/B15)-NORMSDIST((I40-$Q$28)/B15))</f>
        <v>0.401276557534827</v>
      </c>
      <c r="Q40" s="70">
        <f>(NORMSDIST((I40-$Q$28)/B15)-NORMSDIST((I40-$R$28)/B15))</f>
        <v>0.00124479096977201</v>
      </c>
      <c r="R40" s="70">
        <f>(NORMSDIST((I40-$R$28)/B15)-NORMSDIST((I40-$S$28)/B15))</f>
        <v>3.26897415044018e-9</v>
      </c>
      <c r="S40" s="70">
        <f>(NORMSDIST((I40-$S$28)/B15)-NORMSDIST((I40-$T$28)/B15))</f>
        <v>4.73708092879821e-18</v>
      </c>
      <c r="T40" s="70"/>
      <c r="U40" s="90">
        <f t="shared" si="2"/>
        <v>0.999999999999999</v>
      </c>
    </row>
    <row r="41" s="13" customFormat="1" ht="18" customHeight="1" spans="1:21">
      <c r="A41" s="43"/>
      <c r="B41" s="43"/>
      <c r="C41" s="38">
        <f t="shared" si="3"/>
        <v>0.267</v>
      </c>
      <c r="D41" s="49">
        <v>0</v>
      </c>
      <c r="E41" s="40">
        <v>38184</v>
      </c>
      <c r="F41" s="41">
        <f t="shared" si="0"/>
        <v>10.195128</v>
      </c>
      <c r="G41" s="41">
        <f t="shared" si="7"/>
        <v>672.878448</v>
      </c>
      <c r="H41" s="42">
        <f t="shared" si="4"/>
        <v>0.952550556180505</v>
      </c>
      <c r="I41" s="68">
        <f t="shared" si="6"/>
        <v>640.950739884275</v>
      </c>
      <c r="J41" s="68"/>
      <c r="K41" s="69">
        <f>(NORMSDIST((I41-$K$28)/B15)-NORMSDIST((I41-$L$28)/B15))</f>
        <v>0</v>
      </c>
      <c r="L41" s="69">
        <f>(NORMSDIST((I41-$L$28)/B15)-NORMSDIST((I41-$M$28)/B15))</f>
        <v>0</v>
      </c>
      <c r="M41" s="70">
        <f>(NORMSDIST((I41-$M$28)/B15)-NORMSDIST((I41-$N$28)/B15))</f>
        <v>5.87038639920934e-10</v>
      </c>
      <c r="N41" s="70">
        <f>(NORMSDIST((I41-$N$28)/B15)-NORMSDIST((I41-$O$28)/B15))</f>
        <v>0.00047324625534273</v>
      </c>
      <c r="O41" s="70">
        <f>(NORMSDIST((I41-$O$28)/B15)-NORMSDIST((I41-$P$28)/B15))</f>
        <v>0.298210895711587</v>
      </c>
      <c r="P41" s="70">
        <f>(NORMSDIST((I41-$P$28)/B15)-NORMSDIST((I41-$Q$28)/B15))</f>
        <v>0.689078332273505</v>
      </c>
      <c r="Q41" s="70">
        <f>(NORMSDIST((I41-$Q$28)/B15)-NORMSDIST((I41-$R$28)/B15))</f>
        <v>0.0122372765421107</v>
      </c>
      <c r="R41" s="70">
        <f>(NORMSDIST((I41-$R$28)/B15)-NORMSDIST((I41-$S$28)/B15))</f>
        <v>2.48630413397161e-7</v>
      </c>
      <c r="S41" s="70">
        <f>(NORMSDIST((I41-$S$28)/B15)-NORMSDIST((I41-$T$28)/B15))</f>
        <v>2.97167020095071e-15</v>
      </c>
      <c r="T41" s="70"/>
      <c r="U41" s="90">
        <f t="shared" si="2"/>
        <v>1</v>
      </c>
    </row>
    <row r="42" s="13" customFormat="1" ht="18" customHeight="1" spans="1:21">
      <c r="A42" s="43"/>
      <c r="B42" s="43"/>
      <c r="C42" s="38">
        <f t="shared" si="3"/>
        <v>0.268</v>
      </c>
      <c r="D42" s="49"/>
      <c r="E42" s="40">
        <v>38184</v>
      </c>
      <c r="F42" s="41">
        <f t="shared" si="0"/>
        <v>10.233312</v>
      </c>
      <c r="G42" s="41">
        <f t="shared" si="7"/>
        <v>675.398592</v>
      </c>
      <c r="H42" s="42">
        <f t="shared" si="4"/>
        <v>0.951050556180505</v>
      </c>
      <c r="I42" s="68">
        <f t="shared" si="6"/>
        <v>642.33820656513</v>
      </c>
      <c r="J42" s="68"/>
      <c r="K42" s="69">
        <f>(NORMSDIST((I42-$K$28)/B15)-NORMSDIST((I42-$L$28)/B15))</f>
        <v>0</v>
      </c>
      <c r="L42" s="69">
        <f>(NORMSDIST((I42-$L$28)/B15)-NORMSDIST((I42-$M$28)/B15))</f>
        <v>0</v>
      </c>
      <c r="M42" s="70">
        <f>(NORMSDIST((I42-$M$28)/B15)-NORMSDIST((I42-$N$28)/B15))</f>
        <v>3.57658347382994e-12</v>
      </c>
      <c r="N42" s="70">
        <f>(NORMSDIST((I42-$N$28)/B15)-NORMSDIST((I42-$O$28)/B15))</f>
        <v>2.28316864231415e-5</v>
      </c>
      <c r="O42" s="70">
        <f>(NORMSDIST((I42-$O$28)/B15)-NORMSDIST((I42-$P$28)/B15))</f>
        <v>0.0969485070539606</v>
      </c>
      <c r="P42" s="70">
        <f>(NORMSDIST((I42-$P$28)/B15)-NORMSDIST((I42-$Q$28)/B15))</f>
        <v>0.833428315217073</v>
      </c>
      <c r="Q42" s="70">
        <f>(NORMSDIST((I42-$Q$28)/B15)-NORMSDIST((I42-$R$28)/B15))</f>
        <v>0.0695899658463146</v>
      </c>
      <c r="R42" s="70">
        <f>(NORMSDIST((I42-$R$28)/B15)-NORMSDIST((I42-$S$28)/B15))</f>
        <v>1.03801916507587e-5</v>
      </c>
      <c r="S42" s="70">
        <f>(NORMSDIST((I42-$S$28)/B15)-NORMSDIST((I42-$T$28)/B15))</f>
        <v>1.00110599413276e-12</v>
      </c>
      <c r="T42" s="70"/>
      <c r="U42" s="90">
        <f t="shared" si="2"/>
        <v>1</v>
      </c>
    </row>
    <row r="43" s="13" customFormat="1" ht="18" customHeight="1" spans="1:21">
      <c r="A43" s="43"/>
      <c r="B43" s="43"/>
      <c r="C43" s="38">
        <f t="shared" si="3"/>
        <v>0.269</v>
      </c>
      <c r="D43" s="49"/>
      <c r="E43" s="40">
        <v>38184</v>
      </c>
      <c r="F43" s="41">
        <f t="shared" si="0"/>
        <v>10.271496</v>
      </c>
      <c r="G43" s="41">
        <f t="shared" si="7"/>
        <v>677.918736</v>
      </c>
      <c r="H43" s="42">
        <f t="shared" si="4"/>
        <v>0.949550556180505</v>
      </c>
      <c r="I43" s="68">
        <f t="shared" si="6"/>
        <v>643.718112813985</v>
      </c>
      <c r="J43" s="68"/>
      <c r="K43" s="69">
        <f>(NORMSDIST((I43-$K$28)/B15)-NORMSDIST((I43-$L$28)/B15))</f>
        <v>0</v>
      </c>
      <c r="L43" s="69">
        <f>(NORMSDIST((I43-$L$28)/B15)-NORMSDIST((I43-$M$28)/B15))</f>
        <v>0</v>
      </c>
      <c r="M43" s="70">
        <f>(NORMSDIST((I43-$M$28)/B15)-NORMSDIST((I43-$N$28)/B15))</f>
        <v>1.25455201782643e-14</v>
      </c>
      <c r="N43" s="70">
        <f>(NORMSDIST((I43-$N$28)/B15)-NORMSDIST((I43-$O$28)/B15))</f>
        <v>6.38192678481531e-7</v>
      </c>
      <c r="O43" s="70">
        <f>(NORMSDIST((I43-$O$28)/B15)-NORMSDIST((I43-$P$28)/B15))</f>
        <v>0.0194316326673077</v>
      </c>
      <c r="P43" s="70">
        <f>(NORMSDIST((I43-$P$28)/B15)-NORMSDIST((I43-$Q$28)/B15))</f>
        <v>0.742384737459984</v>
      </c>
      <c r="Q43" s="70">
        <f>(NORMSDIST((I43-$Q$28)/B15)-NORMSDIST((I43-$R$28)/B15))</f>
        <v>0.237941424759975</v>
      </c>
      <c r="R43" s="70">
        <f>(NORMSDIST((I43-$R$28)/B15)-NORMSDIST((I43-$S$28)/B15))</f>
        <v>0.000241566736850621</v>
      </c>
      <c r="S43" s="70">
        <f>(NORMSDIST((I43-$S$28)/B15)-NORMSDIST((I43-$T$28)/B15))</f>
        <v>1.83192158851863e-10</v>
      </c>
      <c r="T43" s="70"/>
      <c r="U43" s="90">
        <f t="shared" si="2"/>
        <v>1</v>
      </c>
    </row>
    <row r="44" s="13" customFormat="1" ht="18" hidden="1" customHeight="1" spans="1:21">
      <c r="A44" s="43"/>
      <c r="B44" s="43"/>
      <c r="C44" s="38">
        <f t="shared" si="3"/>
        <v>0.27</v>
      </c>
      <c r="D44" s="49"/>
      <c r="E44" s="40">
        <v>38184</v>
      </c>
      <c r="F44" s="41">
        <f t="shared" si="0"/>
        <v>10.30968</v>
      </c>
      <c r="G44" s="41">
        <f t="shared" si="7"/>
        <v>680.43888</v>
      </c>
      <c r="H44" s="42">
        <f t="shared" si="4"/>
        <v>0.948050556180505</v>
      </c>
      <c r="I44" s="68">
        <f t="shared" si="6"/>
        <v>645.09045863084</v>
      </c>
      <c r="J44" s="68"/>
      <c r="K44" s="69">
        <f>(NORMSDIST((I44-$K$28)/B15)-NORMSDIST((I44-$L$28)/B15))</f>
        <v>0</v>
      </c>
      <c r="L44" s="69">
        <f>(NORMSDIST((I44-$L$28)/B15)-NORMSDIST((I44-$M$28)/B15))</f>
        <v>0</v>
      </c>
      <c r="M44" s="70">
        <f>(NORMSDIST((I44-$M$28)/B15)-NORMSDIST((I44-$N$28)/B15))</f>
        <v>0</v>
      </c>
      <c r="N44" s="70">
        <f>(NORMSDIST((I44-$N$28)/B15)-NORMSDIST((I44-$O$28)/B15))</f>
        <v>1.03641417670275e-8</v>
      </c>
      <c r="O44" s="70">
        <f>(NORMSDIST((I44-$O$28)/B15)-NORMSDIST((I44-$P$28)/B15))</f>
        <v>0.0023417416811542</v>
      </c>
      <c r="P44" s="70">
        <f>(NORMSDIST((I44-$P$28)/B15)-NORMSDIST((I44-$Q$28)/B15))</f>
        <v>0.477617921282462</v>
      </c>
      <c r="Q44" s="70">
        <f>(NORMSDIST((I44-$Q$28)/B15)-NORMSDIST((I44-$R$28)/B15))</f>
        <v>0.516849736064897</v>
      </c>
      <c r="R44" s="70">
        <f>(NORMSDIST((I44-$R$28)/B15)-NORMSDIST((I44-$S$28)/B15))</f>
        <v>0.00319057218041724</v>
      </c>
      <c r="S44" s="70">
        <f>(NORMSDIST((I44-$S$28)/B15)-NORMSDIST((I44-$T$28)/B15))</f>
        <v>1.84269272928421e-8</v>
      </c>
      <c r="T44" s="70"/>
      <c r="U44" s="90">
        <f t="shared" si="2"/>
        <v>1</v>
      </c>
    </row>
    <row r="45" s="13" customFormat="1" ht="18" hidden="1" customHeight="1" spans="1:21">
      <c r="A45" s="43"/>
      <c r="B45" s="43"/>
      <c r="C45" s="38">
        <f t="shared" si="3"/>
        <v>0.271</v>
      </c>
      <c r="D45" s="55"/>
      <c r="E45" s="40">
        <v>38184</v>
      </c>
      <c r="F45" s="41">
        <f t="shared" si="0"/>
        <v>10.347864</v>
      </c>
      <c r="G45" s="41">
        <f t="shared" si="7"/>
        <v>682.959024</v>
      </c>
      <c r="H45" s="42">
        <f t="shared" si="4"/>
        <v>0.946550556180505</v>
      </c>
      <c r="I45" s="68">
        <f t="shared" si="6"/>
        <v>646.455244015695</v>
      </c>
      <c r="J45" s="68"/>
      <c r="K45" s="69">
        <f>(NORMSDIST((I45-$K$28)/B15)-NORMSDIST((I45-$L$28)/B15))</f>
        <v>0</v>
      </c>
      <c r="L45" s="69">
        <f>(NORMSDIST((I45-$L$28)/B15)-NORMSDIST((I45-$M$28)/B15))</f>
        <v>0</v>
      </c>
      <c r="M45" s="70">
        <f>(NORMSDIST((I45-$M$28)/B15)-NORMSDIST((I45-$N$28)/B15))</f>
        <v>0</v>
      </c>
      <c r="N45" s="70">
        <f>(NORMSDIST((I45-$N$28)/B15)-NORMSDIST((I45-$O$28)/B15))</f>
        <v>9.82673942218071e-11</v>
      </c>
      <c r="O45" s="70">
        <f>(NORMSDIST((I45-$O$28)/B15)-NORMSDIST((I45-$P$28)/B15))</f>
        <v>0.000167735722405915</v>
      </c>
      <c r="P45" s="70">
        <f>(NORMSDIST((I45-$P$28)/B15)-NORMSDIST((I45-$Q$28)/B15))</f>
        <v>0.209242616034168</v>
      </c>
      <c r="Q45" s="70">
        <f>(NORMSDIST((I45-$Q$28)/B15)-NORMSDIST((I45-$R$28)/B15))</f>
        <v>0.766130832110571</v>
      </c>
      <c r="R45" s="70">
        <f>(NORMSDIST((I45-$R$28)/B15)-NORMSDIST((I45-$S$28)/B15))</f>
        <v>0.0244577841968377</v>
      </c>
      <c r="S45" s="70">
        <f>(NORMSDIST((I45-$S$28)/B15)-NORMSDIST((I45-$T$28)/B15))</f>
        <v>1.03183772421863e-6</v>
      </c>
      <c r="T45" s="70"/>
      <c r="U45" s="90">
        <f t="shared" si="2"/>
        <v>0.999999999999974</v>
      </c>
    </row>
    <row r="46" s="13" customFormat="1" ht="18" hidden="1" customHeight="1" spans="1:21">
      <c r="A46" s="43"/>
      <c r="B46" s="43"/>
      <c r="C46" s="38">
        <f t="shared" si="3"/>
        <v>0.272</v>
      </c>
      <c r="D46" s="55"/>
      <c r="E46" s="40">
        <v>38184</v>
      </c>
      <c r="F46" s="41">
        <f t="shared" si="0"/>
        <v>10.386048</v>
      </c>
      <c r="G46" s="41">
        <f t="shared" si="7"/>
        <v>685.479168</v>
      </c>
      <c r="H46" s="42">
        <f t="shared" si="4"/>
        <v>0.945050556180505</v>
      </c>
      <c r="I46" s="68">
        <f t="shared" si="6"/>
        <v>647.81246896855</v>
      </c>
      <c r="J46" s="68"/>
      <c r="K46" s="69">
        <f>(NORMSDIST((I46-$K$28)/B15)-NORMSDIST((I46-$L$28)/B15))</f>
        <v>0</v>
      </c>
      <c r="L46" s="69">
        <f>(NORMSDIST((I46-$L$28)/B15)-NORMSDIST((I46-$M$28)/B15))</f>
        <v>0</v>
      </c>
      <c r="M46" s="70">
        <f>(NORMSDIST((I46-$M$28)/B15)-NORMSDIST((I46-$N$28)/B15))</f>
        <v>0</v>
      </c>
      <c r="N46" s="70">
        <f>(NORMSDIST((I46-$N$28)/B15)-NORMSDIST((I46-$O$28)/B15))</f>
        <v>5.47339951140202e-13</v>
      </c>
      <c r="O46" s="70">
        <f>(NORMSDIST((I46-$O$28)/B15)-NORMSDIST((I46-$P$28)/B15))</f>
        <v>7.11569341271812e-6</v>
      </c>
      <c r="P46" s="70">
        <f>(NORMSDIST((I46-$P$28)/B15)-NORMSDIST((I46-$Q$28)/B15))</f>
        <v>0.0590800363265555</v>
      </c>
      <c r="Q46" s="70">
        <f>(NORMSDIST((I46-$Q$28)/B15)-NORMSDIST((I46-$R$28)/B15))</f>
        <v>0.828786052191584</v>
      </c>
      <c r="R46" s="70">
        <f>(NORMSDIST((I46-$R$28)/B15)-NORMSDIST((I46-$S$28)/B15))</f>
        <v>0.112094184520806</v>
      </c>
      <c r="S46" s="70">
        <f>(NORMSDIST((I46-$S$28)/B15)-NORMSDIST((I46-$T$28)/B15))</f>
        <v>3.26112606929795e-5</v>
      </c>
      <c r="T46" s="70"/>
      <c r="U46" s="90">
        <f t="shared" si="2"/>
        <v>0.999999999993598</v>
      </c>
    </row>
    <row r="47" s="13" customFormat="1" ht="18" hidden="1" customHeight="1" spans="1:21">
      <c r="A47" s="43"/>
      <c r="B47" s="43"/>
      <c r="C47" s="38">
        <f t="shared" si="3"/>
        <v>0.273</v>
      </c>
      <c r="D47" s="55"/>
      <c r="E47" s="40">
        <v>38184</v>
      </c>
      <c r="F47" s="41">
        <f t="shared" si="0"/>
        <v>10.424232</v>
      </c>
      <c r="G47" s="41">
        <f t="shared" si="7"/>
        <v>687.999312</v>
      </c>
      <c r="H47" s="42">
        <f t="shared" si="4"/>
        <v>0.943550556180505</v>
      </c>
      <c r="I47" s="68">
        <f t="shared" si="6"/>
        <v>649.162133489405</v>
      </c>
      <c r="J47" s="68"/>
      <c r="K47" s="69">
        <f>(NORMSDIST((I47-$K$28)/B15)-NORMSDIST((I47-$L$28)/B15))</f>
        <v>0</v>
      </c>
      <c r="L47" s="69">
        <f>(NORMSDIST((I47-$L$28)/B15)-NORMSDIST((I47-$M$28)/B15))</f>
        <v>0</v>
      </c>
      <c r="M47" s="70">
        <f>(NORMSDIST((I47-$M$28)/B15)-NORMSDIST((I47-$N$28)/B15))</f>
        <v>0</v>
      </c>
      <c r="N47" s="70">
        <f>(NORMSDIST((I47-$N$28)/B15)-NORMSDIST((I47-$O$28)/B15))</f>
        <v>1.77635683940025e-15</v>
      </c>
      <c r="O47" s="70">
        <f>(NORMSDIST((I47-$O$28)/B15)-NORMSDIST((I47-$P$28)/B15))</f>
        <v>1.78961750307849e-7</v>
      </c>
      <c r="P47" s="70">
        <f>(NORMSDIST((I47-$P$28)/B15)-NORMSDIST((I47-$Q$28)/B15))</f>
        <v>0.0103804989792806</v>
      </c>
      <c r="Q47" s="70">
        <f>(NORMSDIST((I47-$Q$28)/B15)-NORMSDIST((I47-$R$28)/B15))</f>
        <v>0.668825943311107</v>
      </c>
      <c r="R47" s="70">
        <f>(NORMSDIST((I47-$R$28)/B15)-NORMSDIST((I47-$S$28)/B15))</f>
        <v>0.320202525427034</v>
      </c>
      <c r="S47" s="70">
        <f>(NORMSDIST((I47-$S$28)/B15)-NORMSDIST((I47-$T$28)/B15))</f>
        <v>0.000590852454310496</v>
      </c>
      <c r="T47" s="70"/>
      <c r="U47" s="90">
        <f t="shared" si="2"/>
        <v>0.999999999133484</v>
      </c>
    </row>
    <row r="48" s="13" customFormat="1" ht="18" hidden="1" customHeight="1" spans="1:21">
      <c r="A48" s="43"/>
      <c r="B48" s="43"/>
      <c r="C48" s="38">
        <f t="shared" si="3"/>
        <v>0.274</v>
      </c>
      <c r="D48" s="55"/>
      <c r="E48" s="40">
        <v>38184</v>
      </c>
      <c r="F48" s="41">
        <f t="shared" si="0"/>
        <v>10.462416</v>
      </c>
      <c r="G48" s="41">
        <f t="shared" si="7"/>
        <v>690.519456</v>
      </c>
      <c r="H48" s="42">
        <f t="shared" si="4"/>
        <v>0.942050556180505</v>
      </c>
      <c r="I48" s="68">
        <f t="shared" si="6"/>
        <v>650.50423757826</v>
      </c>
      <c r="J48" s="68"/>
      <c r="K48" s="69">
        <f>(NORMSDIST((I48-$K$28)/B15)-NORMSDIST((I48-$L$28)/B15))</f>
        <v>0</v>
      </c>
      <c r="L48" s="69">
        <f>(NORMSDIST((I48-$L$28)/B15)-NORMSDIST((I48-$M$28)/B15))</f>
        <v>0</v>
      </c>
      <c r="M48" s="70">
        <f>(NORMSDIST((I48-$M$28)/B15)-NORMSDIST((I48-$N$28)/B15))</f>
        <v>0</v>
      </c>
      <c r="N48" s="70">
        <f>(NORMSDIST((I48-$N$28)/B15)-NORMSDIST((I48-$O$28)/B15))</f>
        <v>0</v>
      </c>
      <c r="O48" s="70">
        <f>(NORMSDIST((I48-$O$28)/B15)-NORMSDIST((I48-$P$28)/B15))</f>
        <v>2.67846012036443e-9</v>
      </c>
      <c r="P48" s="70">
        <f>(NORMSDIST((I48-$P$28)/B15)-NORMSDIST((I48-$Q$28)/B15))</f>
        <v>0.00111443072213924</v>
      </c>
      <c r="Q48" s="70">
        <f>(NORMSDIST((I48-$Q$28)/B15)-NORMSDIST((I48-$R$28)/B15))</f>
        <v>0.388573688581889</v>
      </c>
      <c r="R48" s="70">
        <f>(NORMSDIST((I48-$R$28)/B15)-NORMSDIST((I48-$S$28)/B15))</f>
        <v>0.604060825754607</v>
      </c>
      <c r="S48" s="70">
        <f>(NORMSDIST((I48-$S$28)/B15)-NORMSDIST((I48-$T$28)/B15))</f>
        <v>0.00625098603800101</v>
      </c>
      <c r="T48" s="70"/>
      <c r="U48" s="90">
        <f t="shared" si="2"/>
        <v>0.999999933775096</v>
      </c>
    </row>
    <row r="49" s="13" customFormat="1" ht="9.6" customHeight="1" spans="4:4">
      <c r="D49" s="56"/>
    </row>
    <row r="50" s="13" customFormat="1" ht="18" customHeight="1" spans="4:21">
      <c r="D50" s="57"/>
      <c r="I50" s="80" t="s">
        <v>90</v>
      </c>
      <c r="J50" s="80" t="s">
        <v>89</v>
      </c>
      <c r="K50" s="67">
        <f>K28</f>
        <v>615</v>
      </c>
      <c r="L50" s="67">
        <f t="shared" ref="L50:T50" si="8">L28</f>
        <v>620</v>
      </c>
      <c r="M50" s="67">
        <f t="shared" si="8"/>
        <v>625</v>
      </c>
      <c r="N50" s="67">
        <f t="shared" si="8"/>
        <v>630</v>
      </c>
      <c r="O50" s="67">
        <f t="shared" si="8"/>
        <v>635</v>
      </c>
      <c r="P50" s="67">
        <f t="shared" si="8"/>
        <v>640</v>
      </c>
      <c r="Q50" s="67">
        <f t="shared" si="8"/>
        <v>645</v>
      </c>
      <c r="R50" s="67">
        <f t="shared" si="8"/>
        <v>650</v>
      </c>
      <c r="S50" s="67">
        <f t="shared" si="8"/>
        <v>655</v>
      </c>
      <c r="T50" s="67">
        <f t="shared" si="8"/>
        <v>660</v>
      </c>
      <c r="U50" s="89" t="s">
        <v>96</v>
      </c>
    </row>
    <row r="51" s="13" customFormat="1" ht="18" customHeight="1" spans="9:21">
      <c r="I51" s="81">
        <f t="shared" ref="I51:I70" si="9">D29</f>
        <v>0</v>
      </c>
      <c r="J51" s="38">
        <f t="shared" ref="J51:J70" si="10">C29</f>
        <v>0.255</v>
      </c>
      <c r="K51" s="70">
        <f t="shared" ref="K51:K70" si="11">D29*K29</f>
        <v>0</v>
      </c>
      <c r="L51" s="70">
        <f t="shared" ref="L51:L70" si="12">D29*L29</f>
        <v>0</v>
      </c>
      <c r="M51" s="70">
        <f t="shared" ref="M51:M70" si="13">D29*M29</f>
        <v>0</v>
      </c>
      <c r="N51" s="70">
        <f t="shared" ref="N51:N70" si="14">D29*N29</f>
        <v>0</v>
      </c>
      <c r="O51" s="70">
        <f t="shared" ref="O51:O70" si="15">D29*O29</f>
        <v>0</v>
      </c>
      <c r="P51" s="70">
        <f t="shared" ref="P51:P70" si="16">D29*P29</f>
        <v>0</v>
      </c>
      <c r="Q51" s="70">
        <f t="shared" ref="Q51:Q70" si="17">D29*Q29</f>
        <v>0</v>
      </c>
      <c r="R51" s="70">
        <f t="shared" ref="R51:R70" si="18">D29*R29</f>
        <v>0</v>
      </c>
      <c r="S51" s="70">
        <f t="shared" ref="S51:S70" si="19">S29*D29</f>
        <v>0</v>
      </c>
      <c r="T51" s="70"/>
      <c r="U51" s="90"/>
    </row>
    <row r="52" s="13" customFormat="1" ht="18" customHeight="1" spans="9:21">
      <c r="I52" s="81">
        <f t="shared" si="9"/>
        <v>0</v>
      </c>
      <c r="J52" s="38">
        <f t="shared" si="10"/>
        <v>0.256</v>
      </c>
      <c r="K52" s="70">
        <f t="shared" si="11"/>
        <v>0</v>
      </c>
      <c r="L52" s="70">
        <f t="shared" si="12"/>
        <v>0</v>
      </c>
      <c r="M52" s="70">
        <f t="shared" si="13"/>
        <v>0</v>
      </c>
      <c r="N52" s="70">
        <f t="shared" si="14"/>
        <v>0</v>
      </c>
      <c r="O52" s="70">
        <f t="shared" si="15"/>
        <v>0</v>
      </c>
      <c r="P52" s="70">
        <f t="shared" si="16"/>
        <v>0</v>
      </c>
      <c r="Q52" s="70">
        <f t="shared" si="17"/>
        <v>0</v>
      </c>
      <c r="R52" s="70">
        <f t="shared" si="18"/>
        <v>0</v>
      </c>
      <c r="S52" s="70">
        <f t="shared" si="19"/>
        <v>0</v>
      </c>
      <c r="T52" s="70"/>
      <c r="U52" s="90"/>
    </row>
    <row r="53" s="13" customFormat="1" ht="18" customHeight="1" spans="9:21">
      <c r="I53" s="81">
        <f t="shared" si="9"/>
        <v>0</v>
      </c>
      <c r="J53" s="38">
        <f t="shared" si="10"/>
        <v>0.257</v>
      </c>
      <c r="K53" s="70">
        <f t="shared" si="11"/>
        <v>0</v>
      </c>
      <c r="L53" s="70">
        <f t="shared" si="12"/>
        <v>0</v>
      </c>
      <c r="M53" s="70">
        <f t="shared" si="13"/>
        <v>0</v>
      </c>
      <c r="N53" s="70">
        <f t="shared" si="14"/>
        <v>0</v>
      </c>
      <c r="O53" s="70">
        <f t="shared" si="15"/>
        <v>0</v>
      </c>
      <c r="P53" s="70">
        <f t="shared" si="16"/>
        <v>0</v>
      </c>
      <c r="Q53" s="70">
        <f t="shared" si="17"/>
        <v>0</v>
      </c>
      <c r="R53" s="70">
        <f t="shared" si="18"/>
        <v>0</v>
      </c>
      <c r="S53" s="70">
        <f t="shared" si="19"/>
        <v>0</v>
      </c>
      <c r="T53" s="70"/>
      <c r="U53" s="90"/>
    </row>
    <row r="54" s="13" customFormat="1" ht="18" customHeight="1" spans="9:21">
      <c r="I54" s="81">
        <f t="shared" si="9"/>
        <v>0</v>
      </c>
      <c r="J54" s="38">
        <f t="shared" si="10"/>
        <v>0.258</v>
      </c>
      <c r="K54" s="74">
        <f t="shared" si="11"/>
        <v>0</v>
      </c>
      <c r="L54" s="74">
        <f t="shared" si="12"/>
        <v>0</v>
      </c>
      <c r="M54" s="74">
        <f t="shared" si="13"/>
        <v>0</v>
      </c>
      <c r="N54" s="74">
        <f t="shared" si="14"/>
        <v>0</v>
      </c>
      <c r="O54" s="74">
        <f t="shared" si="15"/>
        <v>0</v>
      </c>
      <c r="P54" s="74">
        <f t="shared" si="16"/>
        <v>0</v>
      </c>
      <c r="Q54" s="74">
        <f t="shared" si="17"/>
        <v>0</v>
      </c>
      <c r="R54" s="74">
        <f t="shared" si="18"/>
        <v>0</v>
      </c>
      <c r="S54" s="74">
        <f t="shared" si="19"/>
        <v>0</v>
      </c>
      <c r="T54" s="70"/>
      <c r="U54" s="90"/>
    </row>
    <row r="55" s="13" customFormat="1" ht="18" customHeight="1" spans="9:21">
      <c r="I55" s="81">
        <f t="shared" si="9"/>
        <v>0</v>
      </c>
      <c r="J55" s="38">
        <f t="shared" si="10"/>
        <v>0.259</v>
      </c>
      <c r="K55" s="70">
        <f t="shared" si="11"/>
        <v>0</v>
      </c>
      <c r="L55" s="70">
        <f t="shared" si="12"/>
        <v>0</v>
      </c>
      <c r="M55" s="70">
        <f t="shared" si="13"/>
        <v>0</v>
      </c>
      <c r="N55" s="70">
        <f t="shared" si="14"/>
        <v>0</v>
      </c>
      <c r="O55" s="70">
        <f t="shared" si="15"/>
        <v>0</v>
      </c>
      <c r="P55" s="70">
        <f t="shared" si="16"/>
        <v>0</v>
      </c>
      <c r="Q55" s="70">
        <f t="shared" si="17"/>
        <v>0</v>
      </c>
      <c r="R55" s="70">
        <f t="shared" si="18"/>
        <v>0</v>
      </c>
      <c r="S55" s="70">
        <f t="shared" si="19"/>
        <v>0</v>
      </c>
      <c r="T55" s="70"/>
      <c r="U55" s="90"/>
    </row>
    <row r="56" s="13" customFormat="1" ht="18" customHeight="1" spans="9:21">
      <c r="I56" s="81">
        <f t="shared" si="9"/>
        <v>0.0341140293136703</v>
      </c>
      <c r="J56" s="38">
        <f t="shared" si="10"/>
        <v>0.26</v>
      </c>
      <c r="K56" s="70">
        <f t="shared" si="11"/>
        <v>1.53720846620794e-11</v>
      </c>
      <c r="L56" s="70">
        <f t="shared" si="12"/>
        <v>1.38732839292723e-5</v>
      </c>
      <c r="M56" s="70">
        <f t="shared" si="13"/>
        <v>0.00968105139391669</v>
      </c>
      <c r="N56" s="70">
        <f t="shared" si="14"/>
        <v>0.0239536179376626</v>
      </c>
      <c r="O56" s="70">
        <f t="shared" si="15"/>
        <v>0.000465476120602023</v>
      </c>
      <c r="P56" s="70">
        <f t="shared" si="16"/>
        <v>1.05621875211683e-8</v>
      </c>
      <c r="Q56" s="70">
        <f t="shared" si="17"/>
        <v>1.41589314225462e-16</v>
      </c>
      <c r="R56" s="70">
        <f t="shared" si="18"/>
        <v>9.56787691340336e-28</v>
      </c>
      <c r="S56" s="70">
        <f t="shared" si="19"/>
        <v>3.084088867464e-42</v>
      </c>
      <c r="T56" s="70"/>
      <c r="U56" s="90"/>
    </row>
    <row r="57" s="13" customFormat="1" ht="18" customHeight="1" spans="9:21">
      <c r="I57" s="81">
        <f t="shared" si="9"/>
        <v>0.0586334878828709</v>
      </c>
      <c r="J57" s="38">
        <f t="shared" si="10"/>
        <v>0.261</v>
      </c>
      <c r="K57" s="70">
        <f t="shared" si="11"/>
        <v>1.26729376115767e-13</v>
      </c>
      <c r="L57" s="70">
        <f t="shared" si="12"/>
        <v>9.81424289487455e-7</v>
      </c>
      <c r="M57" s="70">
        <f t="shared" si="13"/>
        <v>0.0049970532467835</v>
      </c>
      <c r="N57" s="70">
        <f t="shared" si="14"/>
        <v>0.0489626684665206</v>
      </c>
      <c r="O57" s="70">
        <f t="shared" si="15"/>
        <v>0.00467194838184801</v>
      </c>
      <c r="P57" s="70">
        <f t="shared" si="16"/>
        <v>8.36363204701959e-7</v>
      </c>
      <c r="Q57" s="70">
        <f t="shared" si="17"/>
        <v>9.78747288677346e-14</v>
      </c>
      <c r="R57" s="70">
        <f t="shared" si="18"/>
        <v>5.94055688519874e-24</v>
      </c>
      <c r="S57" s="70">
        <f t="shared" si="19"/>
        <v>1.73958044130959e-37</v>
      </c>
      <c r="T57" s="70"/>
      <c r="U57" s="90"/>
    </row>
    <row r="58" s="13" customFormat="1" ht="18" customHeight="1" spans="9:21">
      <c r="I58" s="81">
        <f t="shared" si="9"/>
        <v>0.0841203302499458</v>
      </c>
      <c r="J58" s="38">
        <f t="shared" si="10"/>
        <v>0.262</v>
      </c>
      <c r="K58" s="70">
        <f t="shared" si="11"/>
        <v>4.76300870161065e-16</v>
      </c>
      <c r="L58" s="70">
        <f t="shared" si="12"/>
        <v>3.21176940337876e-8</v>
      </c>
      <c r="M58" s="70">
        <f t="shared" si="13"/>
        <v>0.00127272025669448</v>
      </c>
      <c r="N58" s="70">
        <f t="shared" si="14"/>
        <v>0.0600877279328587</v>
      </c>
      <c r="O58" s="70">
        <f t="shared" si="15"/>
        <v>0.0227303336160318</v>
      </c>
      <c r="P58" s="70">
        <f t="shared" si="16"/>
        <v>2.95162973316335e-5</v>
      </c>
      <c r="Q58" s="70">
        <f t="shared" si="17"/>
        <v>2.93346788518822e-11</v>
      </c>
      <c r="R58" s="70">
        <f t="shared" si="18"/>
        <v>1.5723155952523e-20</v>
      </c>
      <c r="S58" s="70">
        <f t="shared" si="19"/>
        <v>4.12464378919085e-33</v>
      </c>
      <c r="T58" s="70"/>
      <c r="U58" s="90"/>
    </row>
    <row r="59" s="13" customFormat="1" ht="18" customHeight="1" spans="9:21">
      <c r="I59" s="81">
        <f t="shared" si="9"/>
        <v>0.231516943533095</v>
      </c>
      <c r="J59" s="38">
        <f t="shared" si="10"/>
        <v>0.263</v>
      </c>
      <c r="K59" s="70">
        <f t="shared" si="11"/>
        <v>0</v>
      </c>
      <c r="L59" s="70">
        <f t="shared" si="12"/>
        <v>1.12042363177935e-9</v>
      </c>
      <c r="M59" s="70">
        <f t="shared" si="13"/>
        <v>0.000357874998641075</v>
      </c>
      <c r="N59" s="70">
        <f t="shared" si="14"/>
        <v>0.0988007385795641</v>
      </c>
      <c r="O59" s="70">
        <f t="shared" si="15"/>
        <v>0.131269944805767</v>
      </c>
      <c r="P59" s="70">
        <f t="shared" si="16"/>
        <v>0.00108837515625316</v>
      </c>
      <c r="Q59" s="70">
        <f t="shared" si="17"/>
        <v>8.87244561149657e-9</v>
      </c>
      <c r="R59" s="70">
        <f t="shared" si="18"/>
        <v>4.12214151790337e-17</v>
      </c>
      <c r="S59" s="70">
        <f t="shared" si="19"/>
        <v>9.5475723119321e-29</v>
      </c>
      <c r="T59" s="70"/>
      <c r="U59" s="90"/>
    </row>
    <row r="60" s="13" customFormat="1" ht="18" customHeight="1" spans="9:21">
      <c r="I60" s="81">
        <f t="shared" si="9"/>
        <v>0.320133020125304</v>
      </c>
      <c r="J60" s="38">
        <f t="shared" si="10"/>
        <v>0.264</v>
      </c>
      <c r="K60" s="70">
        <f t="shared" si="11"/>
        <v>0</v>
      </c>
      <c r="L60" s="70">
        <f t="shared" si="12"/>
        <v>1.09666680356594e-11</v>
      </c>
      <c r="M60" s="70">
        <f t="shared" si="13"/>
        <v>2.8748912664917e-5</v>
      </c>
      <c r="N60" s="70">
        <f t="shared" si="14"/>
        <v>0.0532548684595905</v>
      </c>
      <c r="O60" s="70">
        <f t="shared" si="15"/>
        <v>0.2555839182828</v>
      </c>
      <c r="P60" s="70">
        <f t="shared" si="16"/>
        <v>0.011264765512063</v>
      </c>
      <c r="Q60" s="70">
        <f t="shared" si="17"/>
        <v>7.18947190729899e-7</v>
      </c>
      <c r="R60" s="70">
        <f t="shared" si="18"/>
        <v>2.83525944934405e-14</v>
      </c>
      <c r="S60" s="70">
        <f t="shared" si="19"/>
        <v>5.7105390979909e-25</v>
      </c>
      <c r="T60" s="70"/>
      <c r="U60" s="90"/>
    </row>
    <row r="61" s="13" customFormat="1" ht="18" customHeight="1" spans="9:21">
      <c r="I61" s="81">
        <f t="shared" si="9"/>
        <v>0.22052468114755</v>
      </c>
      <c r="J61" s="38">
        <f t="shared" si="10"/>
        <v>0.265</v>
      </c>
      <c r="K61" s="70">
        <f t="shared" si="11"/>
        <v>0</v>
      </c>
      <c r="L61" s="70">
        <f t="shared" si="12"/>
        <v>3.00653178407985e-14</v>
      </c>
      <c r="M61" s="70">
        <f t="shared" si="13"/>
        <v>6.51865556952364e-7</v>
      </c>
      <c r="N61" s="70">
        <f t="shared" si="14"/>
        <v>0.00880039695245155</v>
      </c>
      <c r="O61" s="70">
        <f t="shared" si="15"/>
        <v>0.178107731621898</v>
      </c>
      <c r="P61" s="70">
        <f t="shared" si="16"/>
        <v>0.0336001902953977</v>
      </c>
      <c r="Q61" s="70">
        <f t="shared" si="17"/>
        <v>1.57104070837047e-5</v>
      </c>
      <c r="R61" s="70">
        <f t="shared" si="18"/>
        <v>5.13184533475309e-12</v>
      </c>
      <c r="S61" s="70">
        <f t="shared" si="19"/>
        <v>8.84412457166777e-22</v>
      </c>
      <c r="T61" s="70"/>
      <c r="U61" s="90"/>
    </row>
    <row r="62" s="13" customFormat="1" ht="18" customHeight="1" spans="9:21">
      <c r="I62" s="81">
        <f t="shared" si="9"/>
        <v>0.0509575077475633</v>
      </c>
      <c r="J62" s="38">
        <f t="shared" si="10"/>
        <v>0.266</v>
      </c>
      <c r="K62" s="70">
        <f t="shared" si="11"/>
        <v>0</v>
      </c>
      <c r="L62" s="70">
        <f t="shared" si="12"/>
        <v>0</v>
      </c>
      <c r="M62" s="70">
        <f t="shared" si="13"/>
        <v>2.81265396909078e-9</v>
      </c>
      <c r="N62" s="70">
        <f t="shared" si="14"/>
        <v>0.00028982709242668</v>
      </c>
      <c r="O62" s="70">
        <f t="shared" si="15"/>
        <v>0.0301561929409211</v>
      </c>
      <c r="P62" s="70">
        <f t="shared" si="16"/>
        <v>0.0204480532894965</v>
      </c>
      <c r="Q62" s="70">
        <f t="shared" si="17"/>
        <v>6.3431445486254e-5</v>
      </c>
      <c r="R62" s="70">
        <f t="shared" si="18"/>
        <v>1.6657877559764e-10</v>
      </c>
      <c r="S62" s="70">
        <f t="shared" si="19"/>
        <v>2.41389838130069e-19</v>
      </c>
      <c r="T62" s="70"/>
      <c r="U62" s="90"/>
    </row>
    <row r="63" s="13" customFormat="1" ht="18" customHeight="1" spans="9:21">
      <c r="I63" s="81">
        <f t="shared" si="9"/>
        <v>0</v>
      </c>
      <c r="J63" s="38">
        <f t="shared" si="10"/>
        <v>0.267</v>
      </c>
      <c r="K63" s="70">
        <f t="shared" si="11"/>
        <v>0</v>
      </c>
      <c r="L63" s="70">
        <f t="shared" si="12"/>
        <v>0</v>
      </c>
      <c r="M63" s="70">
        <f t="shared" si="13"/>
        <v>0</v>
      </c>
      <c r="N63" s="70">
        <f t="shared" si="14"/>
        <v>0</v>
      </c>
      <c r="O63" s="70">
        <f t="shared" si="15"/>
        <v>0</v>
      </c>
      <c r="P63" s="70">
        <f t="shared" si="16"/>
        <v>0</v>
      </c>
      <c r="Q63" s="70">
        <f t="shared" si="17"/>
        <v>0</v>
      </c>
      <c r="R63" s="70">
        <f t="shared" si="18"/>
        <v>0</v>
      </c>
      <c r="S63" s="70">
        <f t="shared" si="19"/>
        <v>0</v>
      </c>
      <c r="T63" s="70"/>
      <c r="U63" s="90"/>
    </row>
    <row r="64" s="13" customFormat="1" ht="18" customHeight="1" spans="9:21">
      <c r="I64" s="81">
        <f t="shared" si="9"/>
        <v>0</v>
      </c>
      <c r="J64" s="38">
        <f t="shared" si="10"/>
        <v>0.268</v>
      </c>
      <c r="K64" s="70">
        <f t="shared" si="11"/>
        <v>0</v>
      </c>
      <c r="L64" s="70">
        <f t="shared" si="12"/>
        <v>0</v>
      </c>
      <c r="M64" s="70">
        <f t="shared" si="13"/>
        <v>0</v>
      </c>
      <c r="N64" s="70">
        <f t="shared" si="14"/>
        <v>0</v>
      </c>
      <c r="O64" s="70">
        <f t="shared" si="15"/>
        <v>0</v>
      </c>
      <c r="P64" s="70">
        <f t="shared" si="16"/>
        <v>0</v>
      </c>
      <c r="Q64" s="70">
        <f t="shared" si="17"/>
        <v>0</v>
      </c>
      <c r="R64" s="70">
        <f t="shared" si="18"/>
        <v>0</v>
      </c>
      <c r="S64" s="70">
        <f t="shared" si="19"/>
        <v>0</v>
      </c>
      <c r="T64" s="70"/>
      <c r="U64" s="90"/>
    </row>
    <row r="65" s="13" customFormat="1" ht="18" customHeight="1" spans="9:21">
      <c r="I65" s="81">
        <f t="shared" si="9"/>
        <v>0</v>
      </c>
      <c r="J65" s="38">
        <f t="shared" si="10"/>
        <v>0.269</v>
      </c>
      <c r="K65" s="70">
        <f t="shared" si="11"/>
        <v>0</v>
      </c>
      <c r="L65" s="70">
        <f t="shared" si="12"/>
        <v>0</v>
      </c>
      <c r="M65" s="70">
        <f t="shared" si="13"/>
        <v>0</v>
      </c>
      <c r="N65" s="70">
        <f t="shared" si="14"/>
        <v>0</v>
      </c>
      <c r="O65" s="70">
        <f t="shared" si="15"/>
        <v>0</v>
      </c>
      <c r="P65" s="70">
        <f t="shared" si="16"/>
        <v>0</v>
      </c>
      <c r="Q65" s="70">
        <f t="shared" si="17"/>
        <v>0</v>
      </c>
      <c r="R65" s="70">
        <f t="shared" si="18"/>
        <v>0</v>
      </c>
      <c r="S65" s="70">
        <f t="shared" si="19"/>
        <v>0</v>
      </c>
      <c r="T65" s="70"/>
      <c r="U65" s="90"/>
    </row>
    <row r="66" s="13" customFormat="1" ht="18" customHeight="1" spans="9:21">
      <c r="I66" s="81">
        <f t="shared" si="9"/>
        <v>0</v>
      </c>
      <c r="J66" s="38">
        <f t="shared" si="10"/>
        <v>0.27</v>
      </c>
      <c r="K66" s="70">
        <f t="shared" si="11"/>
        <v>0</v>
      </c>
      <c r="L66" s="70">
        <f t="shared" si="12"/>
        <v>0</v>
      </c>
      <c r="M66" s="70">
        <f t="shared" si="13"/>
        <v>0</v>
      </c>
      <c r="N66" s="70">
        <f t="shared" si="14"/>
        <v>0</v>
      </c>
      <c r="O66" s="70">
        <f t="shared" si="15"/>
        <v>0</v>
      </c>
      <c r="P66" s="70">
        <f t="shared" si="16"/>
        <v>0</v>
      </c>
      <c r="Q66" s="70">
        <f t="shared" si="17"/>
        <v>0</v>
      </c>
      <c r="R66" s="70">
        <f t="shared" si="18"/>
        <v>0</v>
      </c>
      <c r="S66" s="70">
        <f t="shared" si="19"/>
        <v>0</v>
      </c>
      <c r="T66" s="70"/>
      <c r="U66" s="90"/>
    </row>
    <row r="67" s="13" customFormat="1" ht="18" customHeight="1" spans="9:21">
      <c r="I67" s="81">
        <f t="shared" si="9"/>
        <v>0</v>
      </c>
      <c r="J67" s="38">
        <f t="shared" si="10"/>
        <v>0.271</v>
      </c>
      <c r="K67" s="70">
        <f t="shared" si="11"/>
        <v>0</v>
      </c>
      <c r="L67" s="70">
        <f t="shared" si="12"/>
        <v>0</v>
      </c>
      <c r="M67" s="70">
        <f t="shared" si="13"/>
        <v>0</v>
      </c>
      <c r="N67" s="70">
        <f t="shared" si="14"/>
        <v>0</v>
      </c>
      <c r="O67" s="70">
        <f t="shared" si="15"/>
        <v>0</v>
      </c>
      <c r="P67" s="70">
        <f t="shared" si="16"/>
        <v>0</v>
      </c>
      <c r="Q67" s="70">
        <f t="shared" si="17"/>
        <v>0</v>
      </c>
      <c r="R67" s="70">
        <f t="shared" si="18"/>
        <v>0</v>
      </c>
      <c r="S67" s="70">
        <f t="shared" si="19"/>
        <v>0</v>
      </c>
      <c r="T67" s="70"/>
      <c r="U67" s="90"/>
    </row>
    <row r="68" s="13" customFormat="1" ht="18" customHeight="1" spans="9:21">
      <c r="I68" s="81">
        <f t="shared" si="9"/>
        <v>0</v>
      </c>
      <c r="J68" s="38">
        <f t="shared" si="10"/>
        <v>0.272</v>
      </c>
      <c r="K68" s="70">
        <f t="shared" si="11"/>
        <v>0</v>
      </c>
      <c r="L68" s="70">
        <f t="shared" si="12"/>
        <v>0</v>
      </c>
      <c r="M68" s="70">
        <f t="shared" si="13"/>
        <v>0</v>
      </c>
      <c r="N68" s="70">
        <f t="shared" si="14"/>
        <v>0</v>
      </c>
      <c r="O68" s="70">
        <f t="shared" si="15"/>
        <v>0</v>
      </c>
      <c r="P68" s="70">
        <f t="shared" si="16"/>
        <v>0</v>
      </c>
      <c r="Q68" s="70">
        <f t="shared" si="17"/>
        <v>0</v>
      </c>
      <c r="R68" s="70">
        <f t="shared" si="18"/>
        <v>0</v>
      </c>
      <c r="S68" s="70">
        <f t="shared" si="19"/>
        <v>0</v>
      </c>
      <c r="T68" s="70"/>
      <c r="U68" s="90"/>
    </row>
    <row r="69" s="13" customFormat="1" ht="18" customHeight="1" spans="9:21">
      <c r="I69" s="81">
        <f t="shared" si="9"/>
        <v>0</v>
      </c>
      <c r="J69" s="38">
        <f t="shared" si="10"/>
        <v>0.273</v>
      </c>
      <c r="K69" s="70">
        <f t="shared" si="11"/>
        <v>0</v>
      </c>
      <c r="L69" s="70">
        <f t="shared" si="12"/>
        <v>0</v>
      </c>
      <c r="M69" s="70">
        <f t="shared" si="13"/>
        <v>0</v>
      </c>
      <c r="N69" s="70">
        <f t="shared" si="14"/>
        <v>0</v>
      </c>
      <c r="O69" s="70">
        <f t="shared" si="15"/>
        <v>0</v>
      </c>
      <c r="P69" s="70">
        <f t="shared" si="16"/>
        <v>0</v>
      </c>
      <c r="Q69" s="70">
        <f t="shared" si="17"/>
        <v>0</v>
      </c>
      <c r="R69" s="70">
        <f t="shared" si="18"/>
        <v>0</v>
      </c>
      <c r="S69" s="70">
        <f t="shared" si="19"/>
        <v>0</v>
      </c>
      <c r="T69" s="70"/>
      <c r="U69" s="90"/>
    </row>
    <row r="70" s="13" customFormat="1" ht="18" customHeight="1" spans="9:21">
      <c r="I70" s="81">
        <f t="shared" si="9"/>
        <v>0</v>
      </c>
      <c r="J70" s="38">
        <f t="shared" si="10"/>
        <v>0.274</v>
      </c>
      <c r="K70" s="70">
        <f t="shared" si="11"/>
        <v>0</v>
      </c>
      <c r="L70" s="70">
        <f t="shared" si="12"/>
        <v>0</v>
      </c>
      <c r="M70" s="70">
        <f t="shared" si="13"/>
        <v>0</v>
      </c>
      <c r="N70" s="70">
        <f t="shared" si="14"/>
        <v>0</v>
      </c>
      <c r="O70" s="70">
        <f t="shared" si="15"/>
        <v>0</v>
      </c>
      <c r="P70" s="70">
        <f t="shared" si="16"/>
        <v>0</v>
      </c>
      <c r="Q70" s="70">
        <f t="shared" si="17"/>
        <v>0</v>
      </c>
      <c r="R70" s="70">
        <f t="shared" si="18"/>
        <v>0</v>
      </c>
      <c r="S70" s="70">
        <f t="shared" si="19"/>
        <v>0</v>
      </c>
      <c r="T70" s="70"/>
      <c r="U70" s="90"/>
    </row>
    <row r="71" s="13" customFormat="1" ht="18" customHeight="1" spans="9:21">
      <c r="I71" s="97" t="s">
        <v>100</v>
      </c>
      <c r="J71" s="98"/>
      <c r="K71" s="99">
        <f t="shared" ref="K71:S71" si="20">SUM(K51:K70)</f>
        <v>1.54992903390653e-11</v>
      </c>
      <c r="L71" s="99">
        <f t="shared" si="20"/>
        <v>1.48879573331587e-5</v>
      </c>
      <c r="M71" s="99">
        <f t="shared" si="20"/>
        <v>0.0163381034869116</v>
      </c>
      <c r="N71" s="99">
        <f t="shared" si="20"/>
        <v>0.294149845421075</v>
      </c>
      <c r="O71" s="99">
        <f t="shared" si="20"/>
        <v>0.622985545769868</v>
      </c>
      <c r="P71" s="99">
        <f t="shared" si="20"/>
        <v>0.0664317474759342</v>
      </c>
      <c r="Q71" s="99">
        <f t="shared" si="20"/>
        <v>7.98697016389953e-5</v>
      </c>
      <c r="R71" s="99">
        <f t="shared" si="20"/>
        <v>1.7173901476403e-10</v>
      </c>
      <c r="S71" s="99">
        <f t="shared" si="20"/>
        <v>2.42274821736626e-19</v>
      </c>
      <c r="T71" s="99"/>
      <c r="U71" s="101">
        <f>SUM(K71:T71)</f>
        <v>0.999999999999999</v>
      </c>
    </row>
    <row r="72" ht="18" customHeight="1" spans="11:20">
      <c r="K72" s="67">
        <f>K50</f>
        <v>615</v>
      </c>
      <c r="L72" s="67">
        <f t="shared" ref="L72:T72" si="21">L50</f>
        <v>620</v>
      </c>
      <c r="M72" s="67">
        <f t="shared" si="21"/>
        <v>625</v>
      </c>
      <c r="N72" s="67">
        <f t="shared" si="21"/>
        <v>630</v>
      </c>
      <c r="O72" s="67">
        <f t="shared" si="21"/>
        <v>635</v>
      </c>
      <c r="P72" s="67">
        <f t="shared" si="21"/>
        <v>640</v>
      </c>
      <c r="Q72" s="67">
        <f t="shared" si="21"/>
        <v>645</v>
      </c>
      <c r="R72" s="67">
        <f t="shared" si="21"/>
        <v>650</v>
      </c>
      <c r="S72" s="67">
        <f t="shared" si="21"/>
        <v>655</v>
      </c>
      <c r="T72" s="67">
        <f t="shared" si="21"/>
        <v>660</v>
      </c>
    </row>
    <row r="73" ht="4.8" customHeight="1" spans="9:9">
      <c r="I73" s="100"/>
    </row>
    <row r="74" ht="4.8" customHeight="1" spans="9:9">
      <c r="I74" s="100"/>
    </row>
    <row r="75" ht="4.8" customHeight="1" spans="9:9">
      <c r="I75" s="100"/>
    </row>
    <row r="76" ht="26.4" customHeight="1" spans="1:15">
      <c r="A76" s="92" t="s">
        <v>101</v>
      </c>
      <c r="B76" s="126" t="s">
        <v>89</v>
      </c>
      <c r="C76" s="126" t="str">
        <f>C9</f>
        <v>芜湖（80mg）</v>
      </c>
      <c r="D76" s="126" t="str">
        <f t="shared" ref="D76:O76" si="22">D9</f>
        <v>芜湖（105mg）</v>
      </c>
      <c r="E76" s="126" t="str">
        <f t="shared" si="22"/>
        <v>芜湖（125mg）</v>
      </c>
      <c r="F76" s="126" t="str">
        <f t="shared" si="22"/>
        <v>英发</v>
      </c>
      <c r="G76" s="126" t="str">
        <f t="shared" si="22"/>
        <v>通威</v>
      </c>
      <c r="H76" s="126" t="str">
        <f t="shared" si="22"/>
        <v>新霖飞</v>
      </c>
      <c r="I76" s="126" t="str">
        <f t="shared" si="22"/>
        <v>时创</v>
      </c>
      <c r="J76" s="126" t="str">
        <f t="shared" si="22"/>
        <v>润马</v>
      </c>
      <c r="K76" s="126" t="str">
        <f t="shared" si="22"/>
        <v>厂家9</v>
      </c>
      <c r="L76" s="126" t="str">
        <f t="shared" si="22"/>
        <v>厂家10</v>
      </c>
      <c r="M76" s="126" t="str">
        <f t="shared" si="22"/>
        <v>厂家11</v>
      </c>
      <c r="N76" s="126" t="str">
        <f t="shared" si="22"/>
        <v>厂家12</v>
      </c>
      <c r="O76" s="126" t="str">
        <f t="shared" si="22"/>
        <v>厂家13</v>
      </c>
    </row>
    <row r="77" ht="17.4" customHeight="1" spans="1:15">
      <c r="A77" s="92"/>
      <c r="B77" s="94">
        <f>C29</f>
        <v>0.255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</row>
    <row r="78" ht="17.4" customHeight="1" spans="1:15">
      <c r="A78" s="92"/>
      <c r="B78" s="94">
        <f t="shared" ref="B78:B96" si="23">C30</f>
        <v>0.256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</row>
    <row r="79" ht="17.4" customHeight="1" spans="1:15">
      <c r="A79" s="92"/>
      <c r="B79" s="94">
        <f t="shared" si="23"/>
        <v>0.257</v>
      </c>
      <c r="C79" s="95"/>
      <c r="D79" s="95"/>
      <c r="E79" s="96"/>
      <c r="F79" s="96"/>
      <c r="G79" s="95"/>
      <c r="H79" s="95"/>
      <c r="I79" s="95"/>
      <c r="J79" s="95"/>
      <c r="K79" s="95"/>
      <c r="L79" s="95"/>
      <c r="M79" s="95"/>
      <c r="N79" s="95"/>
      <c r="O79" s="95"/>
    </row>
    <row r="80" ht="17.4" customHeight="1" spans="1:15">
      <c r="A80" s="92"/>
      <c r="B80" s="94">
        <f t="shared" si="23"/>
        <v>0.258</v>
      </c>
      <c r="C80" s="95"/>
      <c r="D80" s="95"/>
      <c r="E80" s="96"/>
      <c r="F80" s="96"/>
      <c r="G80" s="95"/>
      <c r="H80" s="95"/>
      <c r="I80" s="95"/>
      <c r="J80" s="95"/>
      <c r="K80" s="95"/>
      <c r="L80" s="95"/>
      <c r="M80" s="95"/>
      <c r="N80" s="95"/>
      <c r="O80" s="95"/>
    </row>
    <row r="81" ht="17.4" customHeight="1" spans="1:15">
      <c r="A81" s="92"/>
      <c r="B81" s="94">
        <f t="shared" si="23"/>
        <v>0.259</v>
      </c>
      <c r="C81" s="95"/>
      <c r="D81" s="95"/>
      <c r="E81" s="96"/>
      <c r="F81" s="96"/>
      <c r="G81" s="95"/>
      <c r="H81" s="95"/>
      <c r="I81" s="95"/>
      <c r="J81" s="95"/>
      <c r="K81" s="95"/>
      <c r="L81" s="95"/>
      <c r="M81" s="95"/>
      <c r="N81" s="95"/>
      <c r="O81" s="95"/>
    </row>
    <row r="82" ht="17.4" customHeight="1" spans="1:15">
      <c r="A82" s="92"/>
      <c r="B82" s="94">
        <f t="shared" si="23"/>
        <v>0.26</v>
      </c>
      <c r="C82" s="95">
        <v>0.0341140293136703</v>
      </c>
      <c r="D82" s="95"/>
      <c r="E82" s="96"/>
      <c r="F82" s="96"/>
      <c r="G82" s="95"/>
      <c r="H82" s="95"/>
      <c r="I82" s="95"/>
      <c r="J82" s="95"/>
      <c r="K82" s="95"/>
      <c r="L82" s="95"/>
      <c r="M82" s="95"/>
      <c r="N82" s="95"/>
      <c r="O82" s="95"/>
    </row>
    <row r="83" ht="17.4" customHeight="1" spans="1:15">
      <c r="A83" s="92"/>
      <c r="B83" s="94">
        <f t="shared" si="23"/>
        <v>0.261</v>
      </c>
      <c r="C83" s="95">
        <v>0.0586334878828709</v>
      </c>
      <c r="D83" s="95"/>
      <c r="E83" s="96"/>
      <c r="F83" s="96"/>
      <c r="G83" s="95"/>
      <c r="H83" s="95"/>
      <c r="I83" s="95"/>
      <c r="J83" s="95"/>
      <c r="K83" s="95"/>
      <c r="L83" s="95"/>
      <c r="M83" s="95"/>
      <c r="N83" s="95"/>
      <c r="O83" s="95"/>
    </row>
    <row r="84" ht="17.4" customHeight="1" spans="1:15">
      <c r="A84" s="92"/>
      <c r="B84" s="94">
        <f t="shared" si="23"/>
        <v>0.262</v>
      </c>
      <c r="C84" s="95">
        <v>0.0841203302499458</v>
      </c>
      <c r="D84" s="95"/>
      <c r="E84" s="96"/>
      <c r="F84" s="96"/>
      <c r="G84" s="95"/>
      <c r="H84" s="95"/>
      <c r="I84" s="95"/>
      <c r="J84" s="95"/>
      <c r="K84" s="95"/>
      <c r="L84" s="95"/>
      <c r="M84" s="95"/>
      <c r="N84" s="95"/>
      <c r="O84" s="95"/>
    </row>
    <row r="85" ht="17.4" customHeight="1" spans="1:15">
      <c r="A85" s="92"/>
      <c r="B85" s="94">
        <f t="shared" si="23"/>
        <v>0.263</v>
      </c>
      <c r="C85" s="95">
        <v>0.231516943533095</v>
      </c>
      <c r="D85" s="95"/>
      <c r="E85" s="96"/>
      <c r="F85" s="96"/>
      <c r="G85" s="95"/>
      <c r="H85" s="95"/>
      <c r="I85" s="95"/>
      <c r="J85" s="95"/>
      <c r="K85" s="95"/>
      <c r="L85" s="95"/>
      <c r="M85" s="95"/>
      <c r="N85" s="95"/>
      <c r="O85" s="95"/>
    </row>
    <row r="86" ht="17.4" customHeight="1" spans="1:15">
      <c r="A86" s="92"/>
      <c r="B86" s="94">
        <f t="shared" si="23"/>
        <v>0.264</v>
      </c>
      <c r="C86" s="95">
        <v>0.320133020125304</v>
      </c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</row>
    <row r="87" ht="17.4" customHeight="1" spans="1:15">
      <c r="A87" s="92"/>
      <c r="B87" s="94">
        <f t="shared" si="23"/>
        <v>0.265</v>
      </c>
      <c r="C87" s="95">
        <v>0.22052468114755</v>
      </c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</row>
    <row r="88" ht="17.4" customHeight="1" spans="1:15">
      <c r="A88" s="92"/>
      <c r="B88" s="94">
        <f t="shared" si="23"/>
        <v>0.266</v>
      </c>
      <c r="C88" s="95">
        <v>0.0509575077475633</v>
      </c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</row>
    <row r="89" ht="17.4" customHeight="1" spans="1:15">
      <c r="A89" s="92"/>
      <c r="B89" s="94">
        <f t="shared" si="23"/>
        <v>0.267</v>
      </c>
      <c r="C89" s="95">
        <v>0</v>
      </c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</row>
    <row r="90" ht="17.4" customHeight="1" spans="1:15">
      <c r="A90" s="92"/>
      <c r="B90" s="94">
        <f t="shared" si="23"/>
        <v>0.268</v>
      </c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</row>
    <row r="91" ht="17.4" customHeight="1" spans="1:15">
      <c r="A91" s="92"/>
      <c r="B91" s="94">
        <f t="shared" si="23"/>
        <v>0.269</v>
      </c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</row>
    <row r="92" ht="17.4" customHeight="1" spans="1:15">
      <c r="A92" s="92"/>
      <c r="B92" s="94">
        <f t="shared" si="23"/>
        <v>0.27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</row>
    <row r="93" ht="17.4" customHeight="1" spans="1:15">
      <c r="A93" s="92"/>
      <c r="B93" s="94">
        <f t="shared" si="23"/>
        <v>0.271</v>
      </c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</row>
    <row r="94" ht="17.4" customHeight="1" spans="1:15">
      <c r="A94" s="92"/>
      <c r="B94" s="94">
        <f t="shared" si="23"/>
        <v>0.272</v>
      </c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</row>
    <row r="95" ht="17.4" customHeight="1" spans="1:15">
      <c r="A95" s="92"/>
      <c r="B95" s="94">
        <f t="shared" si="23"/>
        <v>0.273</v>
      </c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</row>
    <row r="96" ht="17.4" customHeight="1" spans="1:15">
      <c r="A96" s="92"/>
      <c r="B96" s="94">
        <f t="shared" si="23"/>
        <v>0.274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</row>
  </sheetData>
  <sheetProtection formatCells="0" formatColumns="0" formatRows="0" insertRows="0" insertColumns="0" insertHyperlinks="0" deleteColumns="0" deleteRows="0" sort="0" autoFilter="0" pivotTables="0"/>
  <mergeCells count="22">
    <mergeCell ref="A1:F1"/>
    <mergeCell ref="G1:I1"/>
    <mergeCell ref="L1:O1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{64208d3f-eb35-475e-a47c-a9d42fc0754f}</x14:id>
        </ext>
      </extLst>
    </cfRule>
  </conditionalFormatting>
  <conditionalFormatting sqref="D30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{5c59acda-8fa4-4d8d-93e2-3aedb33af9c8}</x14:id>
        </ext>
      </extLst>
    </cfRule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{3b0689e1-2fd9-4f17-9e79-c19e264561a2}</x14:id>
        </ext>
      </extLst>
    </cfRule>
  </conditionalFormatting>
  <conditionalFormatting sqref="D29:D43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{9aa028e8-b9ac-474a-b236-f954d345f8f4}</x14:id>
        </ext>
      </extLst>
    </cfRule>
  </conditionalFormatting>
  <conditionalFormatting sqref="D45:D48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{9f6129f5-8818-45ba-b1b9-0dd9b9e71469}</x14:id>
        </ext>
      </extLst>
    </cfRule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{a458788e-48ec-4ee9-adda-5feacedb06de}</x14:id>
        </ext>
      </extLst>
    </cfRule>
  </conditionalFormatting>
  <conditionalFormatting sqref="D49:D50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{d52b0f0a-4f75-4c5d-bc6c-4d0da6d5b7fb}</x14:id>
        </ext>
      </extLst>
    </cfRule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{21ed373b-b8ac-4ae0-86e7-1c97f26e7b23}</x14:id>
        </ext>
      </extLst>
    </cfRule>
  </conditionalFormatting>
  <conditionalFormatting sqref="D29:D32 D45:D48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{b317388b-5d88-4238-a8f4-f8db94fe27a4}</x14:id>
        </ext>
      </extLst>
    </cfRule>
  </conditionalFormatting>
  <conditionalFormatting sqref="K29:R48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{d12fa087-9118-4858-8a20-884af5a6a473}</x14:id>
        </ext>
      </extLst>
    </cfRule>
  </conditionalFormatting>
  <conditionalFormatting sqref="K29:T48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{518f7d15-b043-4cb0-839c-ce1fe94c0708}</x14:id>
        </ext>
      </extLst>
    </cfRule>
  </conditionalFormatting>
  <conditionalFormatting sqref="K29:S48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{94d6da5f-532f-4844-b266-cc5c0f612cf5}</x14:id>
        </ext>
      </extLst>
    </cfRule>
  </conditionalFormatting>
  <conditionalFormatting sqref="M29:O30 O35 N31:O34 M31:M48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{410cc3c0-1c19-4e93-9f94-1ac8e38be271}</x14:id>
        </ext>
      </extLst>
    </cfRule>
    <cfRule type="colorScale" priority="21">
      <colorScale>
        <cfvo type="percent" val="0"/>
        <cfvo type="percent" val="0"/>
        <color theme="0"/>
        <color theme="0"/>
      </colorScale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{f9272a8a-626b-4500-94e4-e6d431508eb0}</x14:id>
        </ext>
      </extLst>
    </cfRule>
    <cfRule type="dataBar" priority="2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{1368c99d-1c4c-478f-817b-7b8de2a8bffc}</x14:id>
        </ext>
      </extLst>
    </cfRule>
    <cfRule type="dataBar" priority="2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{d2ec0686-ce01-4091-abc5-e431167bcc5a}</x14:id>
        </ext>
      </extLst>
    </cfRule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{6cb86a3a-92e7-42a2-9229-ed8c406873a4}</x14:id>
        </ext>
      </extLst>
    </cfRule>
  </conditionalFormatting>
  <conditionalFormatting sqref="P29:R35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{970c3556-7fcf-4f5e-91f7-2c0c8419f4ea}</x14:id>
        </ext>
      </extLst>
    </cfRule>
    <cfRule type="colorScale" priority="14">
      <colorScale>
        <cfvo type="percent" val="0"/>
        <cfvo type="percent" val="0"/>
        <color theme="0"/>
        <color theme="0"/>
      </colorScale>
    </cfRule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{7ab3fb66-e123-4e87-a615-037cb39da224}</x14:id>
        </ext>
      </extLst>
    </cfRule>
    <cfRule type="dataBar" priority="1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{a8a9c588-7321-41ec-b36a-7b64a694ac22}</x14:id>
        </ext>
      </extLst>
    </cfRule>
    <cfRule type="dataBar" priority="1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{9833eb11-7f9f-4a45-9ebb-f0fa1786cd91}</x14:id>
        </ext>
      </extLst>
    </cfRule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{5bf89763-7839-4306-a71c-182508a992f0}</x14:id>
        </ext>
      </extLst>
    </cfRule>
  </conditionalFormatting>
  <conditionalFormatting sqref="S29:T48">
    <cfRule type="dataBar" priority="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{00c768e2-ab68-4da4-979e-7fe723818a98}</x14:id>
        </ext>
      </extLst>
    </cfRule>
    <cfRule type="dataBar" priority="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{6e3cd7bd-8aad-4e6f-b337-7e790e7f4aa1}</x14:id>
        </ext>
      </extLst>
    </cfRule>
    <cfRule type="colorScale" priority="35">
      <colorScale>
        <cfvo type="percent" val="0"/>
        <cfvo type="percent" val="0"/>
        <color theme="0"/>
        <color theme="0"/>
      </colorScale>
    </cfRule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{cc5a6f5d-d1b4-4eca-b103-401d87cbfa63}</x14:id>
        </ext>
      </extLst>
    </cfRule>
    <cfRule type="dataBar" priority="3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{c3d8bb84-8711-4297-a7a8-18f21f834c85}</x14:id>
        </ext>
      </extLst>
    </cfRule>
    <cfRule type="dataBar" priority="3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{24cae664-9031-4566-be59-3dc09dbd3c3b}</x14:id>
        </ext>
      </extLst>
    </cfRule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{8eae601e-dad6-43d0-8b2f-ed298e8ba0d1}</x14:id>
        </ext>
      </extLst>
    </cfRule>
  </conditionalFormatting>
  <conditionalFormatting sqref="D33:D36 D39:D44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{c3e31b35-50cb-46e9-b89b-00b4e48e6542}</x14:id>
        </ext>
      </extLst>
    </cfRule>
  </conditionalFormatting>
  <conditionalFormatting sqref="P36:R48">
    <cfRule type="dataBar" priority="2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{e5df07a2-1e51-4cd2-9276-cd9af31f3f71}</x14:id>
        </ext>
      </extLst>
    </cfRule>
    <cfRule type="colorScale" priority="27">
      <colorScale>
        <cfvo type="percent" val="0"/>
        <cfvo type="percent" val="0"/>
        <color theme="0"/>
        <color theme="0"/>
      </colorScale>
    </cfRule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{b72ae28f-f012-4f44-8869-69b95af21614}</x14:id>
        </ext>
      </extLst>
    </cfRule>
    <cfRule type="dataBar" priority="2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{8aeacf5f-71f9-4e9e-b69e-9a217ab8ba93}</x14:id>
        </ext>
      </extLst>
    </cfRule>
    <cfRule type="dataBar" priority="3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{70525b74-8941-49ec-9063-dc7a7e7bf205}</x14:id>
        </ext>
      </extLst>
    </cfRule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{26e90e87-c95b-445d-bad5-c9807016f806}</x14:id>
        </ext>
      </extLst>
    </cfRule>
  </conditionalFormatting>
  <conditionalFormatting sqref="C77:O9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{914a6501-7c8c-4294-a716-e8913bfd8c7d}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4208d3f-eb35-475e-a47c-a9d42fc0754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5c59acda-8fa4-4d8d-93e2-3aedb33af9c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b0689e1-2fd9-4f17-9e79-c19e264561a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9aa028e8-b9ac-474a-b236-f954d345f8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D29:D43</xm:sqref>
        </x14:conditionalFormatting>
        <x14:conditionalFormatting xmlns:xm="http://schemas.microsoft.com/office/excel/2006/main">
          <x14:cfRule type="dataBar" id="{9f6129f5-8818-45ba-b1b9-0dd9b9e7146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58788e-48ec-4ee9-adda-5feacedb06d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d52b0f0a-4f75-4c5d-bc6c-4d0da6d5b7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1ed373b-b8ac-4ae0-86e7-1c97f26e7b2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b317388b-5d88-4238-a8f4-f8db94fe27a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d12fa087-9118-4858-8a20-884af5a6a4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518f7d15-b043-4cb0-839c-ce1fe94c07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94d6da5f-532f-4844-b266-cc5c0f612cf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</xm:sqref>
        </x14:conditionalFormatting>
        <x14:conditionalFormatting xmlns:xm="http://schemas.microsoft.com/office/excel/2006/main">
          <x14:cfRule type="dataBar" id="{410cc3c0-1c19-4e93-9f94-1ac8e38be27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9272a8a-626b-4500-94e4-e6d431508eb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368c99d-1c4c-478f-817b-7b8de2a8bff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2ec0686-ce01-4091-abc5-e431167bcc5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6cb86a3a-92e7-42a2-9229-ed8c406873a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970c3556-7fcf-4f5e-91f7-2c0c8419f4e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7ab3fb66-e123-4e87-a615-037cb39da22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8a9c588-7321-41ec-b36a-7b64a694ac2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833eb11-7f9f-4a45-9ebb-f0fa1786cd9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bf89763-7839-4306-a71c-182508a992f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00c768e2-ab68-4da4-979e-7fe723818a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6e3cd7bd-8aad-4e6f-b337-7e790e7f4aa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cc5a6f5d-d1b4-4eca-b103-401d87cbfa6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c3d8bb84-8711-4297-a7a8-18f21f834c8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4cae664-9031-4566-be59-3dc09dbd3c3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eae601e-dad6-43d0-8b2f-ed298e8ba0d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c3e31b35-50cb-46e9-b89b-00b4e48e65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D33:D36 D39:D44</xm:sqref>
        </x14:conditionalFormatting>
        <x14:conditionalFormatting xmlns:xm="http://schemas.microsoft.com/office/excel/2006/main">
          <x14:cfRule type="dataBar" id="{e5df07a2-1e51-4cd2-9276-cd9af31f3f7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b72ae28f-f012-4f44-8869-69b95af2161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aeacf5f-71f9-4e9e-b69e-9a217ab8ba9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70525b74-8941-49ec-9063-dc7a7e7bf20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6e90e87-c95b-445d-bad5-c9807016f80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914a6501-7c8c-4294-a716-e8913bfd8c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C77:O96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tabColor theme="5" tint="0.599993896298105"/>
  </sheetPr>
  <dimension ref="A1:Y96"/>
  <sheetViews>
    <sheetView showGridLines="0" zoomScale="70" zoomScaleNormal="70" topLeftCell="A2" workbookViewId="0">
      <selection activeCell="R38" sqref="R38"/>
    </sheetView>
  </sheetViews>
  <sheetFormatPr defaultColWidth="8.44444444444444" defaultRowHeight="13.2"/>
  <cols>
    <col min="1" max="19" width="10.5555555555556" style="16" customWidth="1"/>
    <col min="20" max="20" width="10.5555555555556" style="16" hidden="1" customWidth="1"/>
    <col min="21" max="21" width="10.5555555555556" style="16" customWidth="1"/>
    <col min="22" max="16384" width="8.44444444444444" style="16"/>
  </cols>
  <sheetData>
    <row r="1" s="12" customFormat="1" ht="40.8" customHeight="1" spans="1:21">
      <c r="A1" s="17" t="s">
        <v>133</v>
      </c>
      <c r="B1" s="17"/>
      <c r="C1" s="17"/>
      <c r="D1" s="17"/>
      <c r="E1" s="17"/>
      <c r="F1" s="17"/>
      <c r="G1" s="18" t="s">
        <v>1</v>
      </c>
      <c r="H1" s="18"/>
      <c r="I1" s="18"/>
      <c r="J1" s="18">
        <f>716.98-6</f>
        <v>710.98</v>
      </c>
      <c r="K1" s="58" t="s">
        <v>2</v>
      </c>
      <c r="L1" s="58" t="s">
        <v>3</v>
      </c>
      <c r="M1" s="58"/>
      <c r="N1" s="58"/>
      <c r="O1" s="58"/>
      <c r="Q1" s="82"/>
      <c r="R1" s="82"/>
      <c r="S1" s="82"/>
      <c r="T1" s="82"/>
      <c r="U1" s="82"/>
    </row>
    <row r="2" ht="1.95" customHeight="1" spans="8:21">
      <c r="H2" s="19"/>
      <c r="P2" s="12"/>
      <c r="Q2" s="82"/>
      <c r="R2" s="82"/>
      <c r="S2" s="82"/>
      <c r="T2" s="82"/>
      <c r="U2" s="82"/>
    </row>
    <row r="3" s="13" customFormat="1" ht="21.9" customHeight="1" spans="1:25">
      <c r="A3" s="20" t="s">
        <v>4</v>
      </c>
      <c r="B3" s="20">
        <v>0</v>
      </c>
      <c r="C3" s="24">
        <v>0.26</v>
      </c>
      <c r="D3" s="105">
        <v>0.24</v>
      </c>
      <c r="E3" s="105">
        <v>0.23</v>
      </c>
      <c r="F3" s="10">
        <v>0.28</v>
      </c>
      <c r="G3" s="105" t="s">
        <v>6</v>
      </c>
      <c r="H3" s="10" t="s">
        <v>7</v>
      </c>
      <c r="I3" s="105" t="s">
        <v>8</v>
      </c>
      <c r="J3" s="10" t="s">
        <v>9</v>
      </c>
      <c r="K3" s="105" t="s">
        <v>10</v>
      </c>
      <c r="L3" s="10" t="s">
        <v>11</v>
      </c>
      <c r="M3" s="105" t="s">
        <v>12</v>
      </c>
      <c r="N3" s="10" t="s">
        <v>13</v>
      </c>
      <c r="O3" s="105" t="s">
        <v>14</v>
      </c>
      <c r="P3" s="59"/>
      <c r="Q3" s="83"/>
      <c r="R3" s="83"/>
      <c r="S3" s="83"/>
      <c r="T3" s="83"/>
      <c r="U3" s="83"/>
      <c r="V3" s="84"/>
      <c r="W3" s="84"/>
      <c r="X3" s="84"/>
      <c r="Y3" s="84"/>
    </row>
    <row r="4" s="13" customFormat="1" ht="21.9" customHeight="1" spans="1:25">
      <c r="A4" s="20"/>
      <c r="B4" s="20"/>
      <c r="C4" s="24">
        <v>0</v>
      </c>
      <c r="D4" s="10">
        <v>-2.8</v>
      </c>
      <c r="E4" s="10">
        <v>-3.4</v>
      </c>
      <c r="F4" s="10">
        <v>1.8</v>
      </c>
      <c r="G4" s="10"/>
      <c r="H4" s="10"/>
      <c r="I4" s="10"/>
      <c r="J4" s="10"/>
      <c r="K4" s="10"/>
      <c r="L4" s="10"/>
      <c r="M4" s="10"/>
      <c r="N4" s="10"/>
      <c r="O4" s="10"/>
      <c r="P4" s="59"/>
      <c r="Q4" s="83"/>
      <c r="R4" s="83"/>
      <c r="S4" s="83"/>
      <c r="T4" s="83"/>
      <c r="U4" s="83"/>
      <c r="V4" s="84"/>
      <c r="W4" s="84"/>
      <c r="X4" s="84"/>
      <c r="Y4" s="84"/>
    </row>
    <row r="5" ht="1.95" customHeight="1" spans="16:21">
      <c r="P5" s="12"/>
      <c r="Q5" s="82"/>
      <c r="R5" s="82"/>
      <c r="S5" s="82"/>
      <c r="T5" s="82"/>
      <c r="U5" s="82"/>
    </row>
    <row r="6" s="13" customFormat="1" ht="27" customHeight="1" spans="1:25">
      <c r="A6" s="20" t="s">
        <v>15</v>
      </c>
      <c r="B6" s="20">
        <v>3.1</v>
      </c>
      <c r="C6" s="10" t="s">
        <v>16</v>
      </c>
      <c r="D6" s="23" t="s">
        <v>17</v>
      </c>
      <c r="E6" s="23" t="s">
        <v>18</v>
      </c>
      <c r="F6" s="24" t="s">
        <v>19</v>
      </c>
      <c r="G6" s="10" t="s">
        <v>108</v>
      </c>
      <c r="H6" s="10" t="s">
        <v>122</v>
      </c>
      <c r="I6" s="10" t="s">
        <v>22</v>
      </c>
      <c r="J6" s="10" t="s">
        <v>23</v>
      </c>
      <c r="K6" s="10" t="s">
        <v>24</v>
      </c>
      <c r="L6" s="10" t="s">
        <v>25</v>
      </c>
      <c r="M6" s="10" t="s">
        <v>26</v>
      </c>
      <c r="N6" s="10" t="s">
        <v>27</v>
      </c>
      <c r="O6" s="10" t="s">
        <v>28</v>
      </c>
      <c r="P6" s="59"/>
      <c r="Q6" s="83"/>
      <c r="R6" s="83"/>
      <c r="S6" s="83"/>
      <c r="T6" s="83"/>
      <c r="U6" s="83"/>
      <c r="V6" s="84"/>
      <c r="W6" s="84"/>
      <c r="X6" s="84"/>
      <c r="Y6" s="84"/>
    </row>
    <row r="7" s="13" customFormat="1" ht="24.6" customHeight="1" spans="1:25">
      <c r="A7" s="20"/>
      <c r="B7" s="20"/>
      <c r="C7" s="10">
        <v>0</v>
      </c>
      <c r="D7" s="10">
        <v>1.3</v>
      </c>
      <c r="E7" s="10">
        <v>1.8</v>
      </c>
      <c r="F7" s="24">
        <v>3.1</v>
      </c>
      <c r="G7" s="10">
        <v>4.5</v>
      </c>
      <c r="H7" s="10"/>
      <c r="I7" s="10"/>
      <c r="J7" s="10"/>
      <c r="K7" s="10"/>
      <c r="L7" s="10"/>
      <c r="M7" s="10"/>
      <c r="N7" s="10"/>
      <c r="O7" s="10"/>
      <c r="P7" s="59"/>
      <c r="Q7" s="83"/>
      <c r="R7" s="83"/>
      <c r="S7" s="83"/>
      <c r="T7" s="83"/>
      <c r="U7" s="83"/>
      <c r="V7" s="84"/>
      <c r="W7" s="84"/>
      <c r="X7" s="84"/>
      <c r="Y7" s="84"/>
    </row>
    <row r="8" ht="1.95" customHeight="1" spans="16:21">
      <c r="P8" s="12"/>
      <c r="Q8" s="82"/>
      <c r="R8" s="82"/>
      <c r="S8" s="82"/>
      <c r="T8" s="82"/>
      <c r="U8" s="82"/>
    </row>
    <row r="9" s="13" customFormat="1" ht="22.2" customHeight="1" spans="1:25">
      <c r="A9" s="20" t="s">
        <v>29</v>
      </c>
      <c r="B9" s="20">
        <v>3</v>
      </c>
      <c r="C9" s="111" t="s">
        <v>126</v>
      </c>
      <c r="D9" s="111" t="s">
        <v>39</v>
      </c>
      <c r="E9" s="111" t="s">
        <v>31</v>
      </c>
      <c r="F9" s="111" t="s">
        <v>35</v>
      </c>
      <c r="G9" s="111" t="s">
        <v>32</v>
      </c>
      <c r="H9" s="111" t="s">
        <v>134</v>
      </c>
      <c r="I9" s="111" t="s">
        <v>36</v>
      </c>
      <c r="J9" s="111" t="s">
        <v>112</v>
      </c>
      <c r="K9" s="115" t="s">
        <v>30</v>
      </c>
      <c r="L9" s="111" t="s">
        <v>110</v>
      </c>
      <c r="M9" s="111" t="s">
        <v>38</v>
      </c>
      <c r="N9" s="10" t="s">
        <v>41</v>
      </c>
      <c r="O9" s="26" t="s">
        <v>42</v>
      </c>
      <c r="P9" s="60"/>
      <c r="Q9" s="60"/>
      <c r="R9" s="84"/>
      <c r="S9" s="84"/>
      <c r="T9" s="84"/>
      <c r="U9" s="84"/>
      <c r="V9" s="84"/>
      <c r="W9" s="84"/>
      <c r="X9" s="84"/>
      <c r="Y9" s="84"/>
    </row>
    <row r="10" s="13" customFormat="1" ht="22.2" customHeight="1" spans="1:25">
      <c r="A10" s="20"/>
      <c r="B10" s="20"/>
      <c r="C10" s="111">
        <v>4.5</v>
      </c>
      <c r="D10" s="111">
        <v>2.4</v>
      </c>
      <c r="E10" s="112">
        <v>1.5</v>
      </c>
      <c r="F10" s="111">
        <v>1</v>
      </c>
      <c r="G10" s="111">
        <v>0.5</v>
      </c>
      <c r="H10" s="111">
        <v>-2.5</v>
      </c>
      <c r="I10" s="111">
        <v>2</v>
      </c>
      <c r="J10" s="111">
        <v>-3.1</v>
      </c>
      <c r="K10" s="115">
        <v>3</v>
      </c>
      <c r="L10" s="111">
        <v>-2.5</v>
      </c>
      <c r="M10" s="116">
        <v>3.2</v>
      </c>
      <c r="N10" s="10"/>
      <c r="O10" s="117"/>
      <c r="P10" s="62"/>
      <c r="Q10" s="60"/>
      <c r="R10" s="84"/>
      <c r="S10" s="84"/>
      <c r="T10" s="84"/>
      <c r="U10" s="84"/>
      <c r="V10" s="84"/>
      <c r="W10" s="84"/>
      <c r="X10" s="84"/>
      <c r="Y10" s="84"/>
    </row>
    <row r="11" ht="1.95" customHeight="1" spans="16:21">
      <c r="P11" s="12"/>
      <c r="Q11" s="82"/>
      <c r="R11" s="82"/>
      <c r="S11" s="82"/>
      <c r="T11" s="82"/>
      <c r="U11" s="82"/>
    </row>
    <row r="12" s="13" customFormat="1" ht="25.2" customHeight="1" spans="1:25">
      <c r="A12" s="20" t="s">
        <v>43</v>
      </c>
      <c r="B12" s="20">
        <v>0</v>
      </c>
      <c r="C12" s="24" t="s">
        <v>135</v>
      </c>
      <c r="D12" s="10" t="s">
        <v>115</v>
      </c>
      <c r="E12" s="10" t="s">
        <v>46</v>
      </c>
      <c r="F12" s="10" t="s">
        <v>5</v>
      </c>
      <c r="G12" s="10" t="s">
        <v>6</v>
      </c>
      <c r="H12" s="10" t="s">
        <v>7</v>
      </c>
      <c r="I12" s="10" t="s">
        <v>8</v>
      </c>
      <c r="J12" s="10" t="s">
        <v>9</v>
      </c>
      <c r="K12" s="10" t="s">
        <v>10</v>
      </c>
      <c r="L12" s="10" t="s">
        <v>11</v>
      </c>
      <c r="M12" s="10" t="s">
        <v>12</v>
      </c>
      <c r="N12" s="10" t="s">
        <v>13</v>
      </c>
      <c r="O12" s="10" t="s">
        <v>14</v>
      </c>
      <c r="P12" s="62"/>
      <c r="Q12" s="83"/>
      <c r="R12" s="83"/>
      <c r="S12" s="83"/>
      <c r="T12" s="83"/>
      <c r="U12" s="83"/>
      <c r="V12" s="84"/>
      <c r="W12" s="84"/>
      <c r="X12" s="84"/>
      <c r="Y12" s="84"/>
    </row>
    <row r="13" s="13" customFormat="1" ht="21.9" customHeight="1" spans="1:25">
      <c r="A13" s="20"/>
      <c r="B13" s="20"/>
      <c r="C13" s="24">
        <v>0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59"/>
      <c r="Q13" s="83"/>
      <c r="R13" s="83"/>
      <c r="S13" s="83"/>
      <c r="T13" s="83"/>
      <c r="U13" s="83"/>
      <c r="V13" s="84"/>
      <c r="W13" s="84"/>
      <c r="X13" s="84"/>
      <c r="Y13" s="84"/>
    </row>
    <row r="14" s="13" customFormat="1" ht="21.9" customHeight="1" spans="1:25">
      <c r="A14" s="20" t="s">
        <v>47</v>
      </c>
      <c r="B14" s="20">
        <v>44096</v>
      </c>
      <c r="C14" s="24">
        <v>44096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59"/>
      <c r="Q14" s="83"/>
      <c r="R14" s="83"/>
      <c r="S14" s="83"/>
      <c r="T14" s="83"/>
      <c r="U14" s="83"/>
      <c r="V14" s="84"/>
      <c r="W14" s="84"/>
      <c r="X14" s="84"/>
      <c r="Y14" s="84"/>
    </row>
    <row r="15" s="13" customFormat="1" ht="21.9" customHeight="1" spans="1:25">
      <c r="A15" s="20" t="s">
        <v>48</v>
      </c>
      <c r="B15" s="20">
        <v>1.9</v>
      </c>
      <c r="C15" s="24">
        <v>1.9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9"/>
      <c r="Q15" s="83"/>
      <c r="R15" s="83"/>
      <c r="S15" s="83"/>
      <c r="T15" s="83"/>
      <c r="U15" s="83"/>
      <c r="V15" s="84"/>
      <c r="W15" s="84"/>
      <c r="X15" s="84"/>
      <c r="Y15" s="84"/>
    </row>
    <row r="16" ht="1.95" customHeight="1" spans="16:21">
      <c r="P16" s="12"/>
      <c r="Q16" s="82"/>
      <c r="R16" s="82"/>
      <c r="S16" s="82"/>
      <c r="T16" s="82"/>
      <c r="U16" s="82"/>
    </row>
    <row r="17" s="13" customFormat="1" ht="31.2" customHeight="1" spans="1:25">
      <c r="A17" s="20" t="s">
        <v>49</v>
      </c>
      <c r="B17" s="27">
        <v>0</v>
      </c>
      <c r="C17" s="28" t="s">
        <v>50</v>
      </c>
      <c r="D17" s="29" t="s">
        <v>51</v>
      </c>
      <c r="E17" s="29" t="s">
        <v>52</v>
      </c>
      <c r="F17" s="29" t="s">
        <v>53</v>
      </c>
      <c r="G17" s="29" t="s">
        <v>54</v>
      </c>
      <c r="H17" s="29" t="s">
        <v>55</v>
      </c>
      <c r="I17" s="29" t="s">
        <v>56</v>
      </c>
      <c r="J17" s="29" t="s">
        <v>57</v>
      </c>
      <c r="K17" s="29" t="s">
        <v>10</v>
      </c>
      <c r="L17" s="29" t="s">
        <v>11</v>
      </c>
      <c r="M17" s="29" t="s">
        <v>12</v>
      </c>
      <c r="N17" s="29" t="s">
        <v>13</v>
      </c>
      <c r="O17" s="29" t="s">
        <v>14</v>
      </c>
      <c r="P17" s="83"/>
      <c r="Q17" s="83"/>
      <c r="R17" s="84"/>
      <c r="S17" s="84"/>
      <c r="T17" s="84"/>
      <c r="U17" s="84"/>
      <c r="V17" s="84"/>
      <c r="W17" s="84"/>
      <c r="X17" s="84"/>
      <c r="Y17" s="84"/>
    </row>
    <row r="18" s="13" customFormat="1" ht="21.9" customHeight="1" spans="1:25">
      <c r="A18" s="20"/>
      <c r="B18" s="30"/>
      <c r="C18" s="24">
        <v>0</v>
      </c>
      <c r="D18" s="10">
        <v>-0.2</v>
      </c>
      <c r="E18" s="10">
        <v>-3</v>
      </c>
      <c r="F18" s="10">
        <v>-3.6</v>
      </c>
      <c r="G18" s="10">
        <v>0.2</v>
      </c>
      <c r="H18" s="10">
        <v>0.1</v>
      </c>
      <c r="I18" s="10">
        <v>-1.9</v>
      </c>
      <c r="J18" s="10">
        <v>-2.4</v>
      </c>
      <c r="K18" s="10"/>
      <c r="L18" s="10"/>
      <c r="M18" s="10"/>
      <c r="N18" s="10"/>
      <c r="O18" s="10"/>
      <c r="P18" s="83"/>
      <c r="Q18" s="83"/>
      <c r="R18" s="84"/>
      <c r="S18" s="84"/>
      <c r="T18" s="84"/>
      <c r="U18" s="84"/>
      <c r="V18" s="84"/>
      <c r="W18" s="84"/>
      <c r="X18" s="84"/>
      <c r="Y18" s="84"/>
    </row>
    <row r="19" ht="2.1" customHeight="1" spans="16:21">
      <c r="P19" s="12"/>
      <c r="Q19" s="82"/>
      <c r="R19" s="82"/>
      <c r="S19" s="82"/>
      <c r="T19" s="82"/>
      <c r="U19" s="82"/>
    </row>
    <row r="20" s="13" customFormat="1" ht="30" customHeight="1" spans="1:25">
      <c r="A20" s="20" t="s">
        <v>58</v>
      </c>
      <c r="B20" s="20">
        <v>0</v>
      </c>
      <c r="C20" s="32" t="s">
        <v>59</v>
      </c>
      <c r="D20" s="23" t="s">
        <v>60</v>
      </c>
      <c r="E20" s="23" t="s">
        <v>61</v>
      </c>
      <c r="F20" s="23" t="s">
        <v>62</v>
      </c>
      <c r="G20" s="23" t="s">
        <v>63</v>
      </c>
      <c r="H20" s="23" t="s">
        <v>64</v>
      </c>
      <c r="I20" s="23" t="s">
        <v>65</v>
      </c>
      <c r="J20" s="23" t="s">
        <v>66</v>
      </c>
      <c r="K20" s="23" t="s">
        <v>67</v>
      </c>
      <c r="L20" s="23" t="s">
        <v>68</v>
      </c>
      <c r="M20" s="23" t="s">
        <v>69</v>
      </c>
      <c r="N20" s="23" t="s">
        <v>70</v>
      </c>
      <c r="O20" s="23" t="s">
        <v>71</v>
      </c>
      <c r="P20" s="83"/>
      <c r="Q20" s="110"/>
      <c r="R20" s="110"/>
      <c r="S20" s="110"/>
      <c r="T20" s="110"/>
      <c r="U20" s="110"/>
      <c r="V20" s="110"/>
      <c r="W20" s="110"/>
      <c r="X20" s="84"/>
      <c r="Y20" s="84"/>
    </row>
    <row r="21" s="13" customFormat="1" ht="21.6" customHeight="1" spans="1:25">
      <c r="A21" s="20"/>
      <c r="B21" s="20"/>
      <c r="C21" s="24">
        <v>0</v>
      </c>
      <c r="D21" s="10">
        <v>0.6</v>
      </c>
      <c r="E21" s="10">
        <v>1.3</v>
      </c>
      <c r="F21" s="10">
        <v>1.7</v>
      </c>
      <c r="G21" s="10">
        <v>2</v>
      </c>
      <c r="H21" s="10">
        <v>0.3</v>
      </c>
      <c r="I21" s="10">
        <v>0.6</v>
      </c>
      <c r="J21" s="10"/>
      <c r="K21" s="10"/>
      <c r="L21" s="10"/>
      <c r="M21" s="10"/>
      <c r="N21" s="10"/>
      <c r="O21" s="10"/>
      <c r="P21" s="86"/>
      <c r="Q21" s="63"/>
      <c r="R21" s="87"/>
      <c r="S21" s="87"/>
      <c r="T21" s="87"/>
      <c r="U21" s="87"/>
      <c r="V21" s="87"/>
      <c r="W21" s="87"/>
      <c r="X21" s="84"/>
      <c r="Y21" s="84"/>
    </row>
    <row r="22" ht="2.1" customHeight="1" spans="16:21">
      <c r="P22" s="12"/>
      <c r="Q22" s="82"/>
      <c r="R22" s="82"/>
      <c r="S22" s="82"/>
      <c r="T22" s="82"/>
      <c r="U22" s="82"/>
    </row>
    <row r="23" s="13" customFormat="1" ht="21.6" hidden="1" customHeight="1" spans="1:25">
      <c r="A23" s="20" t="s">
        <v>105</v>
      </c>
      <c r="B23" s="20">
        <v>0</v>
      </c>
      <c r="C23" s="22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60"/>
      <c r="Q23" s="83"/>
      <c r="R23" s="83"/>
      <c r="S23" s="83"/>
      <c r="T23" s="83"/>
      <c r="U23" s="83"/>
      <c r="V23" s="84"/>
      <c r="W23" s="84"/>
      <c r="X23" s="84"/>
      <c r="Y23" s="84"/>
    </row>
    <row r="24" s="13" customFormat="1" ht="21.6" hidden="1" customHeight="1" spans="1:25">
      <c r="A24" s="20"/>
      <c r="B24" s="20"/>
      <c r="C24" s="21"/>
      <c r="D24" s="10"/>
      <c r="E24" s="10"/>
      <c r="F24" s="10"/>
      <c r="G24" s="31"/>
      <c r="H24" s="31"/>
      <c r="I24" s="10"/>
      <c r="J24" s="10"/>
      <c r="K24" s="10"/>
      <c r="L24" s="10"/>
      <c r="M24" s="10"/>
      <c r="N24" s="10"/>
      <c r="O24" s="10"/>
      <c r="P24" s="64"/>
      <c r="Q24" s="88"/>
      <c r="R24" s="88"/>
      <c r="S24" s="88"/>
      <c r="T24" s="88"/>
      <c r="U24" s="88"/>
      <c r="V24" s="84"/>
      <c r="W24" s="84"/>
      <c r="X24" s="84"/>
      <c r="Y24" s="84"/>
    </row>
    <row r="25" ht="2.1" customHeight="1" spans="16:21">
      <c r="P25" s="12"/>
      <c r="Q25" s="82"/>
      <c r="R25" s="82"/>
      <c r="S25" s="82"/>
      <c r="T25" s="82"/>
      <c r="U25" s="82"/>
    </row>
    <row r="26" s="13" customFormat="1" ht="21.6" customHeight="1" spans="1:25">
      <c r="A26" s="20" t="s">
        <v>73</v>
      </c>
      <c r="B26" s="20">
        <v>3</v>
      </c>
      <c r="C26" s="24" t="s">
        <v>74</v>
      </c>
      <c r="D26" s="23" t="s">
        <v>75</v>
      </c>
      <c r="E26" s="23" t="s">
        <v>76</v>
      </c>
      <c r="F26" s="23" t="s">
        <v>77</v>
      </c>
      <c r="G26" s="23" t="s">
        <v>78</v>
      </c>
      <c r="H26" s="23" t="s">
        <v>79</v>
      </c>
      <c r="I26" s="23" t="s">
        <v>80</v>
      </c>
      <c r="J26" s="23" t="s">
        <v>81</v>
      </c>
      <c r="K26" s="23" t="s">
        <v>82</v>
      </c>
      <c r="L26" s="23" t="s">
        <v>83</v>
      </c>
      <c r="M26" s="23" t="s">
        <v>84</v>
      </c>
      <c r="N26" s="23" t="s">
        <v>85</v>
      </c>
      <c r="O26" s="23" t="s">
        <v>86</v>
      </c>
      <c r="P26" s="60"/>
      <c r="Q26" s="83"/>
      <c r="R26" s="83"/>
      <c r="S26" s="83"/>
      <c r="T26" s="83"/>
      <c r="U26" s="83"/>
      <c r="V26" s="83"/>
      <c r="W26" s="83"/>
      <c r="X26" s="84"/>
      <c r="Y26" s="84"/>
    </row>
    <row r="27" s="13" customFormat="1" ht="21.6" customHeight="1" spans="1:25">
      <c r="A27" s="20"/>
      <c r="B27" s="20"/>
      <c r="C27" s="33">
        <v>3</v>
      </c>
      <c r="D27" s="34">
        <v>-1.5</v>
      </c>
      <c r="E27" s="34">
        <v>-1.8</v>
      </c>
      <c r="F27" s="35"/>
      <c r="G27" s="35"/>
      <c r="H27" s="35"/>
      <c r="I27" s="34"/>
      <c r="J27" s="34"/>
      <c r="K27" s="34"/>
      <c r="L27" s="34"/>
      <c r="M27" s="34"/>
      <c r="N27" s="34"/>
      <c r="O27" s="34"/>
      <c r="P27" s="64"/>
      <c r="Q27" s="88"/>
      <c r="R27" s="88"/>
      <c r="S27" s="88"/>
      <c r="T27" s="88"/>
      <c r="U27" s="88"/>
      <c r="V27" s="84"/>
      <c r="W27" s="84"/>
      <c r="X27" s="84"/>
      <c r="Y27" s="84"/>
    </row>
    <row r="28" s="14" customFormat="1" ht="22.2" customHeight="1" spans="1:21">
      <c r="A28" s="36" t="s">
        <v>87</v>
      </c>
      <c r="B28" s="36" t="s">
        <v>88</v>
      </c>
      <c r="C28" s="36" t="s">
        <v>89</v>
      </c>
      <c r="D28" s="36" t="s">
        <v>90</v>
      </c>
      <c r="E28" s="36">
        <v>33081</v>
      </c>
      <c r="F28" s="36" t="s">
        <v>91</v>
      </c>
      <c r="G28" s="36" t="s">
        <v>92</v>
      </c>
      <c r="H28" s="36" t="s">
        <v>93</v>
      </c>
      <c r="I28" s="36" t="s">
        <v>94</v>
      </c>
      <c r="J28" s="66" t="s">
        <v>95</v>
      </c>
      <c r="K28" s="67">
        <v>695</v>
      </c>
      <c r="L28" s="67">
        <v>700</v>
      </c>
      <c r="M28" s="67">
        <v>705</v>
      </c>
      <c r="N28" s="67">
        <v>710</v>
      </c>
      <c r="O28" s="67">
        <v>715</v>
      </c>
      <c r="P28" s="67">
        <v>720</v>
      </c>
      <c r="Q28" s="67">
        <v>725</v>
      </c>
      <c r="R28" s="67">
        <v>730</v>
      </c>
      <c r="S28" s="67">
        <v>735</v>
      </c>
      <c r="T28" s="67">
        <v>740</v>
      </c>
      <c r="U28" s="89" t="s">
        <v>96</v>
      </c>
    </row>
    <row r="29" s="13" customFormat="1" ht="18" customHeight="1" spans="1:21">
      <c r="A29" s="37" t="s">
        <v>136</v>
      </c>
      <c r="B29" s="37" t="s">
        <v>98</v>
      </c>
      <c r="C29" s="113">
        <v>0.247</v>
      </c>
      <c r="D29" s="39"/>
      <c r="E29" s="40">
        <v>44096</v>
      </c>
      <c r="F29" s="41">
        <f t="shared" ref="F29:F48" si="0">C29*E29/1000</f>
        <v>10.891712</v>
      </c>
      <c r="G29" s="41">
        <f t="shared" ref="G29:G37" si="1">F29*66</f>
        <v>718.852992</v>
      </c>
      <c r="H29" s="42">
        <f>I29/G29</f>
        <v>0.984600801392437</v>
      </c>
      <c r="I29" s="68">
        <f>G29*(H30+0.15%)</f>
        <v>707.783232006551</v>
      </c>
      <c r="J29" s="68"/>
      <c r="K29" s="69">
        <f>(NORMSDIST((I29-$K$28)/B15)-NORMSDIST((I29-$L$28)/B15))</f>
        <v>2.09777899243813e-5</v>
      </c>
      <c r="L29" s="69">
        <f>(NORMSDIST((I29-$L$28)/B15)-NORMSDIST((I29-$M$28)/B15))</f>
        <v>0.0714587243399251</v>
      </c>
      <c r="M29" s="70">
        <f>(NORMSDIST((I29-$M$28)/B15)-NORMSDIST((I29-$N$28)/B15))</f>
        <v>0.806858565518809</v>
      </c>
      <c r="N29" s="70">
        <f>(NORMSDIST((I29-$N$28)/B15)-NORMSDIST((I29-$O$28)/B15))</f>
        <v>0.121588886072428</v>
      </c>
      <c r="O29" s="70">
        <f>(NORMSDIST((I29-$O$28)/B15)-NORMSDIST((I29-$P$28)/B15))</f>
        <v>7.28462064611351e-5</v>
      </c>
      <c r="P29" s="70">
        <f>(NORMSDIST((I29-$P$28)/B15)-NORMSDIST((I29-$Q$28)/B15))</f>
        <v>6.38532464896902e-11</v>
      </c>
      <c r="Q29" s="70">
        <f>(NORMSDIST((I29-$Q$28)/B15)-NORMSDIST((I29-$R$28)/B15))</f>
        <v>6.43598496766486e-20</v>
      </c>
      <c r="R29" s="70">
        <f>(NORMSDIST((I29-$R$28)/B15)-NORMSDIST((I29-$S$28)/B15))</f>
        <v>6.91756179446878e-32</v>
      </c>
      <c r="S29" s="70">
        <f>(NORMSDIST((I29-$S$28)/B15)-NORMSDIST((I29-$T$28)/B15))</f>
        <v>7.67887009086104e-47</v>
      </c>
      <c r="T29" s="70"/>
      <c r="U29" s="90">
        <f t="shared" ref="U29:U48" si="2">SUM(K29:T29)</f>
        <v>0.999999999991401</v>
      </c>
    </row>
    <row r="30" s="13" customFormat="1" ht="18" customHeight="1" spans="1:21">
      <c r="A30" s="43"/>
      <c r="B30" s="43"/>
      <c r="C30" s="38">
        <f t="shared" ref="C30:C48" si="3">C29+0.1%</f>
        <v>0.248</v>
      </c>
      <c r="D30" s="44"/>
      <c r="E30" s="40">
        <v>44096</v>
      </c>
      <c r="F30" s="41">
        <f t="shared" si="0"/>
        <v>10.935808</v>
      </c>
      <c r="G30" s="41">
        <f t="shared" si="1"/>
        <v>721.763328</v>
      </c>
      <c r="H30" s="42">
        <f t="shared" ref="H30:H48" si="4">I30/G30</f>
        <v>0.983100801392437</v>
      </c>
      <c r="I30" s="68">
        <f t="shared" ref="I30:I35" si="5">G30*(H31+0.15%)</f>
        <v>709.566106172472</v>
      </c>
      <c r="J30" s="68"/>
      <c r="K30" s="69">
        <f>(NORMSDIST((I30-$K$28)/B15)-NORMSDIST((I30-$L$28)/B15))</f>
        <v>2.39183074568494e-7</v>
      </c>
      <c r="L30" s="69">
        <f>(NORMSDIST((I30-$L$28)/B15)-NORMSDIST((I30-$M$28)/B15))</f>
        <v>0.00812560272942897</v>
      </c>
      <c r="M30" s="70">
        <f>(NORMSDIST((I30-$M$28)/B15)-NORMSDIST((I30-$N$28)/B15))</f>
        <v>0.582192976819647</v>
      </c>
      <c r="N30" s="70">
        <f>(NORMSDIST((I30-$N$28)/B15)-NORMSDIST((I30-$O$28)/B15))</f>
        <v>0.407562602955338</v>
      </c>
      <c r="O30" s="70">
        <f>(NORMSDIST((I30-$O$28)/B15)-NORMSDIST((I30-$P$28)/B15))</f>
        <v>0.00211855838838914</v>
      </c>
      <c r="P30" s="70">
        <f>(NORMSDIST((I30-$P$28)/B15)-NORMSDIST((I30-$Q$28)/B15))</f>
        <v>1.99241130691188e-8</v>
      </c>
      <c r="Q30" s="70">
        <f>(NORMSDIST((I30-$Q$28)/B15)-NORMSDIST((I30-$R$28)/B15))</f>
        <v>2.27208526176554e-16</v>
      </c>
      <c r="R30" s="70">
        <f>(NORMSDIST((I30-$R$28)/B15)-NORMSDIST((I30-$S$28)/B15))</f>
        <v>2.81643006807961e-27</v>
      </c>
      <c r="S30" s="70">
        <f>(NORMSDIST((I30-$S$28)/B15)-NORMSDIST((I30-$T$28)/B15))</f>
        <v>3.63765589054273e-41</v>
      </c>
      <c r="T30" s="70"/>
      <c r="U30" s="90">
        <f t="shared" si="2"/>
        <v>0.999999999999991</v>
      </c>
    </row>
    <row r="31" s="13" customFormat="1" ht="18" customHeight="1" spans="1:21">
      <c r="A31" s="43"/>
      <c r="B31" s="43"/>
      <c r="C31" s="38">
        <f t="shared" si="3"/>
        <v>0.249</v>
      </c>
      <c r="D31" s="45"/>
      <c r="E31" s="40">
        <v>44096</v>
      </c>
      <c r="F31" s="41">
        <f t="shared" si="0"/>
        <v>10.979904</v>
      </c>
      <c r="G31" s="41">
        <f t="shared" si="1"/>
        <v>724.673664</v>
      </c>
      <c r="H31" s="42">
        <f t="shared" si="4"/>
        <v>0.981600801392437</v>
      </c>
      <c r="I31" s="68">
        <f t="shared" si="5"/>
        <v>711.340249330394</v>
      </c>
      <c r="J31" s="71"/>
      <c r="K31" s="69">
        <f>(NORMSDIST((I31-$K$28)/B15)-NORMSDIST((I31-$L$28)/B15))</f>
        <v>1.19683973842655e-9</v>
      </c>
      <c r="L31" s="69">
        <f>(NORMSDIST((I31-$L$28)/B15)-NORMSDIST((I31-$M$28)/B15))</f>
        <v>0.000423479175758246</v>
      </c>
      <c r="M31" s="70">
        <f>(NORMSDIST((I31-$M$28)/B15)-NORMSDIST((I31-$N$28)/B15))</f>
        <v>0.239858938483809</v>
      </c>
      <c r="N31" s="72">
        <f>(NORMSDIST((I31-$N$28)/B15)-NORMSDIST((I31-$O$28)/B15))</f>
        <v>0.732676914816333</v>
      </c>
      <c r="O31" s="72">
        <f>(NORMSDIST((I31-$O$28)/B15)-NORMSDIST((I31-$P$28)/B15))</f>
        <v>0.0270380812670568</v>
      </c>
      <c r="P31" s="70">
        <f>(NORMSDIST((I31-$P$28)/B15)-NORMSDIST((I31-$Q$28)/B15))</f>
        <v>2.58505987691416e-6</v>
      </c>
      <c r="Q31" s="70">
        <f>(NORMSDIST((I31-$Q$28)/B15)-NORMSDIST((I31-$R$28)/B15))</f>
        <v>3.25520461707001e-13</v>
      </c>
      <c r="R31" s="70">
        <f>(NORMSDIST((I31-$R$28)/B15)-NORMSDIST((I31-$S$28)/B15))</f>
        <v>4.57516584697902e-23</v>
      </c>
      <c r="S31" s="70">
        <f>(NORMSDIST((I31-$S$28)/B15)-NORMSDIST((I31-$T$28)/B15))</f>
        <v>6.77658139763348e-36</v>
      </c>
      <c r="T31" s="70"/>
      <c r="U31" s="90">
        <f t="shared" si="2"/>
        <v>0.999999999999999</v>
      </c>
    </row>
    <row r="32" s="15" customFormat="1" ht="18" customHeight="1" spans="1:21">
      <c r="A32" s="43"/>
      <c r="B32" s="43"/>
      <c r="C32" s="38">
        <f t="shared" si="3"/>
        <v>0.25</v>
      </c>
      <c r="D32" s="45"/>
      <c r="E32" s="40">
        <v>44096</v>
      </c>
      <c r="F32" s="46">
        <f t="shared" si="0"/>
        <v>11.024</v>
      </c>
      <c r="G32" s="41">
        <f t="shared" si="1"/>
        <v>727.584</v>
      </c>
      <c r="H32" s="47">
        <f t="shared" si="4"/>
        <v>0.980100801392437</v>
      </c>
      <c r="I32" s="68">
        <f t="shared" si="5"/>
        <v>713.105661480315</v>
      </c>
      <c r="J32" s="73"/>
      <c r="K32" s="74">
        <f>(NORMSDIST((I32-$K$28)/B15)-NORMSDIST((I32-$L$28)/B15))</f>
        <v>2.64221977630541e-12</v>
      </c>
      <c r="L32" s="74">
        <f>(NORMSDIST((I32-$L$28)/B15)-NORMSDIST((I32-$M$28)/B15))</f>
        <v>9.94430351641817e-6</v>
      </c>
      <c r="M32" s="74">
        <f>(NORMSDIST((I32-$M$28)/B15)-NORMSDIST((I32-$N$28)/B15))</f>
        <v>0.0510608541373372</v>
      </c>
      <c r="N32" s="74">
        <f>(NORMSDIST((I32-$N$28)/B15)-NORMSDIST((I32-$O$28)/B15))</f>
        <v>0.789551866849841</v>
      </c>
      <c r="O32" s="74">
        <f>(NORMSDIST((I32-$O$28)/B15)-NORMSDIST((I32-$P$28)/B15))</f>
        <v>0.159234853092619</v>
      </c>
      <c r="P32" s="74">
        <f>(NORMSDIST((I32-$P$28)/B15)-NORMSDIST((I32-$Q$28)/B15))</f>
        <v>0.000142481421775176</v>
      </c>
      <c r="Q32" s="74">
        <f>(NORMSDIST((I32-$Q$28)/B15)-NORMSDIST((I32-$R$28)/B15))</f>
        <v>1.92268940301733e-10</v>
      </c>
      <c r="R32" s="74">
        <f>(NORMSDIST((I32-$R$28)/B15)-NORMSDIST((I32-$S$28)/B15))</f>
        <v>3.0075030170092e-19</v>
      </c>
      <c r="S32" s="70">
        <f>(NORMSDIST((I32-$S$28)/B15)-NORMSDIST((I32-$T$28)/B15))</f>
        <v>5.03188203910638e-31</v>
      </c>
      <c r="T32" s="70"/>
      <c r="U32" s="90">
        <f t="shared" si="2"/>
        <v>1</v>
      </c>
    </row>
    <row r="33" s="13" customFormat="1" ht="18" customHeight="1" spans="1:21">
      <c r="A33" s="43"/>
      <c r="B33" s="43"/>
      <c r="C33" s="38">
        <f t="shared" si="3"/>
        <v>0.251</v>
      </c>
      <c r="D33" s="48"/>
      <c r="E33" s="40">
        <v>44096</v>
      </c>
      <c r="F33" s="41">
        <f t="shared" si="0"/>
        <v>11.068096</v>
      </c>
      <c r="G33" s="41">
        <f t="shared" si="1"/>
        <v>730.494336</v>
      </c>
      <c r="H33" s="42">
        <f t="shared" si="4"/>
        <v>0.978600801392437</v>
      </c>
      <c r="I33" s="68">
        <f t="shared" si="5"/>
        <v>714.862342622236</v>
      </c>
      <c r="J33" s="73"/>
      <c r="K33" s="69">
        <f>(NORMSDIST((I33-$K$28)/B15)-NORMSDIST((I33-$L$28)/B15))</f>
        <v>2.55351295663786e-15</v>
      </c>
      <c r="L33" s="69">
        <f>(NORMSDIST((I33-$L$28)/B15)-NORMSDIST((I33-$M$28)/B15))</f>
        <v>1.04748734019999e-7</v>
      </c>
      <c r="M33" s="70">
        <f>(NORMSDIST((I33-$M$28)/B15)-NORMSDIST((I33-$N$28)/B15))</f>
        <v>0.00524665465655461</v>
      </c>
      <c r="N33" s="70">
        <f>(NORMSDIST((I33-$N$28)/B15)-NORMSDIST((I33-$O$28)/B15))</f>
        <v>0.523631841013557</v>
      </c>
      <c r="O33" s="70">
        <f>(NORMSDIST((I33-$O$28)/B15)-NORMSDIST((I33-$P$28)/B15))</f>
        <v>0.467696196427359</v>
      </c>
      <c r="P33" s="70">
        <f>(NORMSDIST((I33-$P$28)/B15)-NORMSDIST((I33-$Q$28)/B15))</f>
        <v>0.00342515554162967</v>
      </c>
      <c r="Q33" s="70">
        <f>(NORMSDIST((I33-$Q$28)/B15)-NORMSDIST((I33-$R$28)/B15))</f>
        <v>4.76121627139616e-8</v>
      </c>
      <c r="R33" s="70">
        <f>(NORMSDIST((I33-$R$28)/B15)-NORMSDIST((I33-$S$28)/B15))</f>
        <v>8.11627511061421e-16</v>
      </c>
      <c r="S33" s="70">
        <f>(NORMSDIST((I33-$S$28)/B15)-NORMSDIST((I33-$T$28)/B15))</f>
        <v>1.50967244842966e-26</v>
      </c>
      <c r="T33" s="70"/>
      <c r="U33" s="90">
        <f t="shared" si="2"/>
        <v>1</v>
      </c>
    </row>
    <row r="34" s="13" customFormat="1" ht="18" customHeight="1" spans="1:21">
      <c r="A34" s="43"/>
      <c r="B34" s="43"/>
      <c r="C34" s="38">
        <f t="shared" si="3"/>
        <v>0.252</v>
      </c>
      <c r="D34" s="48"/>
      <c r="E34" s="40">
        <v>44096</v>
      </c>
      <c r="F34" s="41">
        <f t="shared" si="0"/>
        <v>11.112192</v>
      </c>
      <c r="G34" s="41">
        <f t="shared" si="1"/>
        <v>733.404672</v>
      </c>
      <c r="H34" s="42">
        <f t="shared" si="4"/>
        <v>0.977100801392437</v>
      </c>
      <c r="I34" s="68">
        <f t="shared" si="5"/>
        <v>716.610292756158</v>
      </c>
      <c r="J34" s="75"/>
      <c r="K34" s="69">
        <f>(NORMSDIST((I34-$K$28)/B15)-NORMSDIST((I34-$L$28)/B15))</f>
        <v>0</v>
      </c>
      <c r="L34" s="69">
        <f>(NORMSDIST((I34-$L$28)/B15)-NORMSDIST((I34-$M$28)/B15))</f>
        <v>4.96036323127669e-10</v>
      </c>
      <c r="M34" s="70">
        <f>(NORMSDIST((I34-$M$28)/B15)-NORMSDIST((I34-$N$28)/B15))</f>
        <v>0.000251548548632852</v>
      </c>
      <c r="N34" s="70">
        <f>(NORMSDIST((I34-$N$28)/B15)-NORMSDIST((I34-$O$28)/B15))</f>
        <v>0.198100425700265</v>
      </c>
      <c r="O34" s="70">
        <f>(NORMSDIST((I34-$O$28)/B15)-NORMSDIST((I34-$P$28)/B15))</f>
        <v>0.764440778336888</v>
      </c>
      <c r="P34" s="70">
        <f>(NORMSDIST((I34-$P$28)/B15)-NORMSDIST((I34-$Q$28)/B15))</f>
        <v>0.0372022112322272</v>
      </c>
      <c r="Q34" s="70">
        <f>(NORMSDIST((I34-$Q$28)/B15)-NORMSDIST((I34-$R$28)/B15))</f>
        <v>5.03568503837152e-6</v>
      </c>
      <c r="R34" s="70">
        <f>(NORMSDIST((I34-$R$28)/B15)-NORMSDIST((I34-$S$28)/B15))</f>
        <v>9.12675206859496e-13</v>
      </c>
      <c r="S34" s="70">
        <f>(NORMSDIST((I34-$S$28)/B15)-NORMSDIST((I34-$T$28)/B15))</f>
        <v>1.85534880318103e-22</v>
      </c>
      <c r="T34" s="70"/>
      <c r="U34" s="90">
        <f t="shared" si="2"/>
        <v>1</v>
      </c>
    </row>
    <row r="35" s="13" customFormat="1" ht="18" customHeight="1" spans="1:21">
      <c r="A35" s="43"/>
      <c r="B35" s="43"/>
      <c r="C35" s="38">
        <f t="shared" si="3"/>
        <v>0.253</v>
      </c>
      <c r="D35" s="49">
        <v>0.0245469886383294</v>
      </c>
      <c r="E35" s="40">
        <v>44096</v>
      </c>
      <c r="F35" s="41">
        <f t="shared" si="0"/>
        <v>11.156288</v>
      </c>
      <c r="G35" s="41">
        <f t="shared" si="1"/>
        <v>736.315008</v>
      </c>
      <c r="H35" s="42">
        <f t="shared" si="4"/>
        <v>0.975600801392437</v>
      </c>
      <c r="I35" s="68">
        <f t="shared" si="5"/>
        <v>718.349511882079</v>
      </c>
      <c r="J35" s="76"/>
      <c r="K35" s="69">
        <f>(NORMSDIST((I35-$K$28)/B15)-NORMSDIST((I35-$L$28)/B15))</f>
        <v>0</v>
      </c>
      <c r="L35" s="69">
        <f>(NORMSDIST((I35-$L$28)/B15)-NORMSDIST((I35-$M$28)/B15))</f>
        <v>1.06226138996135e-12</v>
      </c>
      <c r="M35" s="70">
        <f>(NORMSDIST((I35-$M$28)/B15)-NORMSDIST((I35-$N$28)/B15))</f>
        <v>5.55191179574255e-6</v>
      </c>
      <c r="N35" s="70">
        <f>(NORMSDIST((I35-$N$28)/B15)-NORMSDIST((I35-$O$28)/B15))</f>
        <v>0.0389530430681455</v>
      </c>
      <c r="O35" s="70">
        <f>(NORMSDIST((I35-$O$28)/B15)-NORMSDIST((I35-$P$28)/B15))</f>
        <v>0.768529754253718</v>
      </c>
      <c r="P35" s="70">
        <f>(NORMSDIST((I35-$P$28)/B15)-NORMSDIST((I35-$Q$28)/B15))</f>
        <v>0.192279245781298</v>
      </c>
      <c r="Q35" s="70">
        <f>(NORMSDIST((I35-$Q$28)/B15)-NORMSDIST((I35-$R$28)/B15))</f>
        <v>0.000232404549626125</v>
      </c>
      <c r="R35" s="70">
        <f>(NORMSDIST((I35-$R$28)/B15)-NORMSDIST((I35-$S$28)/B15))</f>
        <v>4.34353561744046e-10</v>
      </c>
      <c r="S35" s="70">
        <f>(NORMSDIST((I35-$S$28)/B15)-NORMSDIST((I35-$T$28)/B15))</f>
        <v>9.4711541576739e-19</v>
      </c>
      <c r="T35" s="70"/>
      <c r="U35" s="90">
        <f t="shared" si="2"/>
        <v>0.999999999999999</v>
      </c>
    </row>
    <row r="36" s="15" customFormat="1" ht="18" customHeight="1" spans="1:21">
      <c r="A36" s="43"/>
      <c r="B36" s="43"/>
      <c r="C36" s="50">
        <f t="shared" si="3"/>
        <v>0.254</v>
      </c>
      <c r="D36" s="49">
        <v>0.0677254308913373</v>
      </c>
      <c r="E36" s="51">
        <v>44096</v>
      </c>
      <c r="F36" s="52">
        <f t="shared" si="0"/>
        <v>11.200384</v>
      </c>
      <c r="G36" s="52">
        <f t="shared" si="1"/>
        <v>739.225344</v>
      </c>
      <c r="H36" s="53">
        <f t="shared" si="4"/>
        <v>0.974100801392437</v>
      </c>
      <c r="I36" s="77">
        <v>720.08</v>
      </c>
      <c r="J36" s="77" t="s">
        <v>99</v>
      </c>
      <c r="K36" s="78">
        <f>(NORMSDIST((I36-$K$28)/B15)-NORMSDIST((I36-$L$28)/B15))</f>
        <v>0</v>
      </c>
      <c r="L36" s="78">
        <f>(NORMSDIST((I36-$L$28)/B15)-NORMSDIST((I36-$M$28)/B15))</f>
        <v>9.99200722162641e-16</v>
      </c>
      <c r="M36" s="79">
        <f>(NORMSDIST((I36-$M$28)/B15)-NORMSDIST((I36-$N$28)/B15))</f>
        <v>5.62552807670258e-8</v>
      </c>
      <c r="N36" s="79">
        <f>(NORMSDIST((I36-$N$28)/B15)-NORMSDIST((I36-$O$28)/B15))</f>
        <v>0.00375109675639973</v>
      </c>
      <c r="O36" s="79">
        <f>(NORMSDIST((I36-$O$28)/B15)-NORMSDIST((I36-$P$28)/B15))</f>
        <v>0.479456239238429</v>
      </c>
      <c r="P36" s="79">
        <f>(NORMSDIST((I36-$P$28)/B15)-NORMSDIST((I36-$Q$28)/B15))</f>
        <v>0.51198646927622</v>
      </c>
      <c r="Q36" s="79">
        <f>(NORMSDIST((I36-$Q$28)/B15)-NORMSDIST((I36-$R$28)/B15))</f>
        <v>0.00480604951918716</v>
      </c>
      <c r="R36" s="79">
        <f>(NORMSDIST((I36-$R$28)/B15)-NORMSDIST((I36-$S$28)/B15))</f>
        <v>8.89544805262218e-8</v>
      </c>
      <c r="S36" s="79">
        <f>(NORMSDIST((I36-$S$28)/B15)-NORMSDIST((I36-$T$28)/B15))</f>
        <v>2.0369855279011e-15</v>
      </c>
      <c r="T36" s="79"/>
      <c r="U36" s="91">
        <f t="shared" si="2"/>
        <v>1</v>
      </c>
    </row>
    <row r="37" s="84" customFormat="1" ht="18" customHeight="1" spans="1:21">
      <c r="A37" s="43"/>
      <c r="B37" s="43"/>
      <c r="C37" s="103">
        <f t="shared" si="3"/>
        <v>0.255</v>
      </c>
      <c r="D37" s="44">
        <v>0.135424696636566</v>
      </c>
      <c r="E37" s="104">
        <v>44096</v>
      </c>
      <c r="F37" s="105">
        <f t="shared" si="0"/>
        <v>11.24448</v>
      </c>
      <c r="G37" s="105">
        <f t="shared" si="1"/>
        <v>742.13568</v>
      </c>
      <c r="H37" s="47">
        <f t="shared" si="4"/>
        <v>0.972600801392437</v>
      </c>
      <c r="I37" s="68">
        <f>G37*(H36-0.15%)</f>
        <v>721.801757109921</v>
      </c>
      <c r="J37" s="68"/>
      <c r="K37" s="74">
        <f>(NORMSDIST((I37-$K$28)/B15)-NORMSDIST((I37-$L$28)/B15))</f>
        <v>0</v>
      </c>
      <c r="L37" s="74">
        <f>(NORMSDIST((I37-$L$28)/B15)-NORMSDIST((I37-$M$28)/B15))</f>
        <v>0</v>
      </c>
      <c r="M37" s="74">
        <f>(NORMSDIST((I37-$M$28)/B15)-NORMSDIST((I37-$N$28)/B15))</f>
        <v>2.62487587221472e-10</v>
      </c>
      <c r="N37" s="74">
        <f>(NORMSDIST((I37-$N$28)/B15)-NORMSDIST((I37-$O$28)/B15))</f>
        <v>0.000171880907130495</v>
      </c>
      <c r="O37" s="74">
        <f>(NORMSDIST((I37-$O$28)/B15)-NORMSDIST((I37-$P$28)/B15))</f>
        <v>0.171318220663534</v>
      </c>
      <c r="P37" s="74">
        <f>(NORMSDIST((I37-$P$28)/B15)-NORMSDIST((I37-$Q$28)/B15))</f>
        <v>0.782350002559338</v>
      </c>
      <c r="Q37" s="74">
        <f>(NORMSDIST((I37-$Q$28)/B15)-NORMSDIST((I37-$R$28)/B15))</f>
        <v>0.0461519105725717</v>
      </c>
      <c r="R37" s="74">
        <f>(NORMSDIST((I37-$R$28)/B15)-NORMSDIST((I37-$S$28)/B15))</f>
        <v>7.98503306543307e-6</v>
      </c>
      <c r="S37" s="74">
        <f>(NORMSDIST((I37-$S$28)/B15)-NORMSDIST((I37-$T$28)/B15))</f>
        <v>1.87304761487381e-12</v>
      </c>
      <c r="T37" s="74"/>
      <c r="U37" s="103">
        <f t="shared" si="2"/>
        <v>1</v>
      </c>
    </row>
    <row r="38" s="84" customFormat="1" ht="18" customHeight="1" spans="1:21">
      <c r="A38" s="114"/>
      <c r="B38" s="114"/>
      <c r="C38" s="103">
        <f t="shared" si="3"/>
        <v>0.256</v>
      </c>
      <c r="D38" s="44">
        <v>0.375522897004264</v>
      </c>
      <c r="E38" s="104">
        <v>44096</v>
      </c>
      <c r="F38" s="105">
        <f t="shared" si="0"/>
        <v>11.288576</v>
      </c>
      <c r="G38" s="105">
        <f t="shared" ref="G38:G48" si="6">F38*66</f>
        <v>745.046016</v>
      </c>
      <c r="H38" s="47">
        <f t="shared" si="4"/>
        <v>0.971100801392437</v>
      </c>
      <c r="I38" s="68">
        <f t="shared" ref="I38:I48" si="7">G38*(H37-0.15%)</f>
        <v>723.514783211843</v>
      </c>
      <c r="J38" s="68"/>
      <c r="K38" s="74">
        <f>(NORMSDIST((I38-$K$28)/B15)-NORMSDIST((I38-$L$28)/B15))</f>
        <v>0</v>
      </c>
      <c r="L38" s="74">
        <f>(NORMSDIST((I38-$L$28)/B15)-NORMSDIST((I38-$M$28)/B15))</f>
        <v>0</v>
      </c>
      <c r="M38" s="74">
        <f>(NORMSDIST((I38-$M$28)/B15)-NORMSDIST((I38-$N$28)/B15))</f>
        <v>5.6754601018838e-13</v>
      </c>
      <c r="N38" s="74">
        <f>(NORMSDIST((I38-$N$28)/B15)-NORMSDIST((I38-$O$28)/B15))</f>
        <v>3.70662165627422e-6</v>
      </c>
      <c r="O38" s="74">
        <f>(NORMSDIST((I38-$O$28)/B15)-NORMSDIST((I38-$P$28)/B15))</f>
        <v>0.03216129157352</v>
      </c>
      <c r="P38" s="74">
        <f>(NORMSDIST((I38-$P$28)/B15)-NORMSDIST((I38-$Q$28)/B15))</f>
        <v>0.750637507193133</v>
      </c>
      <c r="Q38" s="74">
        <f>(NORMSDIST((I38-$Q$28)/B15)-NORMSDIST((I38-$R$28)/B15))</f>
        <v>0.216876555389071</v>
      </c>
      <c r="R38" s="74">
        <f>(NORMSDIST((I38-$R$28)/B15)-NORMSDIST((I38-$S$28)/B15))</f>
        <v>0.00032093847431042</v>
      </c>
      <c r="S38" s="74">
        <f>(NORMSDIST((I38-$S$28)/B15)-NORMSDIST((I38-$T$28)/B15))</f>
        <v>7.47740985364738e-10</v>
      </c>
      <c r="T38" s="74"/>
      <c r="U38" s="103">
        <f t="shared" si="2"/>
        <v>0.999999999999999</v>
      </c>
    </row>
    <row r="39" s="84" customFormat="1" ht="18" customHeight="1" spans="1:21">
      <c r="A39" s="43"/>
      <c r="B39" s="43"/>
      <c r="C39" s="103">
        <f t="shared" si="3"/>
        <v>0.257</v>
      </c>
      <c r="D39" s="44">
        <v>0.316365573570102</v>
      </c>
      <c r="E39" s="104">
        <v>44096</v>
      </c>
      <c r="F39" s="105">
        <f t="shared" si="0"/>
        <v>11.332672</v>
      </c>
      <c r="G39" s="105">
        <f t="shared" si="6"/>
        <v>747.956352</v>
      </c>
      <c r="H39" s="47">
        <f t="shared" si="4"/>
        <v>0.969600801392438</v>
      </c>
      <c r="I39" s="68">
        <f t="shared" si="7"/>
        <v>725.219078305764</v>
      </c>
      <c r="J39" s="68"/>
      <c r="K39" s="74">
        <f>(NORMSDIST((I39-$K$28)/B15)-NORMSDIST((I39-$L$28)/B15))</f>
        <v>0</v>
      </c>
      <c r="L39" s="74">
        <f>(NORMSDIST((I39-$L$28)/B15)-NORMSDIST((I39-$M$28)/B15))</f>
        <v>0</v>
      </c>
      <c r="M39" s="74">
        <f>(NORMSDIST((I39-$M$28)/B15)-NORMSDIST((I39-$N$28)/B15))</f>
        <v>5.55111512312578e-16</v>
      </c>
      <c r="N39" s="74">
        <f>(NORMSDIST((I39-$N$28)/B15)-NORMSDIST((I39-$O$28)/B15))</f>
        <v>3.75623608883657e-8</v>
      </c>
      <c r="O39" s="74">
        <f>(NORMSDIST((I39-$O$28)/B15)-NORMSDIST((I39-$P$28)/B15))</f>
        <v>0.00300818916604273</v>
      </c>
      <c r="P39" s="74">
        <f>(NORMSDIST((I39-$P$28)/B15)-NORMSDIST((I39-$Q$28)/B15))</f>
        <v>0.451093710049294</v>
      </c>
      <c r="Q39" s="74">
        <f>(NORMSDIST((I39-$Q$28)/B15)-NORMSDIST((I39-$R$28)/B15))</f>
        <v>0.539967926027526</v>
      </c>
      <c r="R39" s="74">
        <f>(NORMSDIST((I39-$R$28)/B15)-NORMSDIST((I39-$S$28)/B15))</f>
        <v>0.0059300054527218</v>
      </c>
      <c r="S39" s="74">
        <f>(NORMSDIST((I39-$S$28)/B15)-NORMSDIST((I39-$T$28)/B15))</f>
        <v>1.31742050618191e-7</v>
      </c>
      <c r="T39" s="74"/>
      <c r="U39" s="103">
        <f t="shared" si="2"/>
        <v>0.999999999999997</v>
      </c>
    </row>
    <row r="40" s="13" customFormat="1" ht="18" customHeight="1" spans="1:21">
      <c r="A40" s="43"/>
      <c r="B40" s="43"/>
      <c r="C40" s="38">
        <f t="shared" si="3"/>
        <v>0.258</v>
      </c>
      <c r="D40" s="49">
        <v>0.0709605916103882</v>
      </c>
      <c r="E40" s="40">
        <v>44096</v>
      </c>
      <c r="F40" s="41">
        <f t="shared" si="0"/>
        <v>11.376768</v>
      </c>
      <c r="G40" s="41">
        <f t="shared" si="6"/>
        <v>750.866688</v>
      </c>
      <c r="H40" s="42">
        <f t="shared" si="4"/>
        <v>0.968100801392438</v>
      </c>
      <c r="I40" s="68">
        <f t="shared" si="7"/>
        <v>726.914642391685</v>
      </c>
      <c r="J40" s="68"/>
      <c r="K40" s="69">
        <f>(NORMSDIST((I40-$K$28)/B15)-NORMSDIST((I40-$L$28)/B15))</f>
        <v>0</v>
      </c>
      <c r="L40" s="69">
        <f>(NORMSDIST((I40-$L$28)/B15)-NORMSDIST((I40-$M$28)/B15))</f>
        <v>0</v>
      </c>
      <c r="M40" s="70">
        <f>(NORMSDIST((I40-$M$28)/B15)-NORMSDIST((I40-$N$28)/B15))</f>
        <v>0</v>
      </c>
      <c r="N40" s="70">
        <f>(NORMSDIST((I40-$N$28)/B15)-NORMSDIST((I40-$O$28)/B15))</f>
        <v>1.79524617394122e-10</v>
      </c>
      <c r="O40" s="70">
        <f>(NORMSDIST((I40-$O$28)/B15)-NORMSDIST((I40-$P$28)/B15))</f>
        <v>0.000136697616292092</v>
      </c>
      <c r="P40" s="70">
        <f>(NORMSDIST((I40-$P$28)/B15)-NORMSDIST((I40-$Q$28)/B15))</f>
        <v>0.156660988746139</v>
      </c>
      <c r="Q40" s="70">
        <f>(NORMSDIST((I40-$Q$28)/B15)-NORMSDIST((I40-$R$28)/B15))</f>
        <v>0.791000794101576</v>
      </c>
      <c r="R40" s="70">
        <f>(NORMSDIST((I40-$R$28)/B15)-NORMSDIST((I40-$S$28)/B15))</f>
        <v>0.0521910879712285</v>
      </c>
      <c r="S40" s="70">
        <f>(NORMSDIST((I40-$S$28)/B15)-NORMSDIST((I40-$T$28)/B15))</f>
        <v>1.04313823912683e-5</v>
      </c>
      <c r="T40" s="70"/>
      <c r="U40" s="90">
        <f t="shared" si="2"/>
        <v>0.999999999997152</v>
      </c>
    </row>
    <row r="41" s="13" customFormat="1" ht="18" customHeight="1" spans="1:21">
      <c r="A41" s="43"/>
      <c r="B41" s="43"/>
      <c r="C41" s="38">
        <f t="shared" si="3"/>
        <v>0.259</v>
      </c>
      <c r="D41" s="49">
        <v>0.00945382164901285</v>
      </c>
      <c r="E41" s="40">
        <v>44096</v>
      </c>
      <c r="F41" s="41">
        <f t="shared" si="0"/>
        <v>11.420864</v>
      </c>
      <c r="G41" s="41">
        <f t="shared" si="6"/>
        <v>753.777024</v>
      </c>
      <c r="H41" s="42">
        <f t="shared" si="4"/>
        <v>0.966600801392438</v>
      </c>
      <c r="I41" s="68">
        <f t="shared" si="7"/>
        <v>728.601475469607</v>
      </c>
      <c r="J41" s="68"/>
      <c r="K41" s="69">
        <f>(NORMSDIST((I41-$K$28)/B15)-NORMSDIST((I41-$L$28)/B15))</f>
        <v>0</v>
      </c>
      <c r="L41" s="69">
        <f>(NORMSDIST((I41-$L$28)/B15)-NORMSDIST((I41-$M$28)/B15))</f>
        <v>0</v>
      </c>
      <c r="M41" s="70">
        <f>(NORMSDIST((I41-$M$28)/B15)-NORMSDIST((I41-$N$28)/B15))</f>
        <v>0</v>
      </c>
      <c r="N41" s="70">
        <f>(NORMSDIST((I41-$N$28)/B15)-NORMSDIST((I41-$O$28)/B15))</f>
        <v>4.0734082773497e-13</v>
      </c>
      <c r="O41" s="70">
        <f>(NORMSDIST((I41-$O$28)/B15)-NORMSDIST((I41-$P$28)/B15))</f>
        <v>2.99004009263193e-6</v>
      </c>
      <c r="P41" s="70">
        <f>(NORMSDIST((I41-$P$28)/B15)-NORMSDIST((I41-$Q$28)/B15))</f>
        <v>0.0290092187123759</v>
      </c>
      <c r="Q41" s="70">
        <f>(NORMSDIST((I41-$Q$28)/B15)-NORMSDIST((I41-$R$28)/B15))</f>
        <v>0.740142385493548</v>
      </c>
      <c r="R41" s="70">
        <f>(NORMSDIST((I41-$R$28)/B15)-NORMSDIST((I41-$S$28)/B15))</f>
        <v>0.230466339312912</v>
      </c>
      <c r="S41" s="70">
        <f>(NORMSDIST((I41-$S$28)/B15)-NORMSDIST((I41-$T$28)/B15))</f>
        <v>0.000379065449347986</v>
      </c>
      <c r="T41" s="70"/>
      <c r="U41" s="90">
        <f t="shared" si="2"/>
        <v>0.999999999008684</v>
      </c>
    </row>
    <row r="42" s="13" customFormat="1" ht="18" customHeight="1" spans="1:21">
      <c r="A42" s="43"/>
      <c r="B42" s="43"/>
      <c r="C42" s="38">
        <f t="shared" si="3"/>
        <v>0.26</v>
      </c>
      <c r="D42" s="49"/>
      <c r="E42" s="40">
        <v>44096</v>
      </c>
      <c r="F42" s="41">
        <f t="shared" si="0"/>
        <v>11.46496</v>
      </c>
      <c r="G42" s="41">
        <f t="shared" si="6"/>
        <v>756.68736</v>
      </c>
      <c r="H42" s="42">
        <f t="shared" si="4"/>
        <v>0.965100801392438</v>
      </c>
      <c r="I42" s="68">
        <f t="shared" si="7"/>
        <v>730.279577539528</v>
      </c>
      <c r="J42" s="68"/>
      <c r="K42" s="69">
        <f>(NORMSDIST((I42-$K$28)/B15)-NORMSDIST((I42-$L$28)/B15))</f>
        <v>0</v>
      </c>
      <c r="L42" s="69">
        <f>(NORMSDIST((I42-$L$28)/B15)-NORMSDIST((I42-$M$28)/B15))</f>
        <v>0</v>
      </c>
      <c r="M42" s="70">
        <f>(NORMSDIST((I42-$M$28)/B15)-NORMSDIST((I42-$N$28)/B15))</f>
        <v>0</v>
      </c>
      <c r="N42" s="70">
        <f>(NORMSDIST((I42-$N$28)/B15)-NORMSDIST((I42-$O$28)/B15))</f>
        <v>0</v>
      </c>
      <c r="O42" s="70">
        <f>(NORMSDIST((I42-$O$28)/B15)-NORMSDIST((I42-$P$28)/B15))</f>
        <v>3.14589306826818e-8</v>
      </c>
      <c r="P42" s="70">
        <f>(NORMSDIST((I42-$P$28)/B15)-NORMSDIST((I42-$Q$28)/B15))</f>
        <v>0.00272860357447136</v>
      </c>
      <c r="Q42" s="70">
        <f>(NORMSDIST((I42-$Q$28)/B15)-NORMSDIST((I42-$R$28)/B15))</f>
        <v>0.438779727117984</v>
      </c>
      <c r="R42" s="70">
        <f>(NORMSDIST((I42-$R$28)/B15)-NORMSDIST((I42-$S$28)/B15))</f>
        <v>0.55200373939097</v>
      </c>
      <c r="S42" s="70">
        <f>(NORMSDIST((I42-$S$28)/B15)-NORMSDIST((I42-$T$28)/B15))</f>
        <v>0.00648774242588768</v>
      </c>
      <c r="T42" s="70"/>
      <c r="U42" s="90">
        <f t="shared" si="2"/>
        <v>0.999999843968244</v>
      </c>
    </row>
    <row r="43" s="13" customFormat="1" ht="18" customHeight="1" spans="1:21">
      <c r="A43" s="43"/>
      <c r="B43" s="43"/>
      <c r="C43" s="38">
        <f t="shared" si="3"/>
        <v>0.261</v>
      </c>
      <c r="D43" s="49"/>
      <c r="E43" s="40">
        <v>44096</v>
      </c>
      <c r="F43" s="41">
        <f t="shared" si="0"/>
        <v>11.509056</v>
      </c>
      <c r="G43" s="41">
        <f t="shared" si="6"/>
        <v>759.597696</v>
      </c>
      <c r="H43" s="42">
        <f t="shared" si="4"/>
        <v>0.963600801392438</v>
      </c>
      <c r="I43" s="68">
        <f t="shared" si="7"/>
        <v>731.948948601449</v>
      </c>
      <c r="J43" s="68"/>
      <c r="K43" s="69">
        <f>(NORMSDIST((I43-$K$28)/B15)-NORMSDIST((I43-$L$28)/B15))</f>
        <v>0</v>
      </c>
      <c r="L43" s="69">
        <f>(NORMSDIST((I43-$L$28)/B15)-NORMSDIST((I43-$M$28)/B15))</f>
        <v>0</v>
      </c>
      <c r="M43" s="70">
        <f>(NORMSDIST((I43-$M$28)/B15)-NORMSDIST((I43-$N$28)/B15))</f>
        <v>0</v>
      </c>
      <c r="N43" s="70">
        <f>(NORMSDIST((I43-$N$28)/B15)-NORMSDIST((I43-$O$28)/B15))</f>
        <v>0</v>
      </c>
      <c r="O43" s="70">
        <f>(NORMSDIST((I43-$O$28)/B15)-NORMSDIST((I43-$P$28)/B15))</f>
        <v>1.59840696234426e-10</v>
      </c>
      <c r="P43" s="70">
        <f>(NORMSDIST((I43-$P$28)/B15)-NORMSDIST((I43-$Q$28)/B15))</f>
        <v>0.000127422279419531</v>
      </c>
      <c r="Q43" s="70">
        <f>(NORMSDIST((I43-$Q$28)/B15)-NORMSDIST((I43-$R$28)/B15))</f>
        <v>0.152374369056756</v>
      </c>
      <c r="R43" s="70">
        <f>(NORMSDIST((I43-$R$28)/B15)-NORMSDIST((I43-$S$28)/B15))</f>
        <v>0.793341094216302</v>
      </c>
      <c r="S43" s="70">
        <f>(NORMSDIST((I43-$S$28)/B15)-NORMSDIST((I43-$T$28)/B15))</f>
        <v>0.0541458079059078</v>
      </c>
      <c r="T43" s="70"/>
      <c r="U43" s="90">
        <f t="shared" si="2"/>
        <v>0.999988693618226</v>
      </c>
    </row>
    <row r="44" s="13" customFormat="1" ht="18" customHeight="1" spans="1:21">
      <c r="A44" s="43"/>
      <c r="B44" s="43"/>
      <c r="C44" s="38">
        <f t="shared" si="3"/>
        <v>0.262</v>
      </c>
      <c r="D44" s="49"/>
      <c r="E44" s="40">
        <v>44096</v>
      </c>
      <c r="F44" s="41">
        <f t="shared" si="0"/>
        <v>11.553152</v>
      </c>
      <c r="G44" s="41">
        <f t="shared" si="6"/>
        <v>762.508032</v>
      </c>
      <c r="H44" s="42">
        <f t="shared" si="4"/>
        <v>0.962100801392438</v>
      </c>
      <c r="I44" s="68">
        <f t="shared" si="7"/>
        <v>733.609588655371</v>
      </c>
      <c r="J44" s="68"/>
      <c r="K44" s="69">
        <f>(NORMSDIST((I44-$K$28)/B15)-NORMSDIST((I44-$L$28)/B15))</f>
        <v>0</v>
      </c>
      <c r="L44" s="69">
        <f>(NORMSDIST((I44-$L$28)/B15)-NORMSDIST((I44-$M$28)/B15))</f>
        <v>0</v>
      </c>
      <c r="M44" s="70">
        <f>(NORMSDIST((I44-$M$28)/B15)-NORMSDIST((I44-$N$28)/B15))</f>
        <v>0</v>
      </c>
      <c r="N44" s="70">
        <f>(NORMSDIST((I44-$N$28)/B15)-NORMSDIST((I44-$O$28)/B15))</f>
        <v>0</v>
      </c>
      <c r="O44" s="70">
        <f>(NORMSDIST((I44-$O$28)/B15)-NORMSDIST((I44-$P$28)/B15))</f>
        <v>3.94795307556706e-13</v>
      </c>
      <c r="P44" s="70">
        <f>(NORMSDIST((I44-$P$28)/B15)-NORMSDIST((I44-$Q$28)/B15))</f>
        <v>2.93022410724486e-6</v>
      </c>
      <c r="Q44" s="70">
        <f>(NORMSDIST((I44-$Q$28)/B15)-NORMSDIST((I44-$R$28)/B15))</f>
        <v>0.0287278381519248</v>
      </c>
      <c r="R44" s="70">
        <f>(NORMSDIST((I44-$R$28)/B15)-NORMSDIST((I44-$S$28)/B15))</f>
        <v>0.739122516642529</v>
      </c>
      <c r="S44" s="70">
        <f>(NORMSDIST((I44-$S$28)/B15)-NORMSDIST((I44-$T$28)/B15))</f>
        <v>0.231761735652131</v>
      </c>
      <c r="T44" s="70"/>
      <c r="U44" s="90">
        <f t="shared" si="2"/>
        <v>0.999615020671087</v>
      </c>
    </row>
    <row r="45" s="13" customFormat="1" ht="18" customHeight="1" spans="1:21">
      <c r="A45" s="43"/>
      <c r="B45" s="43"/>
      <c r="C45" s="38">
        <f t="shared" si="3"/>
        <v>0.263</v>
      </c>
      <c r="D45" s="55"/>
      <c r="E45" s="40">
        <v>44096</v>
      </c>
      <c r="F45" s="41">
        <f t="shared" si="0"/>
        <v>11.597248</v>
      </c>
      <c r="G45" s="41">
        <f t="shared" si="6"/>
        <v>765.418368</v>
      </c>
      <c r="H45" s="42">
        <f t="shared" si="4"/>
        <v>0.960600801392438</v>
      </c>
      <c r="I45" s="68">
        <f t="shared" si="7"/>
        <v>735.261497701292</v>
      </c>
      <c r="J45" s="68"/>
      <c r="K45" s="69">
        <f>(NORMSDIST((I45-$K$28)/B15)-NORMSDIST((I45-$L$28)/B15))</f>
        <v>0</v>
      </c>
      <c r="L45" s="69">
        <f>(NORMSDIST((I45-$L$28)/B15)-NORMSDIST((I45-$M$28)/B15))</f>
        <v>0</v>
      </c>
      <c r="M45" s="70">
        <f>(NORMSDIST((I45-$M$28)/B15)-NORMSDIST((I45-$N$28)/B15))</f>
        <v>0</v>
      </c>
      <c r="N45" s="70">
        <f>(NORMSDIST((I45-$N$28)/B15)-NORMSDIST((I45-$O$28)/B15))</f>
        <v>0</v>
      </c>
      <c r="O45" s="70">
        <f>(NORMSDIST((I45-$O$28)/B15)-NORMSDIST((I45-$P$28)/B15))</f>
        <v>0</v>
      </c>
      <c r="P45" s="70">
        <f>(NORMSDIST((I45-$P$28)/B15)-NORMSDIST((I45-$Q$28)/B15))</f>
        <v>3.31743501558179e-8</v>
      </c>
      <c r="Q45" s="70">
        <f>(NORMSDIST((I45-$Q$28)/B15)-NORMSDIST((I45-$R$28)/B15))</f>
        <v>0.00280959290459581</v>
      </c>
      <c r="R45" s="70">
        <f>(NORMSDIST((I45-$R$28)/B15)-NORMSDIST((I45-$S$28)/B15))</f>
        <v>0.44245665034706</v>
      </c>
      <c r="S45" s="70">
        <f>(NORMSDIST((I45-$S$28)/B15)-NORMSDIST((I45-$T$28)/B15))</f>
        <v>0.548417181351465</v>
      </c>
      <c r="T45" s="70"/>
      <c r="U45" s="90">
        <f t="shared" si="2"/>
        <v>0.993683457777471</v>
      </c>
    </row>
    <row r="46" s="13" customFormat="1" ht="18" customHeight="1" spans="1:21">
      <c r="A46" s="43"/>
      <c r="B46" s="43"/>
      <c r="C46" s="38">
        <f t="shared" si="3"/>
        <v>0.264</v>
      </c>
      <c r="D46" s="55"/>
      <c r="E46" s="40">
        <v>44096</v>
      </c>
      <c r="F46" s="41">
        <f t="shared" si="0"/>
        <v>11.641344</v>
      </c>
      <c r="G46" s="41">
        <f t="shared" si="6"/>
        <v>768.328704</v>
      </c>
      <c r="H46" s="42">
        <f t="shared" si="4"/>
        <v>0.959100801392438</v>
      </c>
      <c r="I46" s="68">
        <f t="shared" si="7"/>
        <v>736.904675739213</v>
      </c>
      <c r="J46" s="68"/>
      <c r="K46" s="69">
        <f>(NORMSDIST((I46-$K$28)/B15)-NORMSDIST((I46-$L$28)/B15))</f>
        <v>0</v>
      </c>
      <c r="L46" s="69">
        <f>(NORMSDIST((I46-$L$28)/B15)-NORMSDIST((I46-$M$28)/B15))</f>
        <v>0</v>
      </c>
      <c r="M46" s="70">
        <f>(NORMSDIST((I46-$M$28)/B15)-NORMSDIST((I46-$N$28)/B15))</f>
        <v>0</v>
      </c>
      <c r="N46" s="70">
        <f>(NORMSDIST((I46-$N$28)/B15)-NORMSDIST((I46-$O$28)/B15))</f>
        <v>0</v>
      </c>
      <c r="O46" s="70">
        <f>(NORMSDIST((I46-$O$28)/B15)-NORMSDIST((I46-$P$28)/B15))</f>
        <v>0</v>
      </c>
      <c r="P46" s="70">
        <f>(NORMSDIST((I46-$P$28)/B15)-NORMSDIST((I46-$Q$28)/B15))</f>
        <v>1.85673920682916e-10</v>
      </c>
      <c r="Q46" s="70">
        <f>(NORMSDIST((I46-$Q$28)/B15)-NORMSDIST((I46-$R$28)/B15))</f>
        <v>0.000139508676703759</v>
      </c>
      <c r="R46" s="70">
        <f>(NORMSDIST((I46-$R$28)/B15)-NORMSDIST((I46-$S$28)/B15))</f>
        <v>0.157921008291978</v>
      </c>
      <c r="S46" s="70">
        <f>(NORMSDIST((I46-$S$28)/B15)-NORMSDIST((I46-$T$28)/B15))</f>
        <v>0.790295465521754</v>
      </c>
      <c r="T46" s="70"/>
      <c r="U46" s="90">
        <f t="shared" si="2"/>
        <v>0.94835598267611</v>
      </c>
    </row>
    <row r="47" s="13" customFormat="1" ht="18" customHeight="1" spans="1:21">
      <c r="A47" s="43"/>
      <c r="B47" s="43"/>
      <c r="C47" s="38">
        <f t="shared" si="3"/>
        <v>0.265</v>
      </c>
      <c r="D47" s="55"/>
      <c r="E47" s="40">
        <v>44096</v>
      </c>
      <c r="F47" s="41">
        <f t="shared" si="0"/>
        <v>11.68544</v>
      </c>
      <c r="G47" s="41">
        <f t="shared" si="6"/>
        <v>771.23904</v>
      </c>
      <c r="H47" s="42">
        <f t="shared" si="4"/>
        <v>0.957600801392438</v>
      </c>
      <c r="I47" s="68">
        <f t="shared" si="7"/>
        <v>738.539122769134</v>
      </c>
      <c r="J47" s="68"/>
      <c r="K47" s="69">
        <f>(NORMSDIST((I47-$K$28)/B15)-NORMSDIST((I47-$L$28)/B15))</f>
        <v>0</v>
      </c>
      <c r="L47" s="69">
        <f>(NORMSDIST((I47-$L$28)/B15)-NORMSDIST((I47-$M$28)/B15))</f>
        <v>0</v>
      </c>
      <c r="M47" s="70">
        <f>(NORMSDIST((I47-$M$28)/B15)-NORMSDIST((I47-$N$28)/B15))</f>
        <v>0</v>
      </c>
      <c r="N47" s="70">
        <f>(NORMSDIST((I47-$N$28)/B15)-NORMSDIST((I47-$O$28)/B15))</f>
        <v>0</v>
      </c>
      <c r="O47" s="70">
        <f>(NORMSDIST((I47-$O$28)/B15)-NORMSDIST((I47-$P$28)/B15))</f>
        <v>0</v>
      </c>
      <c r="P47" s="70">
        <f>(NORMSDIST((I47-$P$28)/B15)-NORMSDIST((I47-$Q$28)/B15))</f>
        <v>5.17141884870398e-13</v>
      </c>
      <c r="Q47" s="70">
        <f>(NORMSDIST((I47-$Q$28)/B15)-NORMSDIST((I47-$R$28)/B15))</f>
        <v>3.49036560398641e-6</v>
      </c>
      <c r="R47" s="70">
        <f>(NORMSDIST((I47-$R$28)/B15)-NORMSDIST((I47-$S$28)/B15))</f>
        <v>0.0312490204496858</v>
      </c>
      <c r="S47" s="70">
        <f>(NORMSDIST((I47-$S$28)/B15)-NORMSDIST((I47-$T$28)/B15))</f>
        <v>0.747766030759943</v>
      </c>
      <c r="T47" s="70"/>
      <c r="U47" s="90">
        <f t="shared" si="2"/>
        <v>0.77901854157575</v>
      </c>
    </row>
    <row r="48" s="13" customFormat="1" ht="18" customHeight="1" spans="1:21">
      <c r="A48" s="43"/>
      <c r="B48" s="43"/>
      <c r="C48" s="38">
        <f t="shared" si="3"/>
        <v>0.266</v>
      </c>
      <c r="D48" s="55"/>
      <c r="E48" s="40">
        <v>44096</v>
      </c>
      <c r="F48" s="41">
        <f t="shared" si="0"/>
        <v>11.729536</v>
      </c>
      <c r="G48" s="41">
        <f t="shared" si="6"/>
        <v>774.149376</v>
      </c>
      <c r="H48" s="42">
        <f t="shared" si="4"/>
        <v>0.956100801392438</v>
      </c>
      <c r="I48" s="68">
        <f t="shared" si="7"/>
        <v>740.164838791056</v>
      </c>
      <c r="J48" s="68"/>
      <c r="K48" s="69">
        <f>(NORMSDIST((I48-$K$28)/B15)-NORMSDIST((I48-$L$28)/B15))</f>
        <v>0</v>
      </c>
      <c r="L48" s="69">
        <f>(NORMSDIST((I48-$L$28)/B15)-NORMSDIST((I48-$M$28)/B15))</f>
        <v>0</v>
      </c>
      <c r="M48" s="70">
        <f>(NORMSDIST((I48-$M$28)/B15)-NORMSDIST((I48-$N$28)/B15))</f>
        <v>0</v>
      </c>
      <c r="N48" s="70">
        <f>(NORMSDIST((I48-$N$28)/B15)-NORMSDIST((I48-$O$28)/B15))</f>
        <v>0</v>
      </c>
      <c r="O48" s="70">
        <f>(NORMSDIST((I48-$O$28)/B15)-NORMSDIST((I48-$P$28)/B15))</f>
        <v>0</v>
      </c>
      <c r="P48" s="70">
        <f>(NORMSDIST((I48-$P$28)/B15)-NORMSDIST((I48-$Q$28)/B15))</f>
        <v>7.7715611723761e-16</v>
      </c>
      <c r="Q48" s="70">
        <f>(NORMSDIST((I48-$Q$28)/B15)-NORMSDIST((I48-$R$28)/B15))</f>
        <v>4.39977378974277e-8</v>
      </c>
      <c r="R48" s="70">
        <f>(NORMSDIST((I48-$R$28)/B15)-NORMSDIST((I48-$S$28)/B15))</f>
        <v>0.0032805125975135</v>
      </c>
      <c r="S48" s="70">
        <f>(NORMSDIST((I48-$S$28)/B15)-NORMSDIST((I48-$T$28)/B15))</f>
        <v>0.462151674546291</v>
      </c>
      <c r="T48" s="70"/>
      <c r="U48" s="90">
        <f t="shared" si="2"/>
        <v>0.465432231141543</v>
      </c>
    </row>
    <row r="49" s="13" customFormat="1" ht="9.6" customHeight="1" spans="4:4">
      <c r="D49" s="56"/>
    </row>
    <row r="50" s="13" customFormat="1" ht="18" customHeight="1" spans="4:21">
      <c r="D50" s="57"/>
      <c r="I50" s="80" t="s">
        <v>90</v>
      </c>
      <c r="J50" s="80" t="s">
        <v>89</v>
      </c>
      <c r="K50" s="67">
        <f>K28</f>
        <v>695</v>
      </c>
      <c r="L50" s="67">
        <f t="shared" ref="L50:T50" si="8">L28</f>
        <v>700</v>
      </c>
      <c r="M50" s="67">
        <f t="shared" si="8"/>
        <v>705</v>
      </c>
      <c r="N50" s="67">
        <f t="shared" si="8"/>
        <v>710</v>
      </c>
      <c r="O50" s="67">
        <f t="shared" si="8"/>
        <v>715</v>
      </c>
      <c r="P50" s="67">
        <f t="shared" si="8"/>
        <v>720</v>
      </c>
      <c r="Q50" s="67">
        <f t="shared" si="8"/>
        <v>725</v>
      </c>
      <c r="R50" s="67">
        <f t="shared" si="8"/>
        <v>730</v>
      </c>
      <c r="S50" s="67">
        <f t="shared" si="8"/>
        <v>735</v>
      </c>
      <c r="T50" s="67">
        <f t="shared" si="8"/>
        <v>740</v>
      </c>
      <c r="U50" s="89" t="s">
        <v>96</v>
      </c>
    </row>
    <row r="51" s="13" customFormat="1" ht="18" customHeight="1" spans="9:21">
      <c r="I51" s="81">
        <f t="shared" ref="I51:I70" si="9">D29</f>
        <v>0</v>
      </c>
      <c r="J51" s="38">
        <f t="shared" ref="J51:J70" si="10">C29</f>
        <v>0.247</v>
      </c>
      <c r="K51" s="70">
        <f t="shared" ref="K51:K70" si="11">D29*K29</f>
        <v>0</v>
      </c>
      <c r="L51" s="70">
        <f t="shared" ref="L51:L70" si="12">D29*L29</f>
        <v>0</v>
      </c>
      <c r="M51" s="70">
        <f t="shared" ref="M51:M70" si="13">D29*M29</f>
        <v>0</v>
      </c>
      <c r="N51" s="70">
        <f t="shared" ref="N51:N70" si="14">D29*N29</f>
        <v>0</v>
      </c>
      <c r="O51" s="70">
        <f t="shared" ref="O51:O70" si="15">D29*O29</f>
        <v>0</v>
      </c>
      <c r="P51" s="70">
        <f t="shared" ref="P51:P70" si="16">D29*P29</f>
        <v>0</v>
      </c>
      <c r="Q51" s="70">
        <f t="shared" ref="Q51:Q70" si="17">D29*Q29</f>
        <v>0</v>
      </c>
      <c r="R51" s="70">
        <f t="shared" ref="R51:R70" si="18">D29*R29</f>
        <v>0</v>
      </c>
      <c r="S51" s="70">
        <f t="shared" ref="S51:S70" si="19">S29*D29</f>
        <v>0</v>
      </c>
      <c r="T51" s="70"/>
      <c r="U51" s="90"/>
    </row>
    <row r="52" s="13" customFormat="1" ht="18" customHeight="1" spans="9:21">
      <c r="I52" s="81">
        <f t="shared" si="9"/>
        <v>0</v>
      </c>
      <c r="J52" s="38">
        <f t="shared" si="10"/>
        <v>0.248</v>
      </c>
      <c r="K52" s="70">
        <f t="shared" si="11"/>
        <v>0</v>
      </c>
      <c r="L52" s="70">
        <f t="shared" si="12"/>
        <v>0</v>
      </c>
      <c r="M52" s="70">
        <f t="shared" si="13"/>
        <v>0</v>
      </c>
      <c r="N52" s="70">
        <f t="shared" si="14"/>
        <v>0</v>
      </c>
      <c r="O52" s="70">
        <f t="shared" si="15"/>
        <v>0</v>
      </c>
      <c r="P52" s="70">
        <f t="shared" si="16"/>
        <v>0</v>
      </c>
      <c r="Q52" s="70">
        <f t="shared" si="17"/>
        <v>0</v>
      </c>
      <c r="R52" s="70">
        <f t="shared" si="18"/>
        <v>0</v>
      </c>
      <c r="S52" s="70">
        <f t="shared" si="19"/>
        <v>0</v>
      </c>
      <c r="T52" s="70"/>
      <c r="U52" s="90"/>
    </row>
    <row r="53" s="13" customFormat="1" ht="18" customHeight="1" spans="9:21">
      <c r="I53" s="81">
        <f t="shared" si="9"/>
        <v>0</v>
      </c>
      <c r="J53" s="38">
        <f t="shared" si="10"/>
        <v>0.249</v>
      </c>
      <c r="K53" s="70">
        <f t="shared" si="11"/>
        <v>0</v>
      </c>
      <c r="L53" s="70">
        <f t="shared" si="12"/>
        <v>0</v>
      </c>
      <c r="M53" s="70">
        <f t="shared" si="13"/>
        <v>0</v>
      </c>
      <c r="N53" s="70">
        <f t="shared" si="14"/>
        <v>0</v>
      </c>
      <c r="O53" s="70">
        <f t="shared" si="15"/>
        <v>0</v>
      </c>
      <c r="P53" s="70">
        <f t="shared" si="16"/>
        <v>0</v>
      </c>
      <c r="Q53" s="70">
        <f t="shared" si="17"/>
        <v>0</v>
      </c>
      <c r="R53" s="70">
        <f t="shared" si="18"/>
        <v>0</v>
      </c>
      <c r="S53" s="70">
        <f t="shared" si="19"/>
        <v>0</v>
      </c>
      <c r="T53" s="70"/>
      <c r="U53" s="90"/>
    </row>
    <row r="54" s="13" customFormat="1" ht="18" customHeight="1" spans="9:21">
      <c r="I54" s="81">
        <f t="shared" si="9"/>
        <v>0</v>
      </c>
      <c r="J54" s="38">
        <f t="shared" si="10"/>
        <v>0.25</v>
      </c>
      <c r="K54" s="74">
        <f t="shared" si="11"/>
        <v>0</v>
      </c>
      <c r="L54" s="74">
        <f t="shared" si="12"/>
        <v>0</v>
      </c>
      <c r="M54" s="74">
        <f t="shared" si="13"/>
        <v>0</v>
      </c>
      <c r="N54" s="74">
        <f t="shared" si="14"/>
        <v>0</v>
      </c>
      <c r="O54" s="74">
        <f t="shared" si="15"/>
        <v>0</v>
      </c>
      <c r="P54" s="74">
        <f t="shared" si="16"/>
        <v>0</v>
      </c>
      <c r="Q54" s="74">
        <f t="shared" si="17"/>
        <v>0</v>
      </c>
      <c r="R54" s="74">
        <f t="shared" si="18"/>
        <v>0</v>
      </c>
      <c r="S54" s="74">
        <f t="shared" si="19"/>
        <v>0</v>
      </c>
      <c r="T54" s="70"/>
      <c r="U54" s="90"/>
    </row>
    <row r="55" s="13" customFormat="1" ht="18" customHeight="1" spans="9:21">
      <c r="I55" s="81">
        <f t="shared" si="9"/>
        <v>0</v>
      </c>
      <c r="J55" s="38">
        <f t="shared" si="10"/>
        <v>0.251</v>
      </c>
      <c r="K55" s="70">
        <f t="shared" si="11"/>
        <v>0</v>
      </c>
      <c r="L55" s="70">
        <f t="shared" si="12"/>
        <v>0</v>
      </c>
      <c r="M55" s="70">
        <f t="shared" si="13"/>
        <v>0</v>
      </c>
      <c r="N55" s="70">
        <f t="shared" si="14"/>
        <v>0</v>
      </c>
      <c r="O55" s="70">
        <f t="shared" si="15"/>
        <v>0</v>
      </c>
      <c r="P55" s="70">
        <f t="shared" si="16"/>
        <v>0</v>
      </c>
      <c r="Q55" s="70">
        <f t="shared" si="17"/>
        <v>0</v>
      </c>
      <c r="R55" s="70">
        <f t="shared" si="18"/>
        <v>0</v>
      </c>
      <c r="S55" s="70">
        <f t="shared" si="19"/>
        <v>0</v>
      </c>
      <c r="T55" s="70"/>
      <c r="U55" s="90"/>
    </row>
    <row r="56" s="13" customFormat="1" ht="18" customHeight="1" spans="9:21">
      <c r="I56" s="81">
        <f t="shared" si="9"/>
        <v>0</v>
      </c>
      <c r="J56" s="38">
        <f t="shared" si="10"/>
        <v>0.252</v>
      </c>
      <c r="K56" s="70">
        <f t="shared" si="11"/>
        <v>0</v>
      </c>
      <c r="L56" s="70">
        <f t="shared" si="12"/>
        <v>0</v>
      </c>
      <c r="M56" s="70">
        <f t="shared" si="13"/>
        <v>0</v>
      </c>
      <c r="N56" s="70">
        <f t="shared" si="14"/>
        <v>0</v>
      </c>
      <c r="O56" s="70">
        <f t="shared" si="15"/>
        <v>0</v>
      </c>
      <c r="P56" s="70">
        <f t="shared" si="16"/>
        <v>0</v>
      </c>
      <c r="Q56" s="70">
        <f t="shared" si="17"/>
        <v>0</v>
      </c>
      <c r="R56" s="70">
        <f t="shared" si="18"/>
        <v>0</v>
      </c>
      <c r="S56" s="70">
        <f t="shared" si="19"/>
        <v>0</v>
      </c>
      <c r="T56" s="70"/>
      <c r="U56" s="90"/>
    </row>
    <row r="57" s="13" customFormat="1" ht="18" customHeight="1" spans="9:21">
      <c r="I57" s="81">
        <f t="shared" si="9"/>
        <v>0.0245469886383294</v>
      </c>
      <c r="J57" s="38">
        <f t="shared" si="10"/>
        <v>0.253</v>
      </c>
      <c r="K57" s="70">
        <f t="shared" si="11"/>
        <v>0</v>
      </c>
      <c r="L57" s="70">
        <f t="shared" si="12"/>
        <v>2.60753182703172e-14</v>
      </c>
      <c r="M57" s="70">
        <f t="shared" si="13"/>
        <v>1.36282715771099e-7</v>
      </c>
      <c r="N57" s="70">
        <f t="shared" si="14"/>
        <v>0.000956179905622124</v>
      </c>
      <c r="O57" s="70">
        <f t="shared" si="15"/>
        <v>0.0188650911458841</v>
      </c>
      <c r="P57" s="70">
        <f t="shared" si="16"/>
        <v>0.00471987646158008</v>
      </c>
      <c r="Q57" s="70">
        <f t="shared" si="17"/>
        <v>5.70483183916854e-6</v>
      </c>
      <c r="R57" s="70">
        <f t="shared" si="18"/>
        <v>1.0662071945149e-11</v>
      </c>
      <c r="S57" s="70">
        <f t="shared" si="19"/>
        <v>2.32488313500287e-20</v>
      </c>
      <c r="T57" s="70"/>
      <c r="U57" s="90"/>
    </row>
    <row r="58" s="13" customFormat="1" ht="18" customHeight="1" spans="9:21">
      <c r="I58" s="81">
        <f t="shared" si="9"/>
        <v>0.0677254308913373</v>
      </c>
      <c r="J58" s="38">
        <f t="shared" si="10"/>
        <v>0.254</v>
      </c>
      <c r="K58" s="70">
        <f t="shared" si="11"/>
        <v>0</v>
      </c>
      <c r="L58" s="70">
        <f t="shared" si="12"/>
        <v>6.76712994554003e-17</v>
      </c>
      <c r="M58" s="70">
        <f t="shared" si="13"/>
        <v>3.80991312985998e-9</v>
      </c>
      <c r="N58" s="70">
        <f t="shared" si="14"/>
        <v>0.000254044644142269</v>
      </c>
      <c r="O58" s="70">
        <f t="shared" si="15"/>
        <v>0.0324713803959627</v>
      </c>
      <c r="P58" s="70">
        <f t="shared" si="16"/>
        <v>0.0346745042422664</v>
      </c>
      <c r="Q58" s="70">
        <f t="shared" si="17"/>
        <v>0.000325491774572055</v>
      </c>
      <c r="R58" s="70">
        <f t="shared" si="18"/>
        <v>6.02448052335345e-9</v>
      </c>
      <c r="S58" s="70">
        <f t="shared" si="19"/>
        <v>1.3795572259652e-16</v>
      </c>
      <c r="T58" s="70"/>
      <c r="U58" s="90"/>
    </row>
    <row r="59" s="13" customFormat="1" ht="18" customHeight="1" spans="9:21">
      <c r="I59" s="81">
        <f t="shared" si="9"/>
        <v>0.135424696636566</v>
      </c>
      <c r="J59" s="38">
        <f t="shared" si="10"/>
        <v>0.255</v>
      </c>
      <c r="K59" s="70">
        <f t="shared" si="11"/>
        <v>0</v>
      </c>
      <c r="L59" s="70">
        <f t="shared" si="12"/>
        <v>0</v>
      </c>
      <c r="M59" s="70">
        <f t="shared" si="13"/>
        <v>3.5547301870332e-11</v>
      </c>
      <c r="N59" s="70">
        <f t="shared" si="14"/>
        <v>2.32769197057651e-5</v>
      </c>
      <c r="O59" s="70">
        <f t="shared" si="15"/>
        <v>0.0232007180616754</v>
      </c>
      <c r="P59" s="70">
        <f t="shared" si="16"/>
        <v>0.105949511760215</v>
      </c>
      <c r="Q59" s="70">
        <f t="shared" si="17"/>
        <v>0.00625010848848844</v>
      </c>
      <c r="R59" s="70">
        <f t="shared" si="18"/>
        <v>1.08137068051922e-6</v>
      </c>
      <c r="S59" s="70">
        <f t="shared" si="19"/>
        <v>2.53656905030129e-13</v>
      </c>
      <c r="T59" s="70"/>
      <c r="U59" s="90"/>
    </row>
    <row r="60" s="13" customFormat="1" ht="18" customHeight="1" spans="9:21">
      <c r="I60" s="81">
        <f t="shared" si="9"/>
        <v>0.375522897004264</v>
      </c>
      <c r="J60" s="38">
        <f t="shared" si="10"/>
        <v>0.256</v>
      </c>
      <c r="K60" s="70">
        <f t="shared" si="11"/>
        <v>0</v>
      </c>
      <c r="L60" s="70">
        <f t="shared" si="12"/>
        <v>0</v>
      </c>
      <c r="M60" s="70">
        <f t="shared" si="13"/>
        <v>2.13126521929152e-13</v>
      </c>
      <c r="N60" s="70">
        <f t="shared" si="14"/>
        <v>1.39192130246284e-6</v>
      </c>
      <c r="O60" s="70">
        <f t="shared" si="15"/>
        <v>0.0120773013830871</v>
      </c>
      <c r="P60" s="70">
        <f t="shared" si="16"/>
        <v>0.281881571301225</v>
      </c>
      <c r="Q60" s="70">
        <f t="shared" si="17"/>
        <v>0.0814421123720098</v>
      </c>
      <c r="R60" s="70">
        <f t="shared" si="18"/>
        <v>0.000120519745633177</v>
      </c>
      <c r="S60" s="70">
        <f t="shared" si="19"/>
        <v>2.80793861032989e-10</v>
      </c>
      <c r="T60" s="70"/>
      <c r="U60" s="90"/>
    </row>
    <row r="61" s="13" customFormat="1" ht="18" customHeight="1" spans="9:21">
      <c r="I61" s="81">
        <f t="shared" si="9"/>
        <v>0.316365573570102</v>
      </c>
      <c r="J61" s="38">
        <f t="shared" si="10"/>
        <v>0.257</v>
      </c>
      <c r="K61" s="70">
        <f t="shared" si="11"/>
        <v>0</v>
      </c>
      <c r="L61" s="70">
        <f t="shared" si="12"/>
        <v>0</v>
      </c>
      <c r="M61" s="70">
        <f t="shared" si="13"/>
        <v>1.75618171988136e-16</v>
      </c>
      <c r="N61" s="70">
        <f t="shared" si="14"/>
        <v>1.1883437847095e-8</v>
      </c>
      <c r="O61" s="70">
        <f t="shared" si="15"/>
        <v>0.000951687490922475</v>
      </c>
      <c r="P61" s="70">
        <f t="shared" si="16"/>
        <v>0.14271052031361</v>
      </c>
      <c r="Q61" s="70">
        <f t="shared" si="17"/>
        <v>0.170827262627157</v>
      </c>
      <c r="R61" s="70">
        <f t="shared" si="18"/>
        <v>0.00187604957632416</v>
      </c>
      <c r="S61" s="70">
        <f t="shared" si="19"/>
        <v>4.16786494071254e-8</v>
      </c>
      <c r="T61" s="70"/>
      <c r="U61" s="90"/>
    </row>
    <row r="62" s="13" customFormat="1" ht="18" customHeight="1" spans="9:21">
      <c r="I62" s="81">
        <f t="shared" si="9"/>
        <v>0.0709605916103882</v>
      </c>
      <c r="J62" s="38">
        <f t="shared" si="10"/>
        <v>0.258</v>
      </c>
      <c r="K62" s="70">
        <f t="shared" si="11"/>
        <v>0</v>
      </c>
      <c r="L62" s="70">
        <f t="shared" si="12"/>
        <v>0</v>
      </c>
      <c r="M62" s="70">
        <f t="shared" si="13"/>
        <v>0</v>
      </c>
      <c r="N62" s="70">
        <f t="shared" si="14"/>
        <v>1.27391730589155e-11</v>
      </c>
      <c r="O62" s="70">
        <f t="shared" si="15"/>
        <v>9.70014372381668e-6</v>
      </c>
      <c r="P62" s="70">
        <f t="shared" si="16"/>
        <v>0.0111167564436944</v>
      </c>
      <c r="Q62" s="70">
        <f t="shared" si="17"/>
        <v>0.0561298843137347</v>
      </c>
      <c r="R62" s="70">
        <f t="shared" si="18"/>
        <v>0.00370351047922819</v>
      </c>
      <c r="S62" s="70">
        <f t="shared" si="19"/>
        <v>7.40217065798585e-7</v>
      </c>
      <c r="T62" s="70"/>
      <c r="U62" s="90"/>
    </row>
    <row r="63" s="13" customFormat="1" ht="18" customHeight="1" spans="9:21">
      <c r="I63" s="81">
        <f t="shared" si="9"/>
        <v>0.00945382164901285</v>
      </c>
      <c r="J63" s="38">
        <f t="shared" si="10"/>
        <v>0.259</v>
      </c>
      <c r="K63" s="70">
        <f t="shared" si="11"/>
        <v>0</v>
      </c>
      <c r="L63" s="70">
        <f t="shared" si="12"/>
        <v>0</v>
      </c>
      <c r="M63" s="70">
        <f t="shared" si="13"/>
        <v>0</v>
      </c>
      <c r="N63" s="70">
        <f t="shared" si="14"/>
        <v>3.85092753576767e-15</v>
      </c>
      <c r="O63" s="70">
        <f t="shared" si="15"/>
        <v>2.82673057591401e-8</v>
      </c>
      <c r="P63" s="70">
        <f t="shared" si="16"/>
        <v>0.000274247979884008</v>
      </c>
      <c r="Q63" s="70">
        <f t="shared" si="17"/>
        <v>0.00699717410733091</v>
      </c>
      <c r="R63" s="70">
        <f t="shared" si="18"/>
        <v>0.00217878766796515</v>
      </c>
      <c r="S63" s="70">
        <f t="shared" si="19"/>
        <v>3.58361715143877e-6</v>
      </c>
      <c r="T63" s="70"/>
      <c r="U63" s="90"/>
    </row>
    <row r="64" s="13" customFormat="1" ht="18" customHeight="1" spans="9:21">
      <c r="I64" s="81">
        <f t="shared" si="9"/>
        <v>0</v>
      </c>
      <c r="J64" s="38">
        <f t="shared" si="10"/>
        <v>0.26</v>
      </c>
      <c r="K64" s="70">
        <f t="shared" si="11"/>
        <v>0</v>
      </c>
      <c r="L64" s="70">
        <f t="shared" si="12"/>
        <v>0</v>
      </c>
      <c r="M64" s="70">
        <f t="shared" si="13"/>
        <v>0</v>
      </c>
      <c r="N64" s="70">
        <f t="shared" si="14"/>
        <v>0</v>
      </c>
      <c r="O64" s="70">
        <f t="shared" si="15"/>
        <v>0</v>
      </c>
      <c r="P64" s="70">
        <f t="shared" si="16"/>
        <v>0</v>
      </c>
      <c r="Q64" s="70">
        <f t="shared" si="17"/>
        <v>0</v>
      </c>
      <c r="R64" s="70">
        <f t="shared" si="18"/>
        <v>0</v>
      </c>
      <c r="S64" s="70">
        <f t="shared" si="19"/>
        <v>0</v>
      </c>
      <c r="T64" s="70"/>
      <c r="U64" s="90"/>
    </row>
    <row r="65" s="13" customFormat="1" ht="18" customHeight="1" spans="9:21">
      <c r="I65" s="81">
        <f t="shared" si="9"/>
        <v>0</v>
      </c>
      <c r="J65" s="38">
        <f t="shared" si="10"/>
        <v>0.261</v>
      </c>
      <c r="K65" s="70">
        <f t="shared" si="11"/>
        <v>0</v>
      </c>
      <c r="L65" s="70">
        <f t="shared" si="12"/>
        <v>0</v>
      </c>
      <c r="M65" s="70">
        <f t="shared" si="13"/>
        <v>0</v>
      </c>
      <c r="N65" s="70">
        <f t="shared" si="14"/>
        <v>0</v>
      </c>
      <c r="O65" s="70">
        <f t="shared" si="15"/>
        <v>0</v>
      </c>
      <c r="P65" s="70">
        <f t="shared" si="16"/>
        <v>0</v>
      </c>
      <c r="Q65" s="70">
        <f t="shared" si="17"/>
        <v>0</v>
      </c>
      <c r="R65" s="70">
        <f t="shared" si="18"/>
        <v>0</v>
      </c>
      <c r="S65" s="70">
        <f t="shared" si="19"/>
        <v>0</v>
      </c>
      <c r="T65" s="70"/>
      <c r="U65" s="90"/>
    </row>
    <row r="66" s="13" customFormat="1" ht="18" customHeight="1" spans="9:21">
      <c r="I66" s="81">
        <f t="shared" si="9"/>
        <v>0</v>
      </c>
      <c r="J66" s="38">
        <f t="shared" si="10"/>
        <v>0.262</v>
      </c>
      <c r="K66" s="70">
        <f t="shared" si="11"/>
        <v>0</v>
      </c>
      <c r="L66" s="70">
        <f t="shared" si="12"/>
        <v>0</v>
      </c>
      <c r="M66" s="70">
        <f t="shared" si="13"/>
        <v>0</v>
      </c>
      <c r="N66" s="70">
        <f t="shared" si="14"/>
        <v>0</v>
      </c>
      <c r="O66" s="70">
        <f t="shared" si="15"/>
        <v>0</v>
      </c>
      <c r="P66" s="70">
        <f t="shared" si="16"/>
        <v>0</v>
      </c>
      <c r="Q66" s="70">
        <f t="shared" si="17"/>
        <v>0</v>
      </c>
      <c r="R66" s="70">
        <f t="shared" si="18"/>
        <v>0</v>
      </c>
      <c r="S66" s="70">
        <f t="shared" si="19"/>
        <v>0</v>
      </c>
      <c r="T66" s="70"/>
      <c r="U66" s="90"/>
    </row>
    <row r="67" s="13" customFormat="1" ht="18" customHeight="1" spans="9:21">
      <c r="I67" s="81">
        <f t="shared" si="9"/>
        <v>0</v>
      </c>
      <c r="J67" s="38">
        <f t="shared" si="10"/>
        <v>0.263</v>
      </c>
      <c r="K67" s="70">
        <f t="shared" si="11"/>
        <v>0</v>
      </c>
      <c r="L67" s="70">
        <f t="shared" si="12"/>
        <v>0</v>
      </c>
      <c r="M67" s="70">
        <f t="shared" si="13"/>
        <v>0</v>
      </c>
      <c r="N67" s="70">
        <f t="shared" si="14"/>
        <v>0</v>
      </c>
      <c r="O67" s="70">
        <f t="shared" si="15"/>
        <v>0</v>
      </c>
      <c r="P67" s="70">
        <f t="shared" si="16"/>
        <v>0</v>
      </c>
      <c r="Q67" s="70">
        <f t="shared" si="17"/>
        <v>0</v>
      </c>
      <c r="R67" s="70">
        <f t="shared" si="18"/>
        <v>0</v>
      </c>
      <c r="S67" s="70">
        <f t="shared" si="19"/>
        <v>0</v>
      </c>
      <c r="T67" s="70"/>
      <c r="U67" s="90"/>
    </row>
    <row r="68" s="13" customFormat="1" ht="18" customHeight="1" spans="9:21">
      <c r="I68" s="81">
        <f t="shared" si="9"/>
        <v>0</v>
      </c>
      <c r="J68" s="38">
        <f t="shared" si="10"/>
        <v>0.264</v>
      </c>
      <c r="K68" s="70">
        <f t="shared" si="11"/>
        <v>0</v>
      </c>
      <c r="L68" s="70">
        <f t="shared" si="12"/>
        <v>0</v>
      </c>
      <c r="M68" s="70">
        <f t="shared" si="13"/>
        <v>0</v>
      </c>
      <c r="N68" s="70">
        <f t="shared" si="14"/>
        <v>0</v>
      </c>
      <c r="O68" s="70">
        <f t="shared" si="15"/>
        <v>0</v>
      </c>
      <c r="P68" s="70">
        <f t="shared" si="16"/>
        <v>0</v>
      </c>
      <c r="Q68" s="70">
        <f t="shared" si="17"/>
        <v>0</v>
      </c>
      <c r="R68" s="70">
        <f t="shared" si="18"/>
        <v>0</v>
      </c>
      <c r="S68" s="70">
        <f t="shared" si="19"/>
        <v>0</v>
      </c>
      <c r="T68" s="70"/>
      <c r="U68" s="90"/>
    </row>
    <row r="69" s="13" customFormat="1" ht="18" customHeight="1" spans="9:21">
      <c r="I69" s="81">
        <f t="shared" si="9"/>
        <v>0</v>
      </c>
      <c r="J69" s="38">
        <f t="shared" si="10"/>
        <v>0.265</v>
      </c>
      <c r="K69" s="70">
        <f t="shared" si="11"/>
        <v>0</v>
      </c>
      <c r="L69" s="70">
        <f t="shared" si="12"/>
        <v>0</v>
      </c>
      <c r="M69" s="70">
        <f t="shared" si="13"/>
        <v>0</v>
      </c>
      <c r="N69" s="70">
        <f t="shared" si="14"/>
        <v>0</v>
      </c>
      <c r="O69" s="70">
        <f t="shared" si="15"/>
        <v>0</v>
      </c>
      <c r="P69" s="70">
        <f t="shared" si="16"/>
        <v>0</v>
      </c>
      <c r="Q69" s="70">
        <f t="shared" si="17"/>
        <v>0</v>
      </c>
      <c r="R69" s="70">
        <f t="shared" si="18"/>
        <v>0</v>
      </c>
      <c r="S69" s="70">
        <f t="shared" si="19"/>
        <v>0</v>
      </c>
      <c r="T69" s="70"/>
      <c r="U69" s="90"/>
    </row>
    <row r="70" s="13" customFormat="1" ht="18" customHeight="1" spans="9:21">
      <c r="I70" s="81">
        <f t="shared" si="9"/>
        <v>0</v>
      </c>
      <c r="J70" s="38">
        <f t="shared" si="10"/>
        <v>0.266</v>
      </c>
      <c r="K70" s="70">
        <f t="shared" si="11"/>
        <v>0</v>
      </c>
      <c r="L70" s="70">
        <f t="shared" si="12"/>
        <v>0</v>
      </c>
      <c r="M70" s="70">
        <f t="shared" si="13"/>
        <v>0</v>
      </c>
      <c r="N70" s="70">
        <f t="shared" si="14"/>
        <v>0</v>
      </c>
      <c r="O70" s="70">
        <f t="shared" si="15"/>
        <v>0</v>
      </c>
      <c r="P70" s="70">
        <f t="shared" si="16"/>
        <v>0</v>
      </c>
      <c r="Q70" s="70">
        <f t="shared" si="17"/>
        <v>0</v>
      </c>
      <c r="R70" s="70">
        <f t="shared" si="18"/>
        <v>0</v>
      </c>
      <c r="S70" s="70">
        <f t="shared" si="19"/>
        <v>0</v>
      </c>
      <c r="T70" s="70"/>
      <c r="U70" s="90"/>
    </row>
    <row r="71" s="13" customFormat="1" ht="18" customHeight="1" spans="9:21">
      <c r="I71" s="97" t="s">
        <v>100</v>
      </c>
      <c r="J71" s="98"/>
      <c r="K71" s="99">
        <f t="shared" ref="K71:S71" si="20">SUM(K51:K70)</f>
        <v>0</v>
      </c>
      <c r="L71" s="99">
        <f t="shared" si="20"/>
        <v>2.61429895697726e-14</v>
      </c>
      <c r="M71" s="99">
        <f t="shared" si="20"/>
        <v>1.4012838950497e-7</v>
      </c>
      <c r="N71" s="99">
        <f t="shared" si="20"/>
        <v>0.00123490528695349</v>
      </c>
      <c r="O71" s="99">
        <f t="shared" si="20"/>
        <v>0.0875759068885612</v>
      </c>
      <c r="P71" s="99">
        <f t="shared" si="20"/>
        <v>0.581326988502475</v>
      </c>
      <c r="Q71" s="99">
        <f t="shared" si="20"/>
        <v>0.321977738515132</v>
      </c>
      <c r="R71" s="99">
        <f t="shared" si="20"/>
        <v>0.00787995487497379</v>
      </c>
      <c r="S71" s="99">
        <f t="shared" si="20"/>
        <v>4.3657939143004e-6</v>
      </c>
      <c r="T71" s="99"/>
      <c r="U71" s="101">
        <f>SUM(K71:T71)</f>
        <v>0.999999999990425</v>
      </c>
    </row>
    <row r="72" ht="18" customHeight="1" spans="11:20">
      <c r="K72" s="67">
        <f>K50</f>
        <v>695</v>
      </c>
      <c r="L72" s="67">
        <f t="shared" ref="L72:T72" si="21">L50</f>
        <v>700</v>
      </c>
      <c r="M72" s="67">
        <f t="shared" si="21"/>
        <v>705</v>
      </c>
      <c r="N72" s="67">
        <f t="shared" si="21"/>
        <v>710</v>
      </c>
      <c r="O72" s="67">
        <f t="shared" si="21"/>
        <v>715</v>
      </c>
      <c r="P72" s="67">
        <f t="shared" si="21"/>
        <v>720</v>
      </c>
      <c r="Q72" s="67">
        <f t="shared" si="21"/>
        <v>725</v>
      </c>
      <c r="R72" s="67">
        <f t="shared" si="21"/>
        <v>730</v>
      </c>
      <c r="S72" s="67">
        <f t="shared" si="21"/>
        <v>735</v>
      </c>
      <c r="T72" s="67">
        <f t="shared" si="21"/>
        <v>740</v>
      </c>
    </row>
    <row r="73" ht="4.8" customHeight="1" spans="9:9">
      <c r="I73" s="100"/>
    </row>
    <row r="74" ht="4.8" customHeight="1" spans="9:9">
      <c r="I74" s="100"/>
    </row>
    <row r="75" ht="4.8" customHeight="1" spans="9:9">
      <c r="I75" s="100"/>
    </row>
    <row r="76" ht="26.4" customHeight="1" spans="1:15">
      <c r="A76" s="92" t="s">
        <v>101</v>
      </c>
      <c r="B76" s="93" t="s">
        <v>89</v>
      </c>
      <c r="C76" s="93" t="str">
        <f>C9</f>
        <v>时创</v>
      </c>
      <c r="D76" s="93" t="str">
        <f t="shared" ref="D76:O76" si="22">D9</f>
        <v>爱旭</v>
      </c>
      <c r="E76" s="93" t="str">
        <f t="shared" si="22"/>
        <v>弘元</v>
      </c>
      <c r="F76" s="93" t="str">
        <f t="shared" si="22"/>
        <v>中润</v>
      </c>
      <c r="G76" s="93" t="str">
        <f t="shared" si="22"/>
        <v>英发</v>
      </c>
      <c r="H76" s="93" t="str">
        <f t="shared" si="22"/>
        <v>鸿禧</v>
      </c>
      <c r="I76" s="93" t="str">
        <f t="shared" si="22"/>
        <v>通威</v>
      </c>
      <c r="J76" s="93" t="str">
        <f t="shared" si="22"/>
        <v>捷泰</v>
      </c>
      <c r="K76" s="93" t="str">
        <f t="shared" si="22"/>
        <v>芜湖</v>
      </c>
      <c r="L76" s="93" t="str">
        <f t="shared" si="22"/>
        <v>新霖飞</v>
      </c>
      <c r="M76" s="93" t="str">
        <f t="shared" si="22"/>
        <v>卓耀</v>
      </c>
      <c r="N76" s="93" t="str">
        <f>O9</f>
        <v>厂家13</v>
      </c>
      <c r="O76" s="93" t="e">
        <f>#REF!</f>
        <v>#REF!</v>
      </c>
    </row>
    <row r="77" ht="17.4" customHeight="1" spans="1:15">
      <c r="A77" s="92"/>
      <c r="B77" s="94">
        <f>C29</f>
        <v>0.247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</row>
    <row r="78" ht="17.4" customHeight="1" spans="1:15">
      <c r="A78" s="92"/>
      <c r="B78" s="94">
        <f t="shared" ref="B78:B96" si="23">C30</f>
        <v>0.248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</row>
    <row r="79" ht="17.4" customHeight="1" spans="1:15">
      <c r="A79" s="92"/>
      <c r="B79" s="94">
        <f t="shared" si="23"/>
        <v>0.249</v>
      </c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</row>
    <row r="80" ht="17.4" customHeight="1" spans="1:15">
      <c r="A80" s="92"/>
      <c r="B80" s="94">
        <f t="shared" si="23"/>
        <v>0.25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</row>
    <row r="81" ht="17.4" customHeight="1" spans="1:15">
      <c r="A81" s="92"/>
      <c r="B81" s="94">
        <f t="shared" si="23"/>
        <v>0.251</v>
      </c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</row>
    <row r="82" ht="17.4" customHeight="1" spans="1:15">
      <c r="A82" s="92"/>
      <c r="B82" s="94">
        <f t="shared" si="23"/>
        <v>0.252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</row>
    <row r="83" ht="17.4" customHeight="1" spans="1:15">
      <c r="A83" s="92"/>
      <c r="B83" s="94">
        <f t="shared" si="23"/>
        <v>0.253</v>
      </c>
      <c r="C83" s="95"/>
      <c r="D83" s="95"/>
      <c r="E83" s="95"/>
      <c r="F83" s="95"/>
      <c r="G83" s="95"/>
      <c r="H83" s="95"/>
      <c r="I83" s="95"/>
      <c r="J83" s="95"/>
      <c r="K83" s="95">
        <v>0.0245469886383294</v>
      </c>
      <c r="L83" s="95"/>
      <c r="M83" s="95"/>
      <c r="N83" s="95"/>
      <c r="O83" s="95"/>
    </row>
    <row r="84" ht="17.4" customHeight="1" spans="1:15">
      <c r="A84" s="92"/>
      <c r="B84" s="94">
        <f t="shared" si="23"/>
        <v>0.254</v>
      </c>
      <c r="C84" s="95">
        <v>0.0464348591549295</v>
      </c>
      <c r="D84" s="95"/>
      <c r="E84" s="95"/>
      <c r="F84" s="95"/>
      <c r="G84" s="95"/>
      <c r="H84" s="95"/>
      <c r="I84" s="95"/>
      <c r="J84" s="95"/>
      <c r="K84" s="95">
        <v>0.0677254308913373</v>
      </c>
      <c r="L84" s="95"/>
      <c r="M84" s="95"/>
      <c r="N84" s="95"/>
      <c r="O84" s="95"/>
    </row>
    <row r="85" ht="17.4" customHeight="1" spans="1:15">
      <c r="A85" s="92"/>
      <c r="B85" s="94">
        <f t="shared" si="23"/>
        <v>0.255</v>
      </c>
      <c r="C85" s="95">
        <v>0.137662513542795</v>
      </c>
      <c r="D85" s="95">
        <v>0.0429030357025928</v>
      </c>
      <c r="E85" s="95"/>
      <c r="F85" s="95">
        <v>0.0445534400499398</v>
      </c>
      <c r="G85" s="95">
        <v>0.347368421052632</v>
      </c>
      <c r="H85" s="95"/>
      <c r="I85" s="95">
        <v>0.0721649484536083</v>
      </c>
      <c r="J85" s="95"/>
      <c r="K85" s="95">
        <v>0.135424696636566</v>
      </c>
      <c r="L85" s="95"/>
      <c r="M85" s="95"/>
      <c r="N85" s="95"/>
      <c r="O85" s="95"/>
    </row>
    <row r="86" ht="17.4" customHeight="1" spans="1:15">
      <c r="A86" s="92"/>
      <c r="B86" s="94">
        <f t="shared" si="23"/>
        <v>0.256</v>
      </c>
      <c r="C86" s="95">
        <v>0.365570828819068</v>
      </c>
      <c r="D86" s="95">
        <v>0.182749732622443</v>
      </c>
      <c r="E86" s="95"/>
      <c r="F86" s="95">
        <v>0.154621661390288</v>
      </c>
      <c r="G86" s="95">
        <v>0.473684210526316</v>
      </c>
      <c r="H86" s="95"/>
      <c r="I86" s="95">
        <v>0.22680412371134</v>
      </c>
      <c r="J86" s="95"/>
      <c r="K86" s="95">
        <v>0.375522897004264</v>
      </c>
      <c r="L86" s="95"/>
      <c r="M86" s="95"/>
      <c r="N86" s="95"/>
      <c r="O86" s="95"/>
    </row>
    <row r="87" ht="17.4" customHeight="1" spans="1:15">
      <c r="A87" s="92"/>
      <c r="B87" s="94">
        <f t="shared" si="23"/>
        <v>0.257</v>
      </c>
      <c r="C87" s="95">
        <v>0.389981717226436</v>
      </c>
      <c r="D87" s="95">
        <v>0.429976248539097</v>
      </c>
      <c r="E87" s="95"/>
      <c r="F87" s="95">
        <v>0.478258349311098</v>
      </c>
      <c r="G87" s="95">
        <v>0.178947368421053</v>
      </c>
      <c r="H87" s="95"/>
      <c r="I87" s="95">
        <v>0.494845360824742</v>
      </c>
      <c r="J87" s="95"/>
      <c r="K87" s="95">
        <v>0.316365573570102</v>
      </c>
      <c r="L87" s="95"/>
      <c r="M87" s="95"/>
      <c r="N87" s="95"/>
      <c r="O87" s="95"/>
    </row>
    <row r="88" ht="17.4" customHeight="1" spans="1:15">
      <c r="A88" s="92"/>
      <c r="B88" s="94">
        <f t="shared" si="23"/>
        <v>0.258</v>
      </c>
      <c r="C88" s="95">
        <v>0.0596560130010834</v>
      </c>
      <c r="D88" s="95">
        <v>0.294839166694776</v>
      </c>
      <c r="E88" s="95"/>
      <c r="F88" s="95">
        <v>0.310201988674366</v>
      </c>
      <c r="G88" s="95">
        <v>0</v>
      </c>
      <c r="H88" s="95"/>
      <c r="I88" s="95">
        <v>0.206185567010309</v>
      </c>
      <c r="J88" s="95"/>
      <c r="K88" s="95">
        <v>0.0709605916103882</v>
      </c>
      <c r="L88" s="95"/>
      <c r="M88" s="95"/>
      <c r="N88" s="95"/>
      <c r="O88" s="95"/>
    </row>
    <row r="89" ht="17.4" customHeight="1" spans="1:15">
      <c r="A89" s="92"/>
      <c r="B89" s="94">
        <f t="shared" si="23"/>
        <v>0.259</v>
      </c>
      <c r="C89" s="95">
        <v>0.000694068255687974</v>
      </c>
      <c r="D89" s="95">
        <v>0.0495318164410906</v>
      </c>
      <c r="E89" s="95"/>
      <c r="F89" s="95">
        <v>0.0123645605743078</v>
      </c>
      <c r="G89" s="95"/>
      <c r="H89" s="95"/>
      <c r="I89" s="95"/>
      <c r="J89" s="95"/>
      <c r="K89" s="95">
        <v>0.00945382164901285</v>
      </c>
      <c r="L89" s="95"/>
      <c r="M89" s="95"/>
      <c r="N89" s="95"/>
      <c r="O89" s="95"/>
    </row>
    <row r="90" ht="17.4" customHeight="1" spans="1:15">
      <c r="A90" s="92"/>
      <c r="B90" s="94">
        <f t="shared" si="23"/>
        <v>0.26</v>
      </c>
      <c r="C90" s="95">
        <v>0</v>
      </c>
      <c r="D90" s="95">
        <v>0</v>
      </c>
      <c r="E90" s="95"/>
      <c r="F90" s="95">
        <v>0</v>
      </c>
      <c r="G90" s="95"/>
      <c r="H90" s="95"/>
      <c r="I90" s="95"/>
      <c r="J90" s="95"/>
      <c r="K90" s="95"/>
      <c r="L90" s="95"/>
      <c r="M90" s="95"/>
      <c r="N90" s="95"/>
      <c r="O90" s="95"/>
    </row>
    <row r="91" ht="17.4" customHeight="1" spans="1:15">
      <c r="A91" s="92"/>
      <c r="B91" s="94">
        <f t="shared" si="23"/>
        <v>0.261</v>
      </c>
      <c r="C91" s="95">
        <v>0</v>
      </c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</row>
    <row r="92" ht="17.4" customHeight="1" spans="1:15">
      <c r="A92" s="92"/>
      <c r="B92" s="94">
        <f t="shared" si="23"/>
        <v>0.262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</row>
    <row r="93" ht="17.4" customHeight="1" spans="1:15">
      <c r="A93" s="92"/>
      <c r="B93" s="94">
        <f t="shared" si="23"/>
        <v>0.263</v>
      </c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</row>
    <row r="94" ht="17.4" customHeight="1" spans="1:15">
      <c r="A94" s="92"/>
      <c r="B94" s="94">
        <f t="shared" si="23"/>
        <v>0.264</v>
      </c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</row>
    <row r="95" ht="17.4" customHeight="1" spans="1:15">
      <c r="A95" s="92"/>
      <c r="B95" s="94">
        <f t="shared" si="23"/>
        <v>0.265</v>
      </c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</row>
    <row r="96" ht="17.4" customHeight="1" spans="1:15">
      <c r="A96" s="92"/>
      <c r="B96" s="94">
        <f t="shared" si="23"/>
        <v>0.266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</row>
  </sheetData>
  <sheetProtection formatCells="0" formatColumns="0" formatRows="0" insertRows="0" insertColumns="0" insertHyperlinks="0" deleteColumns="0" deleteRows="0" sort="0" autoFilter="0" pivotTables="0"/>
  <mergeCells count="22">
    <mergeCell ref="A1:F1"/>
    <mergeCell ref="G1:I1"/>
    <mergeCell ref="L1:O1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{dbcf7a7e-f19e-497c-bd23-54ef33bc142c}</x14:id>
        </ext>
      </extLst>
    </cfRule>
  </conditionalFormatting>
  <conditionalFormatting sqref="D3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{e822b0c9-d5e5-4128-a112-5cadd9f5f0fd}</x14:id>
        </ext>
      </extLst>
    </cfRule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{703d239d-c56c-46bc-8dd0-7bc3f5d162f4}</x14:id>
        </ext>
      </extLst>
    </cfRule>
  </conditionalFormatting>
  <conditionalFormatting sqref="D33:D4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{94f14a7e-ac5d-49d9-b1a0-bf11155fe43c}</x14:id>
        </ext>
      </extLst>
    </cfRule>
  </conditionalFormatting>
  <conditionalFormatting sqref="D45:D48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{a33d39a0-782f-4d1e-b60e-bbdbff3298e9}</x14:id>
        </ext>
      </extLst>
    </cfRule>
    <cfRule type="dataBar" priority="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{17a15f3f-be4e-4875-bbba-f3e7eeaeb42b}</x14:id>
        </ext>
      </extLst>
    </cfRule>
  </conditionalFormatting>
  <conditionalFormatting sqref="D49:D50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{228500d5-0894-40c2-a736-a2b86367922c}</x14:id>
        </ext>
      </extLst>
    </cfRule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{e664f23e-be07-414f-8e79-5fd14cfceb96}</x14:id>
        </ext>
      </extLst>
    </cfRule>
  </conditionalFormatting>
  <conditionalFormatting sqref="D29:D32 D45:D48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{127f4108-7b0a-4762-a0e9-6420bd52d90e}</x14:id>
        </ext>
      </extLst>
    </cfRule>
  </conditionalFormatting>
  <conditionalFormatting sqref="K29:R4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{aeb2db5f-9e94-45b1-9b26-544a6ea6a1eb}</x14:id>
        </ext>
      </extLst>
    </cfRule>
  </conditionalFormatting>
  <conditionalFormatting sqref="K29:S48 T2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{fbc92e11-ff9e-4be0-bc2b-bd70baa01af6}</x14:id>
        </ext>
      </extLst>
    </cfRule>
  </conditionalFormatting>
  <conditionalFormatting sqref="K29:T48">
    <cfRule type="dataBar" priority="3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{2ef5ded7-9ec8-446a-816b-e03c2bad09e1}</x14:id>
        </ext>
      </extLst>
    </cfRule>
  </conditionalFormatting>
  <conditionalFormatting sqref="M29:O30 O35 N31:O34 M31:M48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{0aca5e65-df2d-40b4-b0b7-3cd5e44da2da}</x14:id>
        </ext>
      </extLst>
    </cfRule>
    <cfRule type="colorScale" priority="20">
      <colorScale>
        <cfvo type="percent" val="0"/>
        <cfvo type="percent" val="0"/>
        <color theme="0"/>
        <color theme="0"/>
      </colorScale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{5106d504-9ff8-48e0-bdd5-642b7cd2d1e9}</x14:id>
        </ext>
      </extLst>
    </cfRule>
    <cfRule type="dataBar" priority="2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{48360caa-a0d2-488b-915f-cf7c8ddc8a22}</x14:id>
        </ext>
      </extLst>
    </cfRule>
    <cfRule type="dataBar" priority="2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{0da6c5cb-28bb-47de-bdd7-1bf65db4412f}</x14:id>
        </ext>
      </extLst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{df31bc0a-4895-4bea-8c92-a074c57779c7}</x14:id>
        </ext>
      </extLst>
    </cfRule>
  </conditionalFormatting>
  <conditionalFormatting sqref="P29:R35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{b5cfd9d7-b203-44c5-9cc2-fe970b163f41}</x14:id>
        </ext>
      </extLst>
    </cfRule>
    <cfRule type="colorScale" priority="13">
      <colorScale>
        <cfvo type="percent" val="0"/>
        <cfvo type="percent" val="0"/>
        <color theme="0"/>
        <color theme="0"/>
      </colorScale>
    </cfRule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{3cf162e4-8b81-4db5-95c0-405a72158073}</x14:id>
        </ext>
      </extLst>
    </cfRule>
    <cfRule type="dataBar" priority="1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{bd27d7de-1a7a-4038-9bc5-63fac4b37dc7}</x14:id>
        </ext>
      </extLst>
    </cfRule>
    <cfRule type="dataBar" priority="1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{15c7c700-7aa2-4834-8348-675786d7aa1c}</x14:id>
        </ext>
      </extLst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{d151df0e-9f3a-4136-9bda-02a6f9ecf9ef}</x14:id>
        </ext>
      </extLst>
    </cfRule>
  </conditionalFormatting>
  <conditionalFormatting sqref="S29:T48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{a39c8425-6799-4abc-af26-c52609262c4d}</x14:id>
        </ext>
      </extLst>
    </cfRule>
    <cfRule type="dataBar" priority="35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{a0bf2226-6cb5-42ed-9190-af22465cc1ab}</x14:id>
        </ext>
      </extLst>
    </cfRule>
    <cfRule type="colorScale" priority="359">
      <colorScale>
        <cfvo type="percent" val="0"/>
        <cfvo type="percent" val="0"/>
        <color theme="0"/>
        <color theme="0"/>
      </colorScale>
    </cfRule>
    <cfRule type="dataBar" priority="3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{36f0b9e0-33e0-4938-a900-2679c0821c4e}</x14:id>
        </ext>
      </extLst>
    </cfRule>
    <cfRule type="dataBar" priority="36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{dec070a9-67b1-464f-b229-3d8d418b2dbe}</x14:id>
        </ext>
      </extLst>
    </cfRule>
    <cfRule type="dataBar" priority="36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{28dc7810-5757-4336-8f6a-9f9cccaed345}</x14:id>
        </ext>
      </extLst>
    </cfRule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{18b5bbc5-e430-41db-a0a7-3810af5095c8}</x14:id>
        </ext>
      </extLst>
    </cfRule>
  </conditionalFormatting>
  <conditionalFormatting sqref="P36:R48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{591e6a96-5b60-40db-8055-907a0e755c04}</x14:id>
        </ext>
      </extLst>
    </cfRule>
    <cfRule type="colorScale" priority="26">
      <colorScale>
        <cfvo type="percent" val="0"/>
        <cfvo type="percent" val="0"/>
        <color theme="0"/>
        <color theme="0"/>
      </colorScale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{b9001a18-8364-477a-bb6e-069c69683c9b}</x14:id>
        </ext>
      </extLst>
    </cfRule>
    <cfRule type="dataBar" priority="2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{eb37263b-9a1d-4f6e-9234-27ce2a418323}</x14:id>
        </ext>
      </extLst>
    </cfRule>
    <cfRule type="dataBar" priority="2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{cfbff667-12ea-4f28-af73-47f27cb5286b}</x14:id>
        </ext>
      </extLst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{f10a6902-5926-406a-9471-565d98046598}</x14:id>
        </ext>
      </extLst>
    </cfRule>
  </conditionalFormatting>
  <conditionalFormatting sqref="C77:O9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{469e9e44-7960-46c8-bf8d-22e2dbaee8fa}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cf7a7e-f19e-497c-bd23-54ef33bc142c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e822b0c9-d5e5-4128-a112-5cadd9f5f0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03d239d-c56c-46bc-8dd0-7bc3f5d162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94f14a7e-ac5d-49d9-b1a0-bf11155fe4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a33d39a0-782f-4d1e-b60e-bbdbff3298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a15f3f-be4e-4875-bbba-f3e7eeaeb42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228500d5-0894-40c2-a736-a2b8636792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664f23e-be07-414f-8e79-5fd14cfceb9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127f4108-7b0a-4762-a0e9-6420bd52d90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aeb2db5f-9e94-45b1-9b26-544a6ea6a1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fbc92e11-ff9e-4be0-bc2b-bd70baa01a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 T29</xm:sqref>
        </x14:conditionalFormatting>
        <x14:conditionalFormatting xmlns:xm="http://schemas.microsoft.com/office/excel/2006/main">
          <x14:cfRule type="dataBar" id="{2ef5ded7-9ec8-446a-816b-e03c2bad0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0aca5e65-df2d-40b4-b0b7-3cd5e44da2d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5106d504-9ff8-48e0-bdd5-642b7cd2d1e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8360caa-a0d2-488b-915f-cf7c8ddc8a2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da6c5cb-28bb-47de-bdd7-1bf65db4412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f31bc0a-4895-4bea-8c92-a074c57779c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b5cfd9d7-b203-44c5-9cc2-fe970b163f4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3cf162e4-8b81-4db5-95c0-405a7215807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d27d7de-1a7a-4038-9bc5-63fac4b37dc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5c7c700-7aa2-4834-8348-675786d7aa1c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151df0e-9f3a-4136-9bda-02a6f9ecf9e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a39c8425-6799-4abc-af26-c52609262c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a0bf2226-6cb5-42ed-9190-af22465cc1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36f0b9e0-33e0-4938-a900-2679c0821c4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ec070a9-67b1-464f-b229-3d8d418b2db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8dc7810-5757-4336-8f6a-9f9cccaed34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8b5bbc5-e430-41db-a0a7-3810af5095c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591e6a96-5b60-40db-8055-907a0e755c0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b9001a18-8364-477a-bb6e-069c69683c9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b37263b-9a1d-4f6e-9234-27ce2a41832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cfbff667-12ea-4f28-af73-47f27cb5286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10a6902-5926-406a-9471-565d9804659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469e9e44-7960-46c8-bf8d-22e2dbaee8f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C77:O96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tabColor rgb="FFFF0000"/>
  </sheetPr>
  <dimension ref="A1:AB96"/>
  <sheetViews>
    <sheetView showGridLines="0" zoomScale="70" zoomScaleNormal="70" topLeftCell="A13" workbookViewId="0">
      <selection activeCell="R39" sqref="R39"/>
    </sheetView>
  </sheetViews>
  <sheetFormatPr defaultColWidth="8.44444444444444" defaultRowHeight="13.2"/>
  <cols>
    <col min="1" max="19" width="10.5555555555556" style="16" customWidth="1"/>
    <col min="20" max="20" width="10.5555555555556" style="16" hidden="1" customWidth="1"/>
    <col min="21" max="21" width="10.5555555555556" style="16" customWidth="1"/>
    <col min="22" max="16384" width="8.44444444444444" style="16"/>
  </cols>
  <sheetData>
    <row r="1" s="12" customFormat="1" ht="40.8" customHeight="1" spans="1:21">
      <c r="A1" s="17" t="s">
        <v>137</v>
      </c>
      <c r="B1" s="17"/>
      <c r="C1" s="17"/>
      <c r="D1" s="17"/>
      <c r="E1" s="17"/>
      <c r="F1" s="17"/>
      <c r="G1" s="18" t="s">
        <v>1</v>
      </c>
      <c r="H1" s="18"/>
      <c r="I1" s="18"/>
      <c r="J1" s="18">
        <v>732.8</v>
      </c>
      <c r="K1" s="58" t="s">
        <v>2</v>
      </c>
      <c r="L1" s="58" t="s">
        <v>3</v>
      </c>
      <c r="M1" s="58"/>
      <c r="N1" s="58"/>
      <c r="O1" s="58"/>
      <c r="Q1" s="82"/>
      <c r="R1" s="82"/>
      <c r="S1" s="82"/>
      <c r="T1" s="82"/>
      <c r="U1" s="82"/>
    </row>
    <row r="2" ht="1.95" customHeight="1" spans="8:21">
      <c r="H2" s="19"/>
      <c r="P2" s="12"/>
      <c r="Q2" s="82"/>
      <c r="R2" s="82"/>
      <c r="S2" s="82"/>
      <c r="T2" s="82"/>
      <c r="U2" s="82"/>
    </row>
    <row r="3" s="13" customFormat="1" ht="21.9" customHeight="1" spans="1:25">
      <c r="A3" s="20" t="s">
        <v>4</v>
      </c>
      <c r="B3" s="20">
        <v>2</v>
      </c>
      <c r="C3" s="10">
        <v>0.24</v>
      </c>
      <c r="D3" s="24">
        <v>0.26</v>
      </c>
      <c r="E3" s="10" t="s">
        <v>46</v>
      </c>
      <c r="F3" s="10" t="s">
        <v>5</v>
      </c>
      <c r="G3" s="10" t="s">
        <v>6</v>
      </c>
      <c r="H3" s="10" t="s">
        <v>7</v>
      </c>
      <c r="I3" s="10" t="s">
        <v>8</v>
      </c>
      <c r="J3" s="10" t="s">
        <v>9</v>
      </c>
      <c r="K3" s="10" t="s">
        <v>10</v>
      </c>
      <c r="L3" s="10" t="s">
        <v>11</v>
      </c>
      <c r="M3" s="10" t="s">
        <v>12</v>
      </c>
      <c r="N3" s="10" t="s">
        <v>13</v>
      </c>
      <c r="O3" s="10" t="s">
        <v>14</v>
      </c>
      <c r="P3" s="59"/>
      <c r="Q3" s="83"/>
      <c r="R3" s="83"/>
      <c r="S3" s="83"/>
      <c r="T3" s="83"/>
      <c r="U3" s="83"/>
      <c r="V3" s="84"/>
      <c r="W3" s="84"/>
      <c r="X3" s="84"/>
      <c r="Y3" s="84"/>
    </row>
    <row r="4" s="13" customFormat="1" ht="21.9" customHeight="1" spans="1:25">
      <c r="A4" s="20"/>
      <c r="B4" s="20"/>
      <c r="C4" s="10">
        <v>0</v>
      </c>
      <c r="D4" s="24">
        <v>2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59"/>
      <c r="Q4" s="83"/>
      <c r="R4" s="83"/>
      <c r="S4" s="83"/>
      <c r="T4" s="83"/>
      <c r="U4" s="83"/>
      <c r="V4" s="84"/>
      <c r="W4" s="84"/>
      <c r="X4" s="84"/>
      <c r="Y4" s="84"/>
    </row>
    <row r="5" ht="1.95" customHeight="1" spans="16:21">
      <c r="P5" s="12"/>
      <c r="Q5" s="82"/>
      <c r="R5" s="82"/>
      <c r="S5" s="82"/>
      <c r="T5" s="82"/>
      <c r="U5" s="82"/>
    </row>
    <row r="6" s="13" customFormat="1" ht="24.6" customHeight="1" spans="1:25">
      <c r="A6" s="20" t="s">
        <v>15</v>
      </c>
      <c r="B6" s="20">
        <v>1.5</v>
      </c>
      <c r="C6" s="10" t="s">
        <v>18</v>
      </c>
      <c r="D6" s="24" t="s">
        <v>138</v>
      </c>
      <c r="E6" s="10" t="s">
        <v>108</v>
      </c>
      <c r="F6" s="10" t="s">
        <v>120</v>
      </c>
      <c r="G6" s="10" t="s">
        <v>121</v>
      </c>
      <c r="H6" s="10" t="s">
        <v>122</v>
      </c>
      <c r="I6" s="10" t="s">
        <v>22</v>
      </c>
      <c r="J6" s="10" t="s">
        <v>23</v>
      </c>
      <c r="K6" s="10" t="s">
        <v>24</v>
      </c>
      <c r="L6" s="10" t="s">
        <v>25</v>
      </c>
      <c r="M6" s="10" t="s">
        <v>26</v>
      </c>
      <c r="N6" s="10" t="s">
        <v>27</v>
      </c>
      <c r="O6" s="10" t="s">
        <v>28</v>
      </c>
      <c r="P6" s="59"/>
      <c r="Q6" s="83"/>
      <c r="R6" s="83"/>
      <c r="S6" s="83"/>
      <c r="T6" s="83"/>
      <c r="U6" s="83"/>
      <c r="V6" s="84"/>
      <c r="W6" s="84"/>
      <c r="X6" s="84"/>
      <c r="Y6" s="84"/>
    </row>
    <row r="7" s="13" customFormat="1" ht="24.6" customHeight="1" spans="1:25">
      <c r="A7" s="20"/>
      <c r="B7" s="20"/>
      <c r="C7" s="10">
        <v>0</v>
      </c>
      <c r="D7" s="24">
        <v>1.5</v>
      </c>
      <c r="E7" s="10">
        <v>3.2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59"/>
      <c r="Q7" s="83"/>
      <c r="R7" s="83"/>
      <c r="S7" s="83"/>
      <c r="T7" s="83"/>
      <c r="U7" s="83"/>
      <c r="V7" s="84"/>
      <c r="W7" s="84"/>
      <c r="X7" s="84"/>
      <c r="Y7" s="84"/>
    </row>
    <row r="8" ht="1.95" customHeight="1" spans="16:21">
      <c r="P8" s="12"/>
      <c r="Q8" s="82"/>
      <c r="R8" s="82"/>
      <c r="S8" s="82"/>
      <c r="T8" s="82"/>
      <c r="U8" s="82"/>
    </row>
    <row r="9" s="13" customFormat="1" ht="22.2" customHeight="1" spans="1:25">
      <c r="A9" s="20" t="s">
        <v>29</v>
      </c>
      <c r="B9" s="20">
        <v>0</v>
      </c>
      <c r="C9" s="24" t="s">
        <v>30</v>
      </c>
      <c r="D9" s="10" t="s">
        <v>139</v>
      </c>
      <c r="E9" s="10" t="s">
        <v>140</v>
      </c>
      <c r="F9" s="10" t="s">
        <v>141</v>
      </c>
      <c r="G9" s="10" t="s">
        <v>142</v>
      </c>
      <c r="H9" s="10" t="s">
        <v>143</v>
      </c>
      <c r="I9" s="10" t="s">
        <v>144</v>
      </c>
      <c r="J9" s="10" t="s">
        <v>145</v>
      </c>
      <c r="K9" s="10" t="s">
        <v>128</v>
      </c>
      <c r="L9" s="10" t="s">
        <v>129</v>
      </c>
      <c r="M9" s="10" t="s">
        <v>40</v>
      </c>
      <c r="N9" s="10" t="s">
        <v>41</v>
      </c>
      <c r="O9" s="10" t="s">
        <v>42</v>
      </c>
      <c r="P9" s="60"/>
      <c r="Q9" s="84"/>
      <c r="R9" s="84"/>
      <c r="S9" s="84"/>
      <c r="T9" s="84"/>
      <c r="U9" s="84"/>
      <c r="V9" s="84"/>
      <c r="W9" s="84"/>
      <c r="X9" s="84"/>
      <c r="Y9" s="84"/>
    </row>
    <row r="10" s="13" customFormat="1" ht="22.2" customHeight="1" spans="1:25">
      <c r="A10" s="20"/>
      <c r="B10" s="20"/>
      <c r="C10" s="107">
        <v>0</v>
      </c>
      <c r="D10" s="108"/>
      <c r="E10" s="25"/>
      <c r="F10" s="25"/>
      <c r="G10" s="109"/>
      <c r="H10" s="109"/>
      <c r="I10" s="25"/>
      <c r="J10" s="25"/>
      <c r="K10" s="25"/>
      <c r="L10" s="25"/>
      <c r="M10" s="25"/>
      <c r="N10" s="25"/>
      <c r="O10" s="25"/>
      <c r="P10" s="59"/>
      <c r="Q10" s="85"/>
      <c r="R10" s="85"/>
      <c r="S10" s="85"/>
      <c r="T10" s="85"/>
      <c r="U10" s="85"/>
      <c r="V10" s="85"/>
      <c r="W10" s="85"/>
      <c r="X10" s="84"/>
      <c r="Y10" s="84"/>
    </row>
    <row r="11" ht="1.95" customHeight="1" spans="16:21">
      <c r="P11" s="12"/>
      <c r="Q11" s="82"/>
      <c r="R11" s="82"/>
      <c r="S11" s="82"/>
      <c r="T11" s="82"/>
      <c r="U11" s="82"/>
    </row>
    <row r="12" s="13" customFormat="1" ht="25.2" customHeight="1" spans="1:25">
      <c r="A12" s="20" t="s">
        <v>43</v>
      </c>
      <c r="B12" s="20">
        <v>0</v>
      </c>
      <c r="C12" s="22" t="s">
        <v>146</v>
      </c>
      <c r="D12" s="10" t="s">
        <v>115</v>
      </c>
      <c r="E12" s="10" t="s">
        <v>46</v>
      </c>
      <c r="F12" s="10" t="s">
        <v>5</v>
      </c>
      <c r="G12" s="10" t="s">
        <v>6</v>
      </c>
      <c r="H12" s="10" t="s">
        <v>7</v>
      </c>
      <c r="I12" s="10" t="s">
        <v>8</v>
      </c>
      <c r="J12" s="10" t="s">
        <v>9</v>
      </c>
      <c r="K12" s="10" t="s">
        <v>10</v>
      </c>
      <c r="L12" s="10" t="s">
        <v>11</v>
      </c>
      <c r="M12" s="10" t="s">
        <v>12</v>
      </c>
      <c r="N12" s="10" t="s">
        <v>13</v>
      </c>
      <c r="O12" s="10" t="s">
        <v>14</v>
      </c>
      <c r="P12" s="62"/>
      <c r="Q12" s="83"/>
      <c r="R12" s="83"/>
      <c r="S12" s="83"/>
      <c r="T12" s="83"/>
      <c r="U12" s="83"/>
      <c r="V12" s="84"/>
      <c r="W12" s="84"/>
      <c r="X12" s="84"/>
      <c r="Y12" s="84"/>
    </row>
    <row r="13" s="13" customFormat="1" ht="21.9" customHeight="1" spans="1:25">
      <c r="A13" s="20"/>
      <c r="B13" s="20"/>
      <c r="C13" s="21">
        <v>0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59"/>
      <c r="Q13" s="83"/>
      <c r="R13" s="83"/>
      <c r="S13" s="83"/>
      <c r="T13" s="83"/>
      <c r="U13" s="83"/>
      <c r="V13" s="84"/>
      <c r="W13" s="84"/>
      <c r="X13" s="84"/>
      <c r="Y13" s="84"/>
    </row>
    <row r="14" s="13" customFormat="1" ht="21.9" customHeight="1" spans="1:25">
      <c r="A14" s="20" t="s">
        <v>47</v>
      </c>
      <c r="B14" s="20">
        <v>38184</v>
      </c>
      <c r="C14" s="21">
        <v>38184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59"/>
      <c r="Q14" s="83"/>
      <c r="R14" s="83"/>
      <c r="S14" s="83"/>
      <c r="T14" s="83"/>
      <c r="U14" s="83"/>
      <c r="V14" s="84"/>
      <c r="W14" s="84"/>
      <c r="X14" s="84"/>
      <c r="Y14" s="84"/>
    </row>
    <row r="15" s="13" customFormat="1" ht="21.9" customHeight="1" spans="1:25">
      <c r="A15" s="20" t="s">
        <v>48</v>
      </c>
      <c r="B15" s="20">
        <v>1.8</v>
      </c>
      <c r="C15" s="21">
        <v>1.8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9"/>
      <c r="Q15" s="83"/>
      <c r="R15" s="83"/>
      <c r="S15" s="83"/>
      <c r="T15" s="83"/>
      <c r="U15" s="83"/>
      <c r="V15" s="84"/>
      <c r="W15" s="84"/>
      <c r="X15" s="84"/>
      <c r="Y15" s="84"/>
    </row>
    <row r="16" ht="1.95" customHeight="1" spans="16:21">
      <c r="P16" s="12"/>
      <c r="Q16" s="82"/>
      <c r="R16" s="82"/>
      <c r="S16" s="82"/>
      <c r="T16" s="82"/>
      <c r="U16" s="82"/>
    </row>
    <row r="17" s="13" customFormat="1" ht="31.2" customHeight="1" spans="1:25">
      <c r="A17" s="20" t="s">
        <v>49</v>
      </c>
      <c r="B17" s="27">
        <v>0</v>
      </c>
      <c r="C17" s="28" t="s">
        <v>50</v>
      </c>
      <c r="D17" s="29" t="s">
        <v>51</v>
      </c>
      <c r="E17" s="29" t="s">
        <v>52</v>
      </c>
      <c r="F17" s="29" t="s">
        <v>53</v>
      </c>
      <c r="G17" s="29" t="s">
        <v>54</v>
      </c>
      <c r="H17" s="29" t="s">
        <v>55</v>
      </c>
      <c r="I17" s="29" t="s">
        <v>56</v>
      </c>
      <c r="J17" s="29" t="s">
        <v>57</v>
      </c>
      <c r="K17" s="29" t="s">
        <v>10</v>
      </c>
      <c r="L17" s="29" t="s">
        <v>11</v>
      </c>
      <c r="M17" s="29" t="s">
        <v>12</v>
      </c>
      <c r="N17" s="29" t="s">
        <v>13</v>
      </c>
      <c r="O17" s="29" t="s">
        <v>14</v>
      </c>
      <c r="P17" s="59"/>
      <c r="Q17" s="83"/>
      <c r="R17" s="83"/>
      <c r="S17" s="83"/>
      <c r="T17" s="83"/>
      <c r="U17" s="83"/>
      <c r="V17" s="84"/>
      <c r="W17" s="84"/>
      <c r="X17" s="84"/>
      <c r="Y17" s="84"/>
    </row>
    <row r="18" s="13" customFormat="1" ht="21.9" customHeight="1" spans="1:25">
      <c r="A18" s="20"/>
      <c r="B18" s="30"/>
      <c r="C18" s="24">
        <v>0</v>
      </c>
      <c r="D18" s="10">
        <v>-0.2</v>
      </c>
      <c r="E18" s="10">
        <v>-2.2</v>
      </c>
      <c r="F18" s="10">
        <v>-2.8</v>
      </c>
      <c r="G18" s="10">
        <v>0.2</v>
      </c>
      <c r="H18" s="10">
        <v>0.15</v>
      </c>
      <c r="I18" s="10">
        <v>-1.4</v>
      </c>
      <c r="J18" s="10">
        <v>-1.8</v>
      </c>
      <c r="K18" s="10"/>
      <c r="L18" s="10"/>
      <c r="M18" s="10"/>
      <c r="N18" s="10"/>
      <c r="O18" s="10"/>
      <c r="P18" s="59"/>
      <c r="Q18" s="83"/>
      <c r="R18" s="83"/>
      <c r="S18" s="83"/>
      <c r="T18" s="83"/>
      <c r="U18" s="83"/>
      <c r="V18" s="84"/>
      <c r="W18" s="84"/>
      <c r="X18" s="84"/>
      <c r="Y18" s="84"/>
    </row>
    <row r="19" ht="2.1" customHeight="1" spans="16:21">
      <c r="P19" s="12"/>
      <c r="Q19" s="82"/>
      <c r="R19" s="82"/>
      <c r="S19" s="82"/>
      <c r="T19" s="82"/>
      <c r="U19" s="82"/>
    </row>
    <row r="20" s="13" customFormat="1" ht="34.8" customHeight="1" spans="1:28">
      <c r="A20" s="20" t="s">
        <v>58</v>
      </c>
      <c r="B20" s="20">
        <v>0.5</v>
      </c>
      <c r="C20" s="23" t="s">
        <v>59</v>
      </c>
      <c r="D20" s="23" t="s">
        <v>60</v>
      </c>
      <c r="E20" s="23" t="s">
        <v>61</v>
      </c>
      <c r="F20" s="23" t="s">
        <v>62</v>
      </c>
      <c r="G20" s="23" t="s">
        <v>63</v>
      </c>
      <c r="H20" s="23" t="s">
        <v>64</v>
      </c>
      <c r="I20" s="32" t="s">
        <v>65</v>
      </c>
      <c r="J20" s="23" t="s">
        <v>66</v>
      </c>
      <c r="K20" s="23" t="s">
        <v>67</v>
      </c>
      <c r="L20" s="23" t="s">
        <v>68</v>
      </c>
      <c r="M20" s="23" t="s">
        <v>69</v>
      </c>
      <c r="N20" s="23" t="s">
        <v>70</v>
      </c>
      <c r="O20" s="23" t="s">
        <v>71</v>
      </c>
      <c r="P20" s="60"/>
      <c r="Q20" s="83"/>
      <c r="R20" s="83"/>
      <c r="S20" s="83"/>
      <c r="T20" s="83"/>
      <c r="U20" s="86"/>
      <c r="V20" s="110"/>
      <c r="W20" s="110"/>
      <c r="X20" s="110"/>
      <c r="Y20" s="110"/>
      <c r="Z20" s="110"/>
      <c r="AA20" s="110"/>
      <c r="AB20" s="110"/>
    </row>
    <row r="21" s="13" customFormat="1" ht="21.6" customHeight="1" spans="1:25">
      <c r="A21" s="20"/>
      <c r="B21" s="20"/>
      <c r="C21" s="10">
        <v>0</v>
      </c>
      <c r="D21" s="10">
        <v>0.5</v>
      </c>
      <c r="E21" s="10">
        <v>1</v>
      </c>
      <c r="F21" s="10">
        <v>1.3</v>
      </c>
      <c r="G21" s="10">
        <v>1.7</v>
      </c>
      <c r="H21" s="10">
        <v>0.2</v>
      </c>
      <c r="I21" s="24">
        <v>0.5</v>
      </c>
      <c r="J21" s="10"/>
      <c r="K21" s="10"/>
      <c r="L21" s="10"/>
      <c r="M21" s="10"/>
      <c r="N21" s="10"/>
      <c r="O21" s="10"/>
      <c r="P21" s="63"/>
      <c r="Q21" s="86"/>
      <c r="R21" s="86"/>
      <c r="S21" s="86"/>
      <c r="T21" s="86"/>
      <c r="U21" s="86"/>
      <c r="V21" s="87"/>
      <c r="W21" s="84"/>
      <c r="X21" s="84"/>
      <c r="Y21" s="84"/>
    </row>
    <row r="22" ht="2.1" customHeight="1" spans="16:21">
      <c r="P22" s="12"/>
      <c r="Q22" s="82"/>
      <c r="R22" s="82"/>
      <c r="S22" s="82"/>
      <c r="T22" s="82"/>
      <c r="U22" s="82"/>
    </row>
    <row r="23" s="13" customFormat="1" ht="21.6" hidden="1" customHeight="1" spans="1:25">
      <c r="A23" s="20" t="s">
        <v>72</v>
      </c>
      <c r="B23" s="20">
        <v>0</v>
      </c>
      <c r="C23" s="23" t="s">
        <v>147</v>
      </c>
      <c r="D23" s="22" t="s">
        <v>131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60" t="s">
        <v>148</v>
      </c>
      <c r="Q23" s="83"/>
      <c r="R23" s="83"/>
      <c r="S23" s="83"/>
      <c r="T23" s="83"/>
      <c r="U23" s="83"/>
      <c r="V23" s="84"/>
      <c r="W23" s="84"/>
      <c r="X23" s="84"/>
      <c r="Y23" s="84"/>
    </row>
    <row r="24" s="13" customFormat="1" ht="21.6" hidden="1" customHeight="1" spans="1:25">
      <c r="A24" s="20"/>
      <c r="B24" s="20"/>
      <c r="C24" s="10">
        <v>3</v>
      </c>
      <c r="D24" s="21">
        <v>0</v>
      </c>
      <c r="E24" s="10"/>
      <c r="F24" s="10"/>
      <c r="G24" s="31"/>
      <c r="H24" s="31"/>
      <c r="I24" s="10"/>
      <c r="J24" s="10"/>
      <c r="K24" s="10"/>
      <c r="L24" s="10"/>
      <c r="M24" s="10"/>
      <c r="N24" s="10"/>
      <c r="O24" s="10"/>
      <c r="P24" s="63"/>
      <c r="Q24" s="86"/>
      <c r="R24" s="86"/>
      <c r="S24" s="86"/>
      <c r="T24" s="86"/>
      <c r="U24" s="86"/>
      <c r="V24" s="84"/>
      <c r="W24" s="84"/>
      <c r="X24" s="84"/>
      <c r="Y24" s="84"/>
    </row>
    <row r="25" ht="2.1" customHeight="1" spans="16:21">
      <c r="P25" s="12"/>
      <c r="Q25" s="82"/>
      <c r="R25" s="82"/>
      <c r="S25" s="82"/>
      <c r="T25" s="82"/>
      <c r="U25" s="82"/>
    </row>
    <row r="26" s="13" customFormat="1" ht="21.6" customHeight="1" spans="1:25">
      <c r="A26" s="20" t="s">
        <v>73</v>
      </c>
      <c r="B26" s="20">
        <v>-5.5</v>
      </c>
      <c r="C26" s="23" t="s">
        <v>74</v>
      </c>
      <c r="D26" s="23" t="s">
        <v>75</v>
      </c>
      <c r="E26" s="32" t="s">
        <v>76</v>
      </c>
      <c r="F26" s="23" t="s">
        <v>77</v>
      </c>
      <c r="G26" s="23" t="s">
        <v>78</v>
      </c>
      <c r="H26" s="23" t="s">
        <v>79</v>
      </c>
      <c r="I26" s="23" t="s">
        <v>80</v>
      </c>
      <c r="J26" s="23" t="s">
        <v>81</v>
      </c>
      <c r="K26" s="23" t="s">
        <v>82</v>
      </c>
      <c r="L26" s="23" t="s">
        <v>83</v>
      </c>
      <c r="M26" s="23" t="s">
        <v>84</v>
      </c>
      <c r="N26" s="23" t="s">
        <v>85</v>
      </c>
      <c r="O26" s="23" t="s">
        <v>86</v>
      </c>
      <c r="P26" s="60"/>
      <c r="Q26" s="83"/>
      <c r="R26" s="83"/>
      <c r="S26" s="83"/>
      <c r="T26" s="83"/>
      <c r="U26" s="83"/>
      <c r="V26" s="84"/>
      <c r="W26" s="84"/>
      <c r="X26" s="84"/>
      <c r="Y26" s="84"/>
    </row>
    <row r="27" s="13" customFormat="1" ht="21.6" customHeight="1" spans="1:25">
      <c r="A27" s="20"/>
      <c r="B27" s="20"/>
      <c r="C27" s="34">
        <v>-1.1</v>
      </c>
      <c r="D27" s="34">
        <v>-2.6</v>
      </c>
      <c r="E27" s="24">
        <v>-5.5</v>
      </c>
      <c r="F27" s="10"/>
      <c r="G27" s="10"/>
      <c r="H27" s="31"/>
      <c r="I27" s="34"/>
      <c r="J27" s="34"/>
      <c r="K27" s="34"/>
      <c r="L27" s="34"/>
      <c r="M27" s="34"/>
      <c r="N27" s="34"/>
      <c r="O27" s="34"/>
      <c r="P27" s="64"/>
      <c r="Q27" s="88"/>
      <c r="R27" s="88"/>
      <c r="S27" s="88"/>
      <c r="T27" s="88"/>
      <c r="U27" s="88"/>
      <c r="V27" s="84"/>
      <c r="W27" s="84"/>
      <c r="X27" s="84"/>
      <c r="Y27" s="84"/>
    </row>
    <row r="28" s="14" customFormat="1" ht="22.2" customHeight="1" spans="1:21">
      <c r="A28" s="36" t="s">
        <v>87</v>
      </c>
      <c r="B28" s="36" t="s">
        <v>88</v>
      </c>
      <c r="C28" s="36" t="s">
        <v>89</v>
      </c>
      <c r="D28" s="36" t="s">
        <v>90</v>
      </c>
      <c r="E28" s="36">
        <v>33081</v>
      </c>
      <c r="F28" s="36" t="s">
        <v>91</v>
      </c>
      <c r="G28" s="36" t="s">
        <v>92</v>
      </c>
      <c r="H28" s="36" t="s">
        <v>93</v>
      </c>
      <c r="I28" s="36" t="s">
        <v>94</v>
      </c>
      <c r="J28" s="66" t="s">
        <v>95</v>
      </c>
      <c r="K28" s="67">
        <v>715</v>
      </c>
      <c r="L28" s="67">
        <v>720</v>
      </c>
      <c r="M28" s="67">
        <v>725</v>
      </c>
      <c r="N28" s="67">
        <v>730</v>
      </c>
      <c r="O28" s="67">
        <v>735</v>
      </c>
      <c r="P28" s="67">
        <v>740</v>
      </c>
      <c r="Q28" s="67">
        <v>745</v>
      </c>
      <c r="R28" s="67">
        <v>750</v>
      </c>
      <c r="S28" s="67">
        <v>755</v>
      </c>
      <c r="T28" s="67">
        <v>760</v>
      </c>
      <c r="U28" s="89" t="s">
        <v>96</v>
      </c>
    </row>
    <row r="29" s="13" customFormat="1" ht="18" customHeight="1" spans="1:21">
      <c r="A29" s="37" t="s">
        <v>149</v>
      </c>
      <c r="B29" s="37" t="s">
        <v>98</v>
      </c>
      <c r="C29" s="38">
        <v>0.247</v>
      </c>
      <c r="D29" s="39"/>
      <c r="E29" s="40">
        <v>38184</v>
      </c>
      <c r="F29" s="41">
        <f t="shared" ref="F29:F48" si="0">C29*E29/1000</f>
        <v>9.431448</v>
      </c>
      <c r="G29" s="41">
        <f>F29*78</f>
        <v>735.652944</v>
      </c>
      <c r="H29" s="42">
        <f>I29/G29</f>
        <v>0.977186898750623</v>
      </c>
      <c r="I29" s="68">
        <f>G29*(H30+0.15%)</f>
        <v>718.870418904126</v>
      </c>
      <c r="J29" s="68"/>
      <c r="K29" s="69">
        <f>(NORMSDIST((I29-$K$28)/B15)-NORMSDIST((I29-$L$28)/B15))</f>
        <v>0.719080587868828</v>
      </c>
      <c r="L29" s="69">
        <f>(NORMSDIST((I29-$L$28)/B15)-NORMSDIST((I29-$M$28)/B15))</f>
        <v>0.264820577306306</v>
      </c>
      <c r="M29" s="70">
        <f>(NORMSDIST((I29-$M$28)/B15)-NORMSDIST((I29-$N$28)/B15))</f>
        <v>0.000330429081307449</v>
      </c>
      <c r="N29" s="70">
        <f>(NORMSDIST((I29-$N$28)/B15)-NORMSDIST((I29-$O$28)/B15))</f>
        <v>3.14273132469034e-10</v>
      </c>
      <c r="O29" s="70">
        <f>(NORMSDIST((I29-$O$28)/B15)-NORMSDIST((I29-$P$28)/B15))</f>
        <v>1.610510739915e-19</v>
      </c>
      <c r="P29" s="70">
        <f>(NORMSDIST((I29-$P$28)/B15)-NORMSDIST((I29-$Q$28)/B15))</f>
        <v>4.03797329288641e-32</v>
      </c>
      <c r="Q29" s="70">
        <f>(NORMSDIST((I29-$Q$28)/B15)-NORMSDIST((I29-$R$28)/B15))</f>
        <v>4.76714166327452e-48</v>
      </c>
      <c r="R29" s="70">
        <f>(NORMSDIST((I29-$R$28)/B15)-NORMSDIST((I29-$S$28)/B15))</f>
        <v>2.60047818803166e-67</v>
      </c>
      <c r="S29" s="70">
        <f>(NORMSDIST((I29-$S$28)/B15)-NORMSDIST((I29-$T$28)/B15))</f>
        <v>6.4853544278658e-90</v>
      </c>
      <c r="T29" s="70"/>
      <c r="U29" s="90">
        <f t="shared" ref="U29:U48" si="1">SUM(K29:T29)</f>
        <v>0.984231594570715</v>
      </c>
    </row>
    <row r="30" s="13" customFormat="1" ht="18" customHeight="1" spans="1:21">
      <c r="A30" s="43"/>
      <c r="B30" s="43"/>
      <c r="C30" s="38">
        <f t="shared" ref="C30:C48" si="2">C29+0.1%</f>
        <v>0.248</v>
      </c>
      <c r="D30" s="44"/>
      <c r="E30" s="40">
        <v>38184</v>
      </c>
      <c r="F30" s="41">
        <f t="shared" si="0"/>
        <v>9.469632</v>
      </c>
      <c r="G30" s="41">
        <f t="shared" ref="G30:G48" si="3">F30*78</f>
        <v>738.631296</v>
      </c>
      <c r="H30" s="42">
        <f t="shared" ref="H30:H48" si="4">I30/G30</f>
        <v>0.975686898750623</v>
      </c>
      <c r="I30" s="68">
        <f t="shared" ref="I30:I35" si="5">G30*(H31+0.15%)</f>
        <v>720.672878514393</v>
      </c>
      <c r="J30" s="68"/>
      <c r="K30" s="69">
        <f>(NORMSDIST((I30-$K$28)/B15)-NORMSDIST((I30-$L$28)/B15))</f>
        <v>0.353456704620892</v>
      </c>
      <c r="L30" s="69">
        <f>(NORMSDIST((I30-$L$28)/B15)-NORMSDIST((I30-$M$28)/B15))</f>
        <v>0.637622046153036</v>
      </c>
      <c r="M30" s="70">
        <f>(NORMSDIST((I30-$M$28)/B15)-NORMSDIST((I30-$N$28)/B15))</f>
        <v>0.00810924426645717</v>
      </c>
      <c r="N30" s="70">
        <f>(NORMSDIST((I30-$N$28)/B15)-NORMSDIST((I30-$O$28)/B15))</f>
        <v>1.09916191745187e-7</v>
      </c>
      <c r="O30" s="70">
        <f>(NORMSDIST((I30-$O$28)/B15)-NORMSDIST((I30-$P$28)/B15))</f>
        <v>8.63596044508601e-16</v>
      </c>
      <c r="P30" s="70">
        <f>(NORMSDIST((I30-$P$28)/B15)-NORMSDIST((I30-$Q$28)/B15))</f>
        <v>3.40058592866754e-27</v>
      </c>
      <c r="Q30" s="70">
        <f>(NORMSDIST((I30-$Q$28)/B15)-NORMSDIST((I30-$R$28)/B15))</f>
        <v>6.37193878489716e-42</v>
      </c>
      <c r="R30" s="70">
        <f>(NORMSDIST((I30-$R$28)/B15)-NORMSDIST((I30-$S$28)/B15))</f>
        <v>5.54726618470512e-60</v>
      </c>
      <c r="S30" s="70">
        <f>(NORMSDIST((I30-$S$28)/B15)-NORMSDIST((I30-$T$28)/B15))</f>
        <v>2.21497749325128e-81</v>
      </c>
      <c r="T30" s="70"/>
      <c r="U30" s="90">
        <f t="shared" si="1"/>
        <v>0.999188104956578</v>
      </c>
    </row>
    <row r="31" s="13" customFormat="1" ht="18" customHeight="1" spans="1:21">
      <c r="A31" s="43"/>
      <c r="B31" s="43"/>
      <c r="C31" s="38">
        <f t="shared" si="2"/>
        <v>0.249</v>
      </c>
      <c r="D31" s="45"/>
      <c r="E31" s="40">
        <v>38184</v>
      </c>
      <c r="F31" s="41">
        <f t="shared" si="0"/>
        <v>9.507816</v>
      </c>
      <c r="G31" s="41">
        <f t="shared" si="3"/>
        <v>741.609648</v>
      </c>
      <c r="H31" s="42">
        <f t="shared" si="4"/>
        <v>0.974186898750623</v>
      </c>
      <c r="I31" s="68">
        <f t="shared" si="5"/>
        <v>722.466403068661</v>
      </c>
      <c r="J31" s="71"/>
      <c r="K31" s="69">
        <f>(NORMSDIST((I31-$K$28)/B15)-NORMSDIST((I31-$L$28)/B15))</f>
        <v>0.0852917362243658</v>
      </c>
      <c r="L31" s="69">
        <f>(NORMSDIST((I31-$L$28)/B15)-NORMSDIST((I31-$M$28)/B15))</f>
        <v>0.835059883845993</v>
      </c>
      <c r="M31" s="70">
        <f>(NORMSDIST((I31-$M$28)/B15)-NORMSDIST((I31-$N$28)/B15))</f>
        <v>0.0796173729309794</v>
      </c>
      <c r="N31" s="72">
        <f>(NORMSDIST((I31-$N$28)/B15)-NORMSDIST((I31-$O$28)/B15))</f>
        <v>1.42375018832421e-5</v>
      </c>
      <c r="O31" s="72">
        <f>(NORMSDIST((I31-$O$28)/B15)-NORMSDIST((I31-$P$28)/B15))</f>
        <v>1.66421563138403e-12</v>
      </c>
      <c r="P31" s="70">
        <f>(NORMSDIST((I31-$P$28)/B15)-NORMSDIST((I31-$Q$28)/B15))</f>
        <v>1.00892448445391e-22</v>
      </c>
      <c r="Q31" s="70">
        <f>(NORMSDIST((I31-$Q$28)/B15)-NORMSDIST((I31-$R$28)/B15))</f>
        <v>2.95097512994109e-36</v>
      </c>
      <c r="R31" s="70">
        <f>(NORMSDIST((I31-$R$28)/B15)-NORMSDIST((I31-$S$28)/B15))</f>
        <v>4.03756477988383e-53</v>
      </c>
      <c r="S31" s="70">
        <f>(NORMSDIST((I31-$S$28)/B15)-NORMSDIST((I31-$T$28)/B15))</f>
        <v>2.54345886777951e-73</v>
      </c>
      <c r="T31" s="70"/>
      <c r="U31" s="90">
        <f t="shared" si="1"/>
        <v>0.999983230504886</v>
      </c>
    </row>
    <row r="32" s="15" customFormat="1" ht="18" customHeight="1" spans="1:21">
      <c r="A32" s="43"/>
      <c r="B32" s="43"/>
      <c r="C32" s="38">
        <f t="shared" si="2"/>
        <v>0.25</v>
      </c>
      <c r="D32" s="45"/>
      <c r="E32" s="40">
        <v>38184</v>
      </c>
      <c r="F32" s="46">
        <f t="shared" si="0"/>
        <v>9.546</v>
      </c>
      <c r="G32" s="41">
        <f t="shared" si="3"/>
        <v>744.588</v>
      </c>
      <c r="H32" s="47">
        <f t="shared" si="4"/>
        <v>0.972686898750623</v>
      </c>
      <c r="I32" s="68">
        <f t="shared" si="5"/>
        <v>724.250992566929</v>
      </c>
      <c r="J32" s="73"/>
      <c r="K32" s="74">
        <f>(NORMSDIST((I32-$K$28)/B15)-NORMSDIST((I32-$L$28)/B15))</f>
        <v>0.00909645960058347</v>
      </c>
      <c r="L32" s="74">
        <f>(NORMSDIST((I32-$L$28)/B15)-NORMSDIST((I32-$M$28)/B15))</f>
        <v>0.652240563528097</v>
      </c>
      <c r="M32" s="74">
        <f>(NORMSDIST((I32-$M$28)/B15)-NORMSDIST((I32-$N$28)/B15))</f>
        <v>0.337960998467959</v>
      </c>
      <c r="N32" s="74">
        <f>(NORMSDIST((I32-$N$28)/B15)-NORMSDIST((I32-$O$28)/B15))</f>
        <v>0.000701839450180874</v>
      </c>
      <c r="O32" s="74">
        <f>(NORMSDIST((I32-$O$28)/B15)-NORMSDIST((I32-$P$28)/B15))</f>
        <v>1.17418016864979e-9</v>
      </c>
      <c r="P32" s="74">
        <f>(NORMSDIST((I32-$P$28)/B15)-NORMSDIST((I32-$Q$28)/B15))</f>
        <v>1.07198902102244e-18</v>
      </c>
      <c r="Q32" s="74">
        <f>(NORMSDIST((I32-$Q$28)/B15)-NORMSDIST((I32-$R$28)/B15))</f>
        <v>4.80965214582422e-31</v>
      </c>
      <c r="R32" s="74">
        <f>(NORMSDIST((I32-$R$28)/B15)-NORMSDIST((I32-$S$28)/B15))</f>
        <v>1.018128638305e-46</v>
      </c>
      <c r="S32" s="70">
        <f>(NORMSDIST((I32-$S$28)/B15)-NORMSDIST((I32-$T$28)/B15))</f>
        <v>9.96909520100255e-66</v>
      </c>
      <c r="T32" s="70"/>
      <c r="U32" s="90">
        <f t="shared" si="1"/>
        <v>0.999999862221001</v>
      </c>
    </row>
    <row r="33" s="13" customFormat="1" ht="18" customHeight="1" spans="1:21">
      <c r="A33" s="43"/>
      <c r="B33" s="43"/>
      <c r="C33" s="38">
        <f t="shared" si="2"/>
        <v>0.251</v>
      </c>
      <c r="D33" s="49"/>
      <c r="E33" s="40">
        <v>38184</v>
      </c>
      <c r="F33" s="41">
        <f t="shared" si="0"/>
        <v>9.584184</v>
      </c>
      <c r="G33" s="41">
        <f t="shared" si="3"/>
        <v>747.566352</v>
      </c>
      <c r="H33" s="42">
        <f t="shared" si="4"/>
        <v>0.971186898750623</v>
      </c>
      <c r="I33" s="68">
        <f t="shared" si="5"/>
        <v>726.026647009197</v>
      </c>
      <c r="J33" s="73"/>
      <c r="K33" s="69">
        <f>(NORMSDIST((I33-$K$28)/B15)-NORMSDIST((I33-$L$28)/B15))</f>
        <v>0.000406783129320076</v>
      </c>
      <c r="L33" s="69">
        <f>(NORMSDIST((I33-$L$28)/B15)-NORMSDIST((I33-$M$28)/B15))</f>
        <v>0.283810179872556</v>
      </c>
      <c r="M33" s="70">
        <f>(NORMSDIST((I33-$M$28)/B15)-NORMSDIST((I33-$N$28)/B15))</f>
        <v>0.702140613011931</v>
      </c>
      <c r="N33" s="70">
        <f>(NORMSDIST((I33-$N$28)/B15)-NORMSDIST((I33-$O$28)/B15))</f>
        <v>0.0136421140403814</v>
      </c>
      <c r="O33" s="70">
        <f>(NORMSDIST((I33-$O$28)/B15)-NORMSDIST((I33-$P$28)/B15))</f>
        <v>3.094949871941e-7</v>
      </c>
      <c r="P33" s="70">
        <f>(NORMSDIST((I33-$P$28)/B15)-NORMSDIST((I33-$Q$28)/B15))</f>
        <v>4.14803503866345e-15</v>
      </c>
      <c r="Q33" s="70">
        <f>(NORMSDIST((I33-$Q$28)/B15)-NORMSDIST((I33-$R$28)/B15))</f>
        <v>2.80245548955355e-26</v>
      </c>
      <c r="R33" s="70">
        <f>(NORMSDIST((I33-$R$28)/B15)-NORMSDIST((I33-$S$28)/B15))</f>
        <v>9.03151951185569e-41</v>
      </c>
      <c r="S33" s="70">
        <f>(NORMSDIST((I33-$S$28)/B15)-NORMSDIST((I33-$T$28)/B15))</f>
        <v>1.35395626326218e-58</v>
      </c>
      <c r="T33" s="70"/>
      <c r="U33" s="90">
        <f t="shared" si="1"/>
        <v>0.99999999954918</v>
      </c>
    </row>
    <row r="34" s="13" customFormat="1" ht="18" customHeight="1" spans="1:21">
      <c r="A34" s="43"/>
      <c r="B34" s="43"/>
      <c r="C34" s="38">
        <f t="shared" si="2"/>
        <v>0.252</v>
      </c>
      <c r="D34" s="49"/>
      <c r="E34" s="40">
        <v>38184</v>
      </c>
      <c r="F34" s="41">
        <f t="shared" si="0"/>
        <v>9.622368</v>
      </c>
      <c r="G34" s="41">
        <f t="shared" si="3"/>
        <v>750.544704</v>
      </c>
      <c r="H34" s="42">
        <f t="shared" si="4"/>
        <v>0.969686898750623</v>
      </c>
      <c r="I34" s="68">
        <f t="shared" si="5"/>
        <v>727.793366395464</v>
      </c>
      <c r="J34" s="75"/>
      <c r="K34" s="69">
        <f>(NORMSDIST((I34-$K$28)/B15)-NORMSDIST((I34-$L$28)/B15))</f>
        <v>7.4673930530178e-6</v>
      </c>
      <c r="L34" s="69">
        <f>(NORMSDIST((I34-$L$28)/B15)-NORMSDIST((I34-$M$28)/B15))</f>
        <v>0.0603391725397989</v>
      </c>
      <c r="M34" s="70">
        <f>(NORMSDIST((I34-$M$28)/B15)-NORMSDIST((I34-$N$28)/B15))</f>
        <v>0.829536627934872</v>
      </c>
      <c r="N34" s="70">
        <f>(NORMSDIST((I34-$N$28)/B15)-NORMSDIST((I34-$O$28)/B15))</f>
        <v>0.11008555048059</v>
      </c>
      <c r="O34" s="70">
        <f>(NORMSDIST((I34-$O$28)/B15)-NORMSDIST((I34-$P$28)/B15))</f>
        <v>3.11816451464976e-5</v>
      </c>
      <c r="P34" s="70">
        <f>(NORMSDIST((I34-$P$28)/B15)-NORMSDIST((I34-$Q$28)/B15))</f>
        <v>5.94824269870925e-12</v>
      </c>
      <c r="Q34" s="70">
        <f>(NORMSDIST((I34-$Q$28)/B15)-NORMSDIST((I34-$R$28)/B15))</f>
        <v>5.93117859426172e-22</v>
      </c>
      <c r="R34" s="70">
        <f>(NORMSDIST((I34-$R$28)/B15)-NORMSDIST((I34-$S$28)/B15))</f>
        <v>2.86181165795559e-35</v>
      </c>
      <c r="S34" s="70">
        <f>(NORMSDIST((I34-$S$28)/B15)-NORMSDIST((I34-$T$28)/B15))</f>
        <v>6.46851156997703e-52</v>
      </c>
      <c r="T34" s="70"/>
      <c r="U34" s="90">
        <f t="shared" si="1"/>
        <v>0.999999999999409</v>
      </c>
    </row>
    <row r="35" s="13" customFormat="1" ht="18" customHeight="1" spans="1:21">
      <c r="A35" s="43"/>
      <c r="B35" s="43"/>
      <c r="C35" s="38">
        <f t="shared" si="2"/>
        <v>0.253</v>
      </c>
      <c r="D35" s="49">
        <v>0.0592672413793103</v>
      </c>
      <c r="E35" s="40">
        <v>38184</v>
      </c>
      <c r="F35" s="41">
        <f t="shared" si="0"/>
        <v>9.660552</v>
      </c>
      <c r="G35" s="41">
        <f t="shared" si="3"/>
        <v>753.523056</v>
      </c>
      <c r="H35" s="42">
        <f t="shared" si="4"/>
        <v>0.968186898750623</v>
      </c>
      <c r="I35" s="68">
        <f t="shared" si="5"/>
        <v>729.551150725732</v>
      </c>
      <c r="J35" s="76"/>
      <c r="K35" s="69">
        <f>(NORMSDIST((I35-$K$28)/B15)-NORMSDIST((I35-$L$28)/B15))</f>
        <v>5.59686512691115e-8</v>
      </c>
      <c r="L35" s="69">
        <f>(NORMSDIST((I35-$L$28)/B15)-NORMSDIST((I35-$M$28)/B15))</f>
        <v>0.0057288516032965</v>
      </c>
      <c r="M35" s="70">
        <f>(NORMSDIST((I35-$M$28)/B15)-NORMSDIST((I35-$N$28)/B15))</f>
        <v>0.592730204511024</v>
      </c>
      <c r="N35" s="70">
        <f>(NORMSDIST((I35-$N$28)/B15)-NORMSDIST((I35-$O$28)/B15))</f>
        <v>0.400306483794486</v>
      </c>
      <c r="O35" s="70">
        <f>(NORMSDIST((I35-$O$28)/B15)-NORMSDIST((I35-$P$28)/B15))</f>
        <v>0.00123440090263324</v>
      </c>
      <c r="P35" s="70">
        <f>(NORMSDIST((I35-$P$28)/B15)-NORMSDIST((I35-$Q$28)/B15))</f>
        <v>3.21990897627578e-9</v>
      </c>
      <c r="Q35" s="70">
        <f>(NORMSDIST((I35-$Q$28)/B15)-NORMSDIST((I35-$R$28)/B15))</f>
        <v>4.63383084533858e-18</v>
      </c>
      <c r="R35" s="70">
        <f>(NORMSDIST((I35-$R$28)/B15)-NORMSDIST((I35-$S$28)/B15))</f>
        <v>3.28941807151294e-30</v>
      </c>
      <c r="S35" s="70">
        <f>(NORMSDIST((I35-$S$28)/B15)-NORMSDIST((I35-$T$28)/B15))</f>
        <v>1.10353017053148e-45</v>
      </c>
      <c r="T35" s="70"/>
      <c r="U35" s="90">
        <f t="shared" si="1"/>
        <v>1</v>
      </c>
    </row>
    <row r="36" s="15" customFormat="1" ht="18" customHeight="1" spans="1:21">
      <c r="A36" s="43"/>
      <c r="B36" s="43"/>
      <c r="C36" s="50">
        <f t="shared" si="2"/>
        <v>0.254</v>
      </c>
      <c r="D36" s="49">
        <v>0.174568965517241</v>
      </c>
      <c r="E36" s="51">
        <v>38184</v>
      </c>
      <c r="F36" s="52">
        <f t="shared" si="0"/>
        <v>9.698736</v>
      </c>
      <c r="G36" s="52">
        <f t="shared" si="3"/>
        <v>756.501408</v>
      </c>
      <c r="H36" s="53">
        <f t="shared" si="4"/>
        <v>0.966686898750623</v>
      </c>
      <c r="I36" s="77">
        <v>731.3</v>
      </c>
      <c r="J36" s="77" t="s">
        <v>99</v>
      </c>
      <c r="K36" s="78">
        <f>(NORMSDIST((I36-$K$28)/B15)-NORMSDIST((I36-$L$28)/B15))</f>
        <v>1.71723191222384e-10</v>
      </c>
      <c r="L36" s="78">
        <f>(NORMSDIST((I36-$L$28)/B15)-NORMSDIST((I36-$M$28)/B15))</f>
        <v>0.000232628907312349</v>
      </c>
      <c r="M36" s="79">
        <f>(NORMSDIST((I36-$M$28)/B15)-NORMSDIST((I36-$N$28)/B15))</f>
        <v>0.234846302349807</v>
      </c>
      <c r="N36" s="79">
        <f>(NORMSDIST((I36-$N$28)/B15)-NORMSDIST((I36-$O$28)/B15))</f>
        <v>0.745008380821383</v>
      </c>
      <c r="O36" s="79">
        <f>(NORMSDIST((I36-$O$28)/B15)-NORMSDIST((I36-$P$28)/B15))</f>
        <v>0.0199120164213183</v>
      </c>
      <c r="P36" s="79">
        <f>(NORMSDIST((I36-$P$28)/B15)-NORMSDIST((I36-$Q$28)/B15))</f>
        <v>6.71328442221535e-7</v>
      </c>
      <c r="Q36" s="79">
        <f>(NORMSDIST((I36-$Q$28)/B15)-NORMSDIST((I36-$R$28)/B15))</f>
        <v>1.35874740057944e-14</v>
      </c>
      <c r="R36" s="79">
        <f>(NORMSDIST((I36-$R$28)/B15)-NORMSDIST((I36-$S$28)/B15))</f>
        <v>1.39289709229035e-25</v>
      </c>
      <c r="S36" s="79">
        <f>(NORMSDIST((I36-$S$28)/B15)-NORMSDIST((I36-$T$28)/B15))</f>
        <v>6.82460081321649e-40</v>
      </c>
      <c r="T36" s="79"/>
      <c r="U36" s="91">
        <f t="shared" si="1"/>
        <v>1</v>
      </c>
    </row>
    <row r="37" s="13" customFormat="1" ht="18" customHeight="1" spans="1:21">
      <c r="A37" s="43"/>
      <c r="B37" s="43"/>
      <c r="C37" s="38">
        <f t="shared" si="2"/>
        <v>0.255</v>
      </c>
      <c r="D37" s="49">
        <v>0.264008620689655</v>
      </c>
      <c r="E37" s="40">
        <v>38184</v>
      </c>
      <c r="F37" s="41">
        <f t="shared" si="0"/>
        <v>9.73692</v>
      </c>
      <c r="G37" s="41">
        <f t="shared" si="3"/>
        <v>759.47976</v>
      </c>
      <c r="H37" s="42">
        <f t="shared" si="4"/>
        <v>0.965186898750623</v>
      </c>
      <c r="I37" s="68">
        <f>G37*(H36-0.15%)</f>
        <v>733.039914218268</v>
      </c>
      <c r="J37" s="75"/>
      <c r="K37" s="69">
        <f>(NORMSDIST((I37-$K$28)/B15)-NORMSDIST((I37-$L$28)/B15))</f>
        <v>2.17159623616681e-13</v>
      </c>
      <c r="L37" s="69">
        <f>(NORMSDIST((I37-$L$28)/B15)-NORMSDIST((I37-$M$28)/B15))</f>
        <v>3.97327299217487e-6</v>
      </c>
      <c r="M37" s="70">
        <f>(NORMSDIST((I37-$M$28)/B15)-NORMSDIST((I37-$N$28)/B15))</f>
        <v>0.0456209566271366</v>
      </c>
      <c r="N37" s="70">
        <f>(NORMSDIST((I37-$N$28)/B15)-NORMSDIST((I37-$O$28)/B15))</f>
        <v>0.816284135616116</v>
      </c>
      <c r="O37" s="70">
        <f>(NORMSDIST((I37-$O$28)/B15)-NORMSDIST((I37-$P$28)/B15))</f>
        <v>0.138035778723078</v>
      </c>
      <c r="P37" s="70">
        <f>(NORMSDIST((I37-$P$28)/B15)-NORMSDIST((I37-$Q$28)/B15))</f>
        <v>5.51557452468963e-5</v>
      </c>
      <c r="Q37" s="70">
        <f>(NORMSDIST((I37-$Q$28)/B15)-NORMSDIST((I37-$R$28)/B15))</f>
        <v>1.52132212248167e-11</v>
      </c>
      <c r="R37" s="70">
        <f>(NORMSDIST((I37-$R$28)/B15)-NORMSDIST((I37-$S$28)/B15))</f>
        <v>2.20719948587482e-21</v>
      </c>
      <c r="S37" s="70">
        <f>(NORMSDIST((I37-$S$28)/B15)-NORMSDIST((I37-$T$28)/B15))</f>
        <v>1.553210478866e-34</v>
      </c>
      <c r="T37" s="70"/>
      <c r="U37" s="90">
        <f t="shared" si="1"/>
        <v>1</v>
      </c>
    </row>
    <row r="38" s="13" customFormat="1" ht="18" customHeight="1" spans="1:21">
      <c r="A38" s="43"/>
      <c r="B38" s="43"/>
      <c r="C38" s="38">
        <f t="shared" si="2"/>
        <v>0.256</v>
      </c>
      <c r="D38" s="49">
        <v>0.275862068965517</v>
      </c>
      <c r="E38" s="40">
        <v>38184</v>
      </c>
      <c r="F38" s="41">
        <f t="shared" si="0"/>
        <v>9.775104</v>
      </c>
      <c r="G38" s="41">
        <f t="shared" si="3"/>
        <v>762.458112</v>
      </c>
      <c r="H38" s="42">
        <f t="shared" si="4"/>
        <v>0.963686898750623</v>
      </c>
      <c r="I38" s="68">
        <f t="shared" ref="I38:I48" si="6">G38*(H37-0.15%)</f>
        <v>734.770893380535</v>
      </c>
      <c r="J38" s="68"/>
      <c r="K38" s="69">
        <f>(NORMSDIST((I38-$K$28)/B15)-NORMSDIST((I38-$L$28)/B15))</f>
        <v>0</v>
      </c>
      <c r="L38" s="69">
        <f>(NORMSDIST((I38-$L$28)/B15)-NORMSDIST((I38-$M$28)/B15))</f>
        <v>2.84508030468089e-8</v>
      </c>
      <c r="M38" s="70">
        <f>(NORMSDIST((I38-$M$28)/B15)-NORMSDIST((I38-$N$28)/B15))</f>
        <v>0.00401865166383109</v>
      </c>
      <c r="N38" s="70">
        <f>(NORMSDIST((I38-$N$28)/B15)-NORMSDIST((I38-$O$28)/B15))</f>
        <v>0.546622501144797</v>
      </c>
      <c r="O38" s="70">
        <f>(NORMSDIST((I38-$O$28)/B15)-NORMSDIST((I38-$P$28)/B15))</f>
        <v>0.447522900716185</v>
      </c>
      <c r="P38" s="70">
        <f>(NORMSDIST((I38-$P$28)/B15)-NORMSDIST((I38-$Q$28)/B15))</f>
        <v>0.00183591140045811</v>
      </c>
      <c r="Q38" s="70">
        <f>(NORMSDIST((I38-$Q$28)/B15)-NORMSDIST((I38-$R$28)/B15))</f>
        <v>6.62392557890585e-9</v>
      </c>
      <c r="R38" s="70">
        <f>(NORMSDIST((I38-$R$28)/B15)-NORMSDIST((I38-$S$28)/B15))</f>
        <v>1.3298580075324e-17</v>
      </c>
      <c r="S38" s="70">
        <f>(NORMSDIST((I38-$S$28)/B15)-NORMSDIST((I38-$T$28)/B15))</f>
        <v>1.32074102117693e-29</v>
      </c>
      <c r="T38" s="70"/>
      <c r="U38" s="90">
        <f t="shared" si="1"/>
        <v>1</v>
      </c>
    </row>
    <row r="39" s="13" customFormat="1" ht="18" customHeight="1" spans="1:21">
      <c r="A39" s="43"/>
      <c r="B39" s="43"/>
      <c r="C39" s="38">
        <f t="shared" si="2"/>
        <v>0.257</v>
      </c>
      <c r="D39" s="49">
        <v>0.181034482758621</v>
      </c>
      <c r="E39" s="40">
        <v>38184</v>
      </c>
      <c r="F39" s="41">
        <f t="shared" si="0"/>
        <v>9.813288</v>
      </c>
      <c r="G39" s="41">
        <f t="shared" si="3"/>
        <v>765.436464</v>
      </c>
      <c r="H39" s="42">
        <f t="shared" si="4"/>
        <v>0.962186898750623</v>
      </c>
      <c r="I39" s="68">
        <f t="shared" si="6"/>
        <v>736.492937486803</v>
      </c>
      <c r="J39" s="68"/>
      <c r="K39" s="69">
        <f>(NORMSDIST((I39-$K$28)/B15)-NORMSDIST((I39-$L$28)/B15))</f>
        <v>0</v>
      </c>
      <c r="L39" s="69">
        <f>(NORMSDIST((I39-$L$28)/B15)-NORMSDIST((I39-$M$28)/B15))</f>
        <v>8.57182103075615e-11</v>
      </c>
      <c r="M39" s="70">
        <f>(NORMSDIST((I39-$M$28)/B15)-NORMSDIST((I39-$N$28)/B15))</f>
        <v>0.000154766912934812</v>
      </c>
      <c r="N39" s="70">
        <f>(NORMSDIST((I39-$N$28)/B15)-NORMSDIST((I39-$O$28)/B15))</f>
        <v>0.203281536047582</v>
      </c>
      <c r="O39" s="70">
        <f>(NORMSDIST((I39-$O$28)/B15)-NORMSDIST((I39-$P$28)/B15))</f>
        <v>0.770878227752657</v>
      </c>
      <c r="P39" s="70">
        <f>(NORMSDIST((I39-$P$28)/B15)-NORMSDIST((I39-$Q$28)/B15))</f>
        <v>0.0256843250944298</v>
      </c>
      <c r="Q39" s="70">
        <f>(NORMSDIST((I39-$Q$28)/B15)-NORMSDIST((I39-$R$28)/B15))</f>
        <v>1.14410664742253e-6</v>
      </c>
      <c r="R39" s="70">
        <f>(NORMSDIST((I39-$R$28)/B15)-NORMSDIST((I39-$S$28)/B15))</f>
        <v>3.09677012268528e-14</v>
      </c>
      <c r="S39" s="70">
        <f>(NORMSDIST((I39-$S$28)/B15)-NORMSDIST((I39-$T$28)/B15))</f>
        <v>4.26049613584253e-25</v>
      </c>
      <c r="T39" s="70"/>
      <c r="U39" s="90">
        <f t="shared" si="1"/>
        <v>1</v>
      </c>
    </row>
    <row r="40" s="13" customFormat="1" ht="18" customHeight="1" spans="1:21">
      <c r="A40" s="43"/>
      <c r="B40" s="43"/>
      <c r="C40" s="38">
        <f t="shared" si="2"/>
        <v>0.258</v>
      </c>
      <c r="D40" s="49">
        <v>0.03125</v>
      </c>
      <c r="E40" s="40">
        <v>38184</v>
      </c>
      <c r="F40" s="41">
        <f t="shared" si="0"/>
        <v>9.851472</v>
      </c>
      <c r="G40" s="41">
        <f t="shared" si="3"/>
        <v>768.414816</v>
      </c>
      <c r="H40" s="42">
        <f t="shared" si="4"/>
        <v>0.960686898750624</v>
      </c>
      <c r="I40" s="68">
        <f t="shared" si="6"/>
        <v>738.206046537071</v>
      </c>
      <c r="J40" s="68"/>
      <c r="K40" s="69">
        <f>(NORMSDIST((I40-$K$28)/B15)-NORMSDIST((I40-$L$28)/B15))</f>
        <v>0</v>
      </c>
      <c r="L40" s="69">
        <f>(NORMSDIST((I40-$L$28)/B15)-NORMSDIST((I40-$M$28)/B15))</f>
        <v>1.0946799022804e-13</v>
      </c>
      <c r="M40" s="70">
        <f>(NORMSDIST((I40-$M$28)/B15)-NORMSDIST((I40-$N$28)/B15))</f>
        <v>2.57093181343926e-6</v>
      </c>
      <c r="N40" s="70">
        <f>(NORMSDIST((I40-$N$28)/B15)-NORMSDIST((I40-$O$28)/B15))</f>
        <v>0.0374424681949119</v>
      </c>
      <c r="O40" s="70">
        <f>(NORMSDIST((I40-$O$28)/B15)-NORMSDIST((I40-$P$28)/B15))</f>
        <v>0.80308551675313</v>
      </c>
      <c r="P40" s="70">
        <f>(NORMSDIST((I40-$P$28)/B15)-NORMSDIST((I40-$Q$28)/B15))</f>
        <v>0.159389253484814</v>
      </c>
      <c r="Q40" s="70">
        <f>(NORMSDIST((I40-$Q$28)/B15)-NORMSDIST((I40-$R$28)/B15))</f>
        <v>8.01906068724755e-5</v>
      </c>
      <c r="R40" s="70">
        <f>(NORMSDIST((I40-$R$28)/B15)-NORMSDIST((I40-$S$28)/B15))</f>
        <v>2.83484586429801e-11</v>
      </c>
      <c r="S40" s="70">
        <f>(NORMSDIST((I40-$S$28)/B15)-NORMSDIST((I40-$T$28)/B15))</f>
        <v>5.29483678568643e-21</v>
      </c>
      <c r="T40" s="70"/>
      <c r="U40" s="90">
        <f t="shared" si="1"/>
        <v>1</v>
      </c>
    </row>
    <row r="41" s="13" customFormat="1" ht="18" customHeight="1" spans="1:21">
      <c r="A41" s="43"/>
      <c r="B41" s="43"/>
      <c r="C41" s="38">
        <f t="shared" si="2"/>
        <v>0.259</v>
      </c>
      <c r="D41" s="49">
        <v>0.0140086206896552</v>
      </c>
      <c r="E41" s="40">
        <v>38184</v>
      </c>
      <c r="F41" s="41">
        <f t="shared" si="0"/>
        <v>9.889656</v>
      </c>
      <c r="G41" s="41">
        <f t="shared" si="3"/>
        <v>771.393168</v>
      </c>
      <c r="H41" s="42">
        <f t="shared" si="4"/>
        <v>0.959186898750624</v>
      </c>
      <c r="I41" s="68">
        <f t="shared" si="6"/>
        <v>739.910220531339</v>
      </c>
      <c r="J41" s="68"/>
      <c r="K41" s="69">
        <f>(NORMSDIST((I41-$K$28)/B15)-NORMSDIST((I41-$L$28)/B15))</f>
        <v>0</v>
      </c>
      <c r="L41" s="69">
        <f>(NORMSDIST((I41-$L$28)/B15)-NORMSDIST((I41-$M$28)/B15))</f>
        <v>0</v>
      </c>
      <c r="M41" s="70">
        <f>(NORMSDIST((I41-$M$28)/B15)-NORMSDIST((I41-$N$28)/B15))</f>
        <v>1.83875007442325e-8</v>
      </c>
      <c r="N41" s="70">
        <f>(NORMSDIST((I41-$N$28)/B15)-NORMSDIST((I41-$O$28)/B15))</f>
        <v>0.00318692513055019</v>
      </c>
      <c r="O41" s="70">
        <f>(NORMSDIST((I41-$O$28)/B15)-NORMSDIST((I41-$P$28)/B15))</f>
        <v>0.516703045854352</v>
      </c>
      <c r="P41" s="70">
        <f>(NORMSDIST((I41-$P$28)/B15)-NORMSDIST((I41-$Q$28)/B15))</f>
        <v>0.477765497054208</v>
      </c>
      <c r="Q41" s="70">
        <f>(NORMSDIST((I41-$Q$28)/B15)-NORMSDIST((I41-$R$28)/B15))</f>
        <v>0.00234450318664343</v>
      </c>
      <c r="R41" s="70">
        <f>(NORMSDIST((I41-$R$28)/B15)-NORMSDIST((I41-$S$28)/B15))</f>
        <v>1.038674622998e-8</v>
      </c>
      <c r="S41" s="70">
        <f>(NORMSDIST((I41-$S$28)/B15)-NORMSDIST((I41-$T$28)/B15))</f>
        <v>2.57515557577338e-17</v>
      </c>
      <c r="T41" s="70"/>
      <c r="U41" s="90">
        <f t="shared" si="1"/>
        <v>1</v>
      </c>
    </row>
    <row r="42" s="13" customFormat="1" ht="18" customHeight="1" spans="1:21">
      <c r="A42" s="43"/>
      <c r="B42" s="43"/>
      <c r="C42" s="38">
        <f t="shared" si="2"/>
        <v>0.26</v>
      </c>
      <c r="D42" s="49"/>
      <c r="E42" s="40">
        <v>38184</v>
      </c>
      <c r="F42" s="41">
        <f t="shared" si="0"/>
        <v>9.92784</v>
      </c>
      <c r="G42" s="41">
        <f t="shared" si="3"/>
        <v>774.37152</v>
      </c>
      <c r="H42" s="42">
        <f t="shared" si="4"/>
        <v>0.957686898750624</v>
      </c>
      <c r="I42" s="68">
        <f t="shared" si="6"/>
        <v>741.605459469607</v>
      </c>
      <c r="J42" s="68"/>
      <c r="K42" s="69">
        <f>(NORMSDIST((I42-$K$28)/B15)-NORMSDIST((I42-$L$28)/B15))</f>
        <v>0</v>
      </c>
      <c r="L42" s="69">
        <f>(NORMSDIST((I42-$L$28)/B15)-NORMSDIST((I42-$M$28)/B15))</f>
        <v>0</v>
      </c>
      <c r="M42" s="70">
        <f>(NORMSDIST((I42-$M$28)/B15)-NORMSDIST((I42-$N$28)/B15))</f>
        <v>5.68635138975537e-11</v>
      </c>
      <c r="N42" s="70">
        <f>(NORMSDIST((I42-$N$28)/B15)-NORMSDIST((I42-$O$28)/B15))</f>
        <v>0.000121417725883699</v>
      </c>
      <c r="O42" s="70">
        <f>(NORMSDIST((I42-$O$28)/B15)-NORMSDIST((I42-$P$28)/B15))</f>
        <v>0.186095972510607</v>
      </c>
      <c r="P42" s="70">
        <f>(NORMSDIST((I42-$P$28)/B15)-NORMSDIST((I42-$Q$28)/B15))</f>
        <v>0.784125418531198</v>
      </c>
      <c r="Q42" s="70">
        <f>(NORMSDIST((I42-$Q$28)/B15)-NORMSDIST((I42-$R$28)/B15))</f>
        <v>0.0296556378040145</v>
      </c>
      <c r="R42" s="70">
        <f>(NORMSDIST((I42-$R$28)/B15)-NORMSDIST((I42-$S$28)/B15))</f>
        <v>1.55337138358997e-6</v>
      </c>
      <c r="S42" s="70">
        <f>(NORMSDIST((I42-$S$28)/B15)-NORMSDIST((I42-$T$28)/B15))</f>
        <v>4.98075906357669e-14</v>
      </c>
      <c r="T42" s="70"/>
      <c r="U42" s="90">
        <f t="shared" si="1"/>
        <v>1</v>
      </c>
    </row>
    <row r="43" s="13" customFormat="1" ht="18" customHeight="1" spans="1:21">
      <c r="A43" s="43"/>
      <c r="B43" s="43"/>
      <c r="C43" s="38">
        <f t="shared" si="2"/>
        <v>0.261</v>
      </c>
      <c r="D43" s="49"/>
      <c r="E43" s="40">
        <v>38184</v>
      </c>
      <c r="F43" s="41">
        <f t="shared" si="0"/>
        <v>9.966024</v>
      </c>
      <c r="G43" s="41">
        <f t="shared" si="3"/>
        <v>777.349872</v>
      </c>
      <c r="H43" s="42">
        <f t="shared" si="4"/>
        <v>0.956186898750624</v>
      </c>
      <c r="I43" s="68">
        <f t="shared" si="6"/>
        <v>743.291763351874</v>
      </c>
      <c r="J43" s="68"/>
      <c r="K43" s="69">
        <f>(NORMSDIST((I43-$K$28)/B15)-NORMSDIST((I43-$L$28)/B15))</f>
        <v>0</v>
      </c>
      <c r="L43" s="69">
        <f>(NORMSDIST((I43-$L$28)/B15)-NORMSDIST((I43-$M$28)/B15))</f>
        <v>0</v>
      </c>
      <c r="M43" s="70">
        <f>(NORMSDIST((I43-$M$28)/B15)-NORMSDIST((I43-$N$28)/B15))</f>
        <v>7.66053886991358e-14</v>
      </c>
      <c r="N43" s="70">
        <f>(NORMSDIST((I43-$N$28)/B15)-NORMSDIST((I43-$O$28)/B15))</f>
        <v>2.04716886698098e-6</v>
      </c>
      <c r="O43" s="70">
        <f>(NORMSDIST((I43-$O$28)/B15)-NORMSDIST((I43-$P$28)/B15))</f>
        <v>0.0337159311680629</v>
      </c>
      <c r="P43" s="70">
        <f>(NORMSDIST((I43-$P$28)/B15)-NORMSDIST((I43-$Q$28)/B15))</f>
        <v>0.794976893148018</v>
      </c>
      <c r="Q43" s="70">
        <f>(NORMSDIST((I43-$Q$28)/B15)-NORMSDIST((I43-$R$28)/B15))</f>
        <v>0.171208164689893</v>
      </c>
      <c r="R43" s="70">
        <f>(NORMSDIST((I43-$R$28)/B15)-NORMSDIST((I43-$S$28)/B15))</f>
        <v>9.69637861263392e-5</v>
      </c>
      <c r="S43" s="70">
        <f>(NORMSDIST((I43-$S$28)/B15)-NORMSDIST((I43-$T$28)/B15))</f>
        <v>3.89564314368927e-11</v>
      </c>
      <c r="T43" s="70"/>
      <c r="U43" s="90">
        <f t="shared" si="1"/>
        <v>1</v>
      </c>
    </row>
    <row r="44" s="13" customFormat="1" ht="18" customHeight="1" spans="1:21">
      <c r="A44" s="43"/>
      <c r="B44" s="43"/>
      <c r="C44" s="38">
        <f t="shared" si="2"/>
        <v>0.262</v>
      </c>
      <c r="D44" s="49"/>
      <c r="E44" s="40">
        <v>38184</v>
      </c>
      <c r="F44" s="41">
        <f t="shared" si="0"/>
        <v>10.004208</v>
      </c>
      <c r="G44" s="41">
        <f t="shared" si="3"/>
        <v>780.328224</v>
      </c>
      <c r="H44" s="42">
        <f t="shared" si="4"/>
        <v>0.954686898750624</v>
      </c>
      <c r="I44" s="68">
        <f t="shared" si="6"/>
        <v>744.969132178142</v>
      </c>
      <c r="J44" s="68"/>
      <c r="K44" s="69">
        <f>(NORMSDIST((I44-$K$28)/B15)-NORMSDIST((I44-$L$28)/B15))</f>
        <v>0</v>
      </c>
      <c r="L44" s="69">
        <f>(NORMSDIST((I44-$L$28)/B15)-NORMSDIST((I44-$M$28)/B15))</f>
        <v>0</v>
      </c>
      <c r="M44" s="70">
        <f>(NORMSDIST((I44-$M$28)/B15)-NORMSDIST((I44-$N$28)/B15))</f>
        <v>0</v>
      </c>
      <c r="N44" s="70">
        <f>(NORMSDIST((I44-$N$28)/B15)-NORMSDIST((I44-$O$28)/B15))</f>
        <v>1.52617833926172e-8</v>
      </c>
      <c r="O44" s="70">
        <f>(NORMSDIST((I44-$O$28)/B15)-NORMSDIST((I44-$P$28)/B15))</f>
        <v>0.00288449332946572</v>
      </c>
      <c r="P44" s="70">
        <f>(NORMSDIST((I44-$P$28)/B15)-NORMSDIST((I44-$Q$28)/B15))</f>
        <v>0.503956533460953</v>
      </c>
      <c r="Q44" s="70">
        <f>(NORMSDIST((I44-$Q$28)/B15)-NORMSDIST((I44-$R$28)/B15))</f>
        <v>0.490563382690225</v>
      </c>
      <c r="R44" s="70">
        <f>(NORMSDIST((I44-$R$28)/B15)-NORMSDIST((I44-$S$28)/B15))</f>
        <v>0.00259556271682138</v>
      </c>
      <c r="S44" s="70">
        <f>(NORMSDIST((I44-$S$28)/B15)-NORMSDIST((I44-$T$28)/B15))</f>
        <v>1.25407511761965e-8</v>
      </c>
      <c r="T44" s="70"/>
      <c r="U44" s="90">
        <f t="shared" si="1"/>
        <v>1</v>
      </c>
    </row>
    <row r="45" s="13" customFormat="1" ht="18" customHeight="1" spans="1:21">
      <c r="A45" s="43"/>
      <c r="B45" s="43"/>
      <c r="C45" s="38">
        <f t="shared" si="2"/>
        <v>0.263</v>
      </c>
      <c r="D45" s="55"/>
      <c r="E45" s="40">
        <v>38184</v>
      </c>
      <c r="F45" s="41">
        <f t="shared" si="0"/>
        <v>10.042392</v>
      </c>
      <c r="G45" s="41">
        <f t="shared" si="3"/>
        <v>783.306576</v>
      </c>
      <c r="H45" s="42">
        <f t="shared" si="4"/>
        <v>0.953186898750624</v>
      </c>
      <c r="I45" s="68">
        <f t="shared" si="6"/>
        <v>746.63756594841</v>
      </c>
      <c r="J45" s="68"/>
      <c r="K45" s="69">
        <f>(NORMSDIST((I45-$K$28)/B15)-NORMSDIST((I45-$L$28)/B15))</f>
        <v>0</v>
      </c>
      <c r="L45" s="69">
        <f>(NORMSDIST((I45-$L$28)/B15)-NORMSDIST((I45-$M$28)/B15))</f>
        <v>0</v>
      </c>
      <c r="M45" s="70">
        <f>(NORMSDIST((I45-$M$28)/B15)-NORMSDIST((I45-$N$28)/B15))</f>
        <v>0</v>
      </c>
      <c r="N45" s="70">
        <f>(NORMSDIST((I45-$N$28)/B15)-NORMSDIST((I45-$O$28)/B15))</f>
        <v>5.05442354636898e-11</v>
      </c>
      <c r="O45" s="70">
        <f>(NORMSDIST((I45-$O$28)/B15)-NORMSDIST((I45-$P$28)/B15))</f>
        <v>0.000113217698852419</v>
      </c>
      <c r="P45" s="70">
        <f>(NORMSDIST((I45-$P$28)/B15)-NORMSDIST((I45-$Q$28)/B15))</f>
        <v>0.181361629793282</v>
      </c>
      <c r="Q45" s="70">
        <f>(NORMSDIST((I45-$Q$28)/B15)-NORMSDIST((I45-$R$28)/B15))</f>
        <v>0.787645435396923</v>
      </c>
      <c r="R45" s="70">
        <f>(NORMSDIST((I45-$R$28)/B15)-NORMSDIST((I45-$S$28)/B15))</f>
        <v>0.0308780232278723</v>
      </c>
      <c r="S45" s="70">
        <f>(NORMSDIST((I45-$S$28)/B15)-NORMSDIST((I45-$T$28)/B15))</f>
        <v>1.69383246877491e-6</v>
      </c>
      <c r="T45" s="70"/>
      <c r="U45" s="90">
        <f t="shared" si="1"/>
        <v>0.999999999999943</v>
      </c>
    </row>
    <row r="46" s="13" customFormat="1" ht="18" customHeight="1" spans="1:21">
      <c r="A46" s="43"/>
      <c r="B46" s="43"/>
      <c r="C46" s="38">
        <f t="shared" si="2"/>
        <v>0.264</v>
      </c>
      <c r="D46" s="55"/>
      <c r="E46" s="40">
        <v>38184</v>
      </c>
      <c r="F46" s="41">
        <f t="shared" si="0"/>
        <v>10.080576</v>
      </c>
      <c r="G46" s="41">
        <f t="shared" si="3"/>
        <v>786.284928</v>
      </c>
      <c r="H46" s="42">
        <f t="shared" si="4"/>
        <v>0.951686898750624</v>
      </c>
      <c r="I46" s="68">
        <f t="shared" si="6"/>
        <v>748.297064662677</v>
      </c>
      <c r="J46" s="68"/>
      <c r="K46" s="69">
        <f>(NORMSDIST((I46-$K$28)/B15)-NORMSDIST((I46-$L$28)/B15))</f>
        <v>0</v>
      </c>
      <c r="L46" s="69">
        <f>(NORMSDIST((I46-$L$28)/B15)-NORMSDIST((I46-$M$28)/B15))</f>
        <v>0</v>
      </c>
      <c r="M46" s="70">
        <f>(NORMSDIST((I46-$M$28)/B15)-NORMSDIST((I46-$N$28)/B15))</f>
        <v>0</v>
      </c>
      <c r="N46" s="70">
        <f>(NORMSDIST((I46-$N$28)/B15)-NORMSDIST((I46-$O$28)/B15))</f>
        <v>7.49400541621981e-14</v>
      </c>
      <c r="O46" s="70">
        <f>(NORMSDIST((I46-$O$28)/B15)-NORMSDIST((I46-$P$28)/B15))</f>
        <v>2.01838316316039e-6</v>
      </c>
      <c r="P46" s="70">
        <f>(NORMSDIST((I46-$P$28)/B15)-NORMSDIST((I46-$Q$28)/B15))</f>
        <v>0.0334958528842499</v>
      </c>
      <c r="Q46" s="70">
        <f>(NORMSDIST((I46-$Q$28)/B15)-NORMSDIST((I46-$R$28)/B15))</f>
        <v>0.794447009549732</v>
      </c>
      <c r="R46" s="70">
        <f>(NORMSDIST((I46-$R$28)/B15)-NORMSDIST((I46-$S$28)/B15))</f>
        <v>0.17195701657075</v>
      </c>
      <c r="S46" s="70">
        <f>(NORMSDIST((I46-$S$28)/B15)-NORMSDIST((I46-$T$28)/B15))</f>
        <v>9.81025723026749e-5</v>
      </c>
      <c r="T46" s="70"/>
      <c r="U46" s="90">
        <f t="shared" si="1"/>
        <v>0.999999999960273</v>
      </c>
    </row>
    <row r="47" s="13" customFormat="1" ht="18" customHeight="1" spans="1:21">
      <c r="A47" s="43"/>
      <c r="B47" s="43"/>
      <c r="C47" s="38">
        <f t="shared" si="2"/>
        <v>0.265</v>
      </c>
      <c r="D47" s="55"/>
      <c r="E47" s="40">
        <v>38184</v>
      </c>
      <c r="F47" s="41">
        <f t="shared" si="0"/>
        <v>10.11876</v>
      </c>
      <c r="G47" s="41">
        <f t="shared" si="3"/>
        <v>789.26328</v>
      </c>
      <c r="H47" s="42">
        <f t="shared" si="4"/>
        <v>0.950186898750624</v>
      </c>
      <c r="I47" s="68">
        <f t="shared" si="6"/>
        <v>749.947628320945</v>
      </c>
      <c r="J47" s="68"/>
      <c r="K47" s="69">
        <f>(NORMSDIST((I47-$K$28)/B15)-NORMSDIST((I47-$L$28)/B15))</f>
        <v>0</v>
      </c>
      <c r="L47" s="69">
        <f>(NORMSDIST((I47-$L$28)/B15)-NORMSDIST((I47-$M$28)/B15))</f>
        <v>0</v>
      </c>
      <c r="M47" s="70">
        <f>(NORMSDIST((I47-$M$28)/B15)-NORMSDIST((I47-$N$28)/B15))</f>
        <v>0</v>
      </c>
      <c r="N47" s="70">
        <f>(NORMSDIST((I47-$N$28)/B15)-NORMSDIST((I47-$O$28)/B15))</f>
        <v>0</v>
      </c>
      <c r="O47" s="70">
        <f>(NORMSDIST((I47-$O$28)/B15)-NORMSDIST((I47-$P$28)/B15))</f>
        <v>1.63378190976005e-8</v>
      </c>
      <c r="P47" s="70">
        <f>(NORMSDIST((I47-$P$28)/B15)-NORMSDIST((I47-$Q$28)/B15))</f>
        <v>0.00299175030036636</v>
      </c>
      <c r="Q47" s="70">
        <f>(NORMSDIST((I47-$Q$28)/B15)-NORMSDIST((I47-$R$28)/B15))</f>
        <v>0.50861397203347</v>
      </c>
      <c r="R47" s="70">
        <f>(NORMSDIST((I47-$R$28)/B15)-NORMSDIST((I47-$S$28)/B15))</f>
        <v>0.485893014544512</v>
      </c>
      <c r="S47" s="70">
        <f>(NORMSDIST((I47-$S$28)/B15)-NORMSDIST((I47-$T$28)/B15))</f>
        <v>0.00250123507532928</v>
      </c>
      <c r="T47" s="70"/>
      <c r="U47" s="90">
        <f t="shared" si="1"/>
        <v>0.999999988291497</v>
      </c>
    </row>
    <row r="48" s="13" customFormat="1" ht="18" customHeight="1" spans="1:21">
      <c r="A48" s="43"/>
      <c r="B48" s="43"/>
      <c r="C48" s="38">
        <f t="shared" si="2"/>
        <v>0.266</v>
      </c>
      <c r="D48" s="55"/>
      <c r="E48" s="40">
        <v>38184</v>
      </c>
      <c r="F48" s="41">
        <f t="shared" si="0"/>
        <v>10.156944</v>
      </c>
      <c r="G48" s="41">
        <f t="shared" si="3"/>
        <v>792.241632</v>
      </c>
      <c r="H48" s="42">
        <f t="shared" si="4"/>
        <v>0.948686898750624</v>
      </c>
      <c r="I48" s="68">
        <f t="shared" si="6"/>
        <v>751.589256923213</v>
      </c>
      <c r="J48" s="68"/>
      <c r="K48" s="69">
        <f>(NORMSDIST((I48-$K$28)/B15)-NORMSDIST((I48-$L$28)/B15))</f>
        <v>0</v>
      </c>
      <c r="L48" s="69">
        <f>(NORMSDIST((I48-$L$28)/B15)-NORMSDIST((I48-$M$28)/B15))</f>
        <v>0</v>
      </c>
      <c r="M48" s="70">
        <f>(NORMSDIST((I48-$M$28)/B15)-NORMSDIST((I48-$N$28)/B15))</f>
        <v>0</v>
      </c>
      <c r="N48" s="70">
        <f>(NORMSDIST((I48-$N$28)/B15)-NORMSDIST((I48-$O$28)/B15))</f>
        <v>0</v>
      </c>
      <c r="O48" s="70">
        <f>(NORMSDIST((I48-$O$28)/B15)-NORMSDIST((I48-$P$28)/B15))</f>
        <v>6.03395111653526e-11</v>
      </c>
      <c r="P48" s="70">
        <f>(NORMSDIST((I48-$P$28)/B15)-NORMSDIST((I48-$Q$28)/B15))</f>
        <v>0.000125764342811086</v>
      </c>
      <c r="Q48" s="70">
        <f>(NORMSDIST((I48-$Q$28)/B15)-NORMSDIST((I48-$R$28)/B15))</f>
        <v>0.18851384543754</v>
      </c>
      <c r="R48" s="70">
        <f>(NORMSDIST((I48-$R$28)/B15)-NORMSDIST((I48-$S$28)/B15))</f>
        <v>0.782304733084378</v>
      </c>
      <c r="S48" s="70">
        <f>(NORMSDIST((I48-$S$28)/B15)-NORMSDIST((I48-$T$28)/B15))</f>
        <v>0.0290541702755523</v>
      </c>
      <c r="T48" s="70"/>
      <c r="U48" s="90">
        <f t="shared" si="1"/>
        <v>0.999998513200621</v>
      </c>
    </row>
    <row r="49" s="13" customFormat="1" ht="9.6" customHeight="1" spans="4:4">
      <c r="D49" s="56"/>
    </row>
    <row r="50" s="13" customFormat="1" ht="18" customHeight="1" spans="4:21">
      <c r="D50" s="57"/>
      <c r="I50" s="80" t="s">
        <v>90</v>
      </c>
      <c r="J50" s="80" t="s">
        <v>89</v>
      </c>
      <c r="K50" s="67">
        <f>K28</f>
        <v>715</v>
      </c>
      <c r="L50" s="67">
        <f t="shared" ref="L50:T50" si="7">L28</f>
        <v>720</v>
      </c>
      <c r="M50" s="67">
        <f t="shared" si="7"/>
        <v>725</v>
      </c>
      <c r="N50" s="67">
        <f t="shared" si="7"/>
        <v>730</v>
      </c>
      <c r="O50" s="67">
        <f t="shared" si="7"/>
        <v>735</v>
      </c>
      <c r="P50" s="67">
        <f t="shared" si="7"/>
        <v>740</v>
      </c>
      <c r="Q50" s="67">
        <f t="shared" si="7"/>
        <v>745</v>
      </c>
      <c r="R50" s="67">
        <f t="shared" si="7"/>
        <v>750</v>
      </c>
      <c r="S50" s="67">
        <f t="shared" si="7"/>
        <v>755</v>
      </c>
      <c r="T50" s="67">
        <f t="shared" si="7"/>
        <v>760</v>
      </c>
      <c r="U50" s="89" t="s">
        <v>96</v>
      </c>
    </row>
    <row r="51" s="13" customFormat="1" ht="18" customHeight="1" spans="9:21">
      <c r="I51" s="81">
        <f t="shared" ref="I51:I70" si="8">D29</f>
        <v>0</v>
      </c>
      <c r="J51" s="38">
        <f t="shared" ref="J51:J70" si="9">C29</f>
        <v>0.247</v>
      </c>
      <c r="K51" s="70">
        <f t="shared" ref="K51:K70" si="10">D29*K29</f>
        <v>0</v>
      </c>
      <c r="L51" s="70">
        <f t="shared" ref="L51:L70" si="11">D29*L29</f>
        <v>0</v>
      </c>
      <c r="M51" s="70">
        <f t="shared" ref="M51:M70" si="12">D29*M29</f>
        <v>0</v>
      </c>
      <c r="N51" s="70">
        <f t="shared" ref="N51:N70" si="13">D29*N29</f>
        <v>0</v>
      </c>
      <c r="O51" s="70">
        <f t="shared" ref="O51:O70" si="14">D29*O29</f>
        <v>0</v>
      </c>
      <c r="P51" s="70">
        <f t="shared" ref="P51:P70" si="15">D29*P29</f>
        <v>0</v>
      </c>
      <c r="Q51" s="70">
        <f t="shared" ref="Q51:Q70" si="16">D29*Q29</f>
        <v>0</v>
      </c>
      <c r="R51" s="70">
        <f t="shared" ref="R51:R70" si="17">D29*R29</f>
        <v>0</v>
      </c>
      <c r="S51" s="70">
        <f t="shared" ref="S51:S70" si="18">S29*D29</f>
        <v>0</v>
      </c>
      <c r="T51" s="70"/>
      <c r="U51" s="90"/>
    </row>
    <row r="52" s="13" customFormat="1" ht="18" customHeight="1" spans="9:21">
      <c r="I52" s="81">
        <f t="shared" si="8"/>
        <v>0</v>
      </c>
      <c r="J52" s="38">
        <f t="shared" si="9"/>
        <v>0.248</v>
      </c>
      <c r="K52" s="70">
        <f t="shared" si="10"/>
        <v>0</v>
      </c>
      <c r="L52" s="70">
        <f t="shared" si="11"/>
        <v>0</v>
      </c>
      <c r="M52" s="70">
        <f t="shared" si="12"/>
        <v>0</v>
      </c>
      <c r="N52" s="70">
        <f t="shared" si="13"/>
        <v>0</v>
      </c>
      <c r="O52" s="70">
        <f t="shared" si="14"/>
        <v>0</v>
      </c>
      <c r="P52" s="70">
        <f t="shared" si="15"/>
        <v>0</v>
      </c>
      <c r="Q52" s="70">
        <f t="shared" si="16"/>
        <v>0</v>
      </c>
      <c r="R52" s="70">
        <f t="shared" si="17"/>
        <v>0</v>
      </c>
      <c r="S52" s="70">
        <f t="shared" si="18"/>
        <v>0</v>
      </c>
      <c r="T52" s="70"/>
      <c r="U52" s="90"/>
    </row>
    <row r="53" s="13" customFormat="1" ht="18" customHeight="1" spans="9:21">
      <c r="I53" s="81">
        <f t="shared" si="8"/>
        <v>0</v>
      </c>
      <c r="J53" s="38">
        <f t="shared" si="9"/>
        <v>0.249</v>
      </c>
      <c r="K53" s="70">
        <f t="shared" si="10"/>
        <v>0</v>
      </c>
      <c r="L53" s="70">
        <f t="shared" si="11"/>
        <v>0</v>
      </c>
      <c r="M53" s="70">
        <f t="shared" si="12"/>
        <v>0</v>
      </c>
      <c r="N53" s="70">
        <f t="shared" si="13"/>
        <v>0</v>
      </c>
      <c r="O53" s="70">
        <f t="shared" si="14"/>
        <v>0</v>
      </c>
      <c r="P53" s="70">
        <f t="shared" si="15"/>
        <v>0</v>
      </c>
      <c r="Q53" s="70">
        <f t="shared" si="16"/>
        <v>0</v>
      </c>
      <c r="R53" s="70">
        <f t="shared" si="17"/>
        <v>0</v>
      </c>
      <c r="S53" s="70">
        <f t="shared" si="18"/>
        <v>0</v>
      </c>
      <c r="T53" s="70"/>
      <c r="U53" s="90"/>
    </row>
    <row r="54" s="13" customFormat="1" ht="18" customHeight="1" spans="9:21">
      <c r="I54" s="81">
        <f t="shared" si="8"/>
        <v>0</v>
      </c>
      <c r="J54" s="38">
        <f t="shared" si="9"/>
        <v>0.25</v>
      </c>
      <c r="K54" s="74">
        <f t="shared" si="10"/>
        <v>0</v>
      </c>
      <c r="L54" s="74">
        <f t="shared" si="11"/>
        <v>0</v>
      </c>
      <c r="M54" s="74">
        <f t="shared" si="12"/>
        <v>0</v>
      </c>
      <c r="N54" s="74">
        <f t="shared" si="13"/>
        <v>0</v>
      </c>
      <c r="O54" s="74">
        <f t="shared" si="14"/>
        <v>0</v>
      </c>
      <c r="P54" s="74">
        <f t="shared" si="15"/>
        <v>0</v>
      </c>
      <c r="Q54" s="74">
        <f t="shared" si="16"/>
        <v>0</v>
      </c>
      <c r="R54" s="74">
        <f t="shared" si="17"/>
        <v>0</v>
      </c>
      <c r="S54" s="74">
        <f t="shared" si="18"/>
        <v>0</v>
      </c>
      <c r="T54" s="70"/>
      <c r="U54" s="90"/>
    </row>
    <row r="55" s="13" customFormat="1" ht="18" customHeight="1" spans="9:21">
      <c r="I55" s="81">
        <f t="shared" si="8"/>
        <v>0</v>
      </c>
      <c r="J55" s="38">
        <f t="shared" si="9"/>
        <v>0.251</v>
      </c>
      <c r="K55" s="70">
        <f t="shared" si="10"/>
        <v>0</v>
      </c>
      <c r="L55" s="70">
        <f t="shared" si="11"/>
        <v>0</v>
      </c>
      <c r="M55" s="70">
        <f t="shared" si="12"/>
        <v>0</v>
      </c>
      <c r="N55" s="70">
        <f t="shared" si="13"/>
        <v>0</v>
      </c>
      <c r="O55" s="70">
        <f t="shared" si="14"/>
        <v>0</v>
      </c>
      <c r="P55" s="70">
        <f t="shared" si="15"/>
        <v>0</v>
      </c>
      <c r="Q55" s="70">
        <f t="shared" si="16"/>
        <v>0</v>
      </c>
      <c r="R55" s="70">
        <f t="shared" si="17"/>
        <v>0</v>
      </c>
      <c r="S55" s="70">
        <f t="shared" si="18"/>
        <v>0</v>
      </c>
      <c r="T55" s="70"/>
      <c r="U55" s="90"/>
    </row>
    <row r="56" s="13" customFormat="1" ht="18" customHeight="1" spans="9:21">
      <c r="I56" s="81">
        <f t="shared" si="8"/>
        <v>0</v>
      </c>
      <c r="J56" s="38">
        <f t="shared" si="9"/>
        <v>0.252</v>
      </c>
      <c r="K56" s="70">
        <f t="shared" si="10"/>
        <v>0</v>
      </c>
      <c r="L56" s="70">
        <f t="shared" si="11"/>
        <v>0</v>
      </c>
      <c r="M56" s="70">
        <f t="shared" si="12"/>
        <v>0</v>
      </c>
      <c r="N56" s="70">
        <f t="shared" si="13"/>
        <v>0</v>
      </c>
      <c r="O56" s="70">
        <f t="shared" si="14"/>
        <v>0</v>
      </c>
      <c r="P56" s="70">
        <f t="shared" si="15"/>
        <v>0</v>
      </c>
      <c r="Q56" s="70">
        <f t="shared" si="16"/>
        <v>0</v>
      </c>
      <c r="R56" s="70">
        <f t="shared" si="17"/>
        <v>0</v>
      </c>
      <c r="S56" s="70">
        <f t="shared" si="18"/>
        <v>0</v>
      </c>
      <c r="T56" s="70"/>
      <c r="U56" s="90"/>
    </row>
    <row r="57" s="13" customFormat="1" ht="18" customHeight="1" spans="9:21">
      <c r="I57" s="81">
        <f t="shared" si="8"/>
        <v>0.0592672413793103</v>
      </c>
      <c r="J57" s="38">
        <f t="shared" si="9"/>
        <v>0.253</v>
      </c>
      <c r="K57" s="70">
        <f t="shared" si="10"/>
        <v>3.31710756444088e-9</v>
      </c>
      <c r="L57" s="70">
        <f t="shared" si="11"/>
        <v>0.000339533230798823</v>
      </c>
      <c r="M57" s="70">
        <f t="shared" si="12"/>
        <v>0.0351294841035628</v>
      </c>
      <c r="N57" s="70">
        <f t="shared" si="13"/>
        <v>0.0237250610007507</v>
      </c>
      <c r="O57" s="70">
        <f t="shared" si="14"/>
        <v>7.31595362552028e-5</v>
      </c>
      <c r="P57" s="70">
        <f t="shared" si="15"/>
        <v>1.90835122516345e-10</v>
      </c>
      <c r="Q57" s="70">
        <f t="shared" si="16"/>
        <v>2.74634371221575e-19</v>
      </c>
      <c r="R57" s="70">
        <f t="shared" si="17"/>
        <v>1.94954734841823e-31</v>
      </c>
      <c r="S57" s="70">
        <f t="shared" si="18"/>
        <v>6.54031889862407e-47</v>
      </c>
      <c r="T57" s="70"/>
      <c r="U57" s="90"/>
    </row>
    <row r="58" s="13" customFormat="1" ht="18" customHeight="1" spans="9:21">
      <c r="I58" s="81">
        <f t="shared" si="8"/>
        <v>0.174568965517241</v>
      </c>
      <c r="J58" s="38">
        <f t="shared" si="9"/>
        <v>0.254</v>
      </c>
      <c r="K58" s="70">
        <f t="shared" si="10"/>
        <v>2.99775398470109e-11</v>
      </c>
      <c r="L58" s="70">
        <f t="shared" si="11"/>
        <v>4.06097876989229e-5</v>
      </c>
      <c r="M58" s="70">
        <f t="shared" si="12"/>
        <v>0.040996876056755</v>
      </c>
      <c r="N58" s="70">
        <f t="shared" si="13"/>
        <v>0.130055342341664</v>
      </c>
      <c r="O58" s="70">
        <f t="shared" si="14"/>
        <v>0.00347602010803185</v>
      </c>
      <c r="P58" s="70">
        <f t="shared" si="15"/>
        <v>1.17193111680914e-7</v>
      </c>
      <c r="Q58" s="70">
        <f t="shared" si="16"/>
        <v>2.37195128118393e-15</v>
      </c>
      <c r="R58" s="70">
        <f t="shared" si="17"/>
        <v>2.431566044731e-26</v>
      </c>
      <c r="S58" s="70">
        <f t="shared" si="18"/>
        <v>1.19136350403132e-40</v>
      </c>
      <c r="T58" s="70"/>
      <c r="U58" s="90"/>
    </row>
    <row r="59" s="13" customFormat="1" ht="18" customHeight="1" spans="9:21">
      <c r="I59" s="81">
        <f t="shared" si="8"/>
        <v>0.264008620689655</v>
      </c>
      <c r="J59" s="38">
        <f t="shared" si="9"/>
        <v>0.255</v>
      </c>
      <c r="K59" s="70">
        <f t="shared" si="10"/>
        <v>5.73320127005245e-14</v>
      </c>
      <c r="L59" s="70">
        <f t="shared" si="11"/>
        <v>1.04897832228755e-6</v>
      </c>
      <c r="M59" s="70">
        <f t="shared" si="12"/>
        <v>0.0120443258336729</v>
      </c>
      <c r="N59" s="70">
        <f t="shared" si="13"/>
        <v>0.215506048734858</v>
      </c>
      <c r="O59" s="70">
        <f t="shared" si="14"/>
        <v>0.0364426355465023</v>
      </c>
      <c r="P59" s="70">
        <f t="shared" si="15"/>
        <v>1.45615922257431e-5</v>
      </c>
      <c r="Q59" s="70">
        <f t="shared" si="16"/>
        <v>4.01642155181044e-12</v>
      </c>
      <c r="R59" s="70">
        <f t="shared" si="17"/>
        <v>5.82719691852727e-22</v>
      </c>
      <c r="S59" s="70">
        <f t="shared" si="18"/>
        <v>4.10060956166131e-35</v>
      </c>
      <c r="T59" s="70"/>
      <c r="U59" s="90"/>
    </row>
    <row r="60" s="13" customFormat="1" ht="18" customHeight="1" spans="9:21">
      <c r="I60" s="81">
        <f t="shared" si="8"/>
        <v>0.275862068965517</v>
      </c>
      <c r="J60" s="38">
        <f t="shared" si="9"/>
        <v>0.256</v>
      </c>
      <c r="K60" s="70">
        <f t="shared" si="10"/>
        <v>0</v>
      </c>
      <c r="L60" s="70">
        <f t="shared" si="11"/>
        <v>7.84849739222314e-9</v>
      </c>
      <c r="M60" s="70">
        <f t="shared" si="12"/>
        <v>0.00110859356243616</v>
      </c>
      <c r="N60" s="70">
        <f t="shared" si="13"/>
        <v>0.150792414108909</v>
      </c>
      <c r="O60" s="70">
        <f t="shared" si="14"/>
        <v>0.123454593301016</v>
      </c>
      <c r="P60" s="70">
        <f t="shared" si="15"/>
        <v>0.000506458317367753</v>
      </c>
      <c r="Q60" s="70">
        <f t="shared" si="16"/>
        <v>1.82728981487058e-9</v>
      </c>
      <c r="R60" s="70">
        <f t="shared" si="17"/>
        <v>3.66857381388249e-18</v>
      </c>
      <c r="S60" s="70">
        <f t="shared" si="18"/>
        <v>3.64342350669498e-30</v>
      </c>
      <c r="T60" s="70"/>
      <c r="U60" s="90"/>
    </row>
    <row r="61" s="13" customFormat="1" ht="18" customHeight="1" spans="9:21">
      <c r="I61" s="81">
        <f t="shared" si="8"/>
        <v>0.181034482758621</v>
      </c>
      <c r="J61" s="38">
        <f t="shared" si="9"/>
        <v>0.257</v>
      </c>
      <c r="K61" s="70">
        <f t="shared" si="10"/>
        <v>0</v>
      </c>
      <c r="L61" s="70">
        <f t="shared" si="11"/>
        <v>1.55179518660241e-11</v>
      </c>
      <c r="M61" s="70">
        <f t="shared" si="12"/>
        <v>2.80181480313022e-5</v>
      </c>
      <c r="N61" s="70">
        <f t="shared" si="13"/>
        <v>0.036800967732752</v>
      </c>
      <c r="O61" s="70">
        <f t="shared" si="14"/>
        <v>0.139555541231085</v>
      </c>
      <c r="P61" s="70">
        <f t="shared" si="15"/>
        <v>0.00464974850847436</v>
      </c>
      <c r="Q61" s="70">
        <f t="shared" si="16"/>
        <v>2.07122755136837e-7</v>
      </c>
      <c r="R61" s="70">
        <f t="shared" si="17"/>
        <v>5.60622177382681e-15</v>
      </c>
      <c r="S61" s="70">
        <f t="shared" si="18"/>
        <v>7.71296714247356e-26</v>
      </c>
      <c r="T61" s="70"/>
      <c r="U61" s="90"/>
    </row>
    <row r="62" s="13" customFormat="1" ht="18" customHeight="1" spans="9:21">
      <c r="I62" s="81">
        <f t="shared" si="8"/>
        <v>0.03125</v>
      </c>
      <c r="J62" s="38">
        <f t="shared" si="9"/>
        <v>0.258</v>
      </c>
      <c r="K62" s="70">
        <f t="shared" si="10"/>
        <v>0</v>
      </c>
      <c r="L62" s="70">
        <f t="shared" si="11"/>
        <v>3.42087469462626e-15</v>
      </c>
      <c r="M62" s="70">
        <f t="shared" si="12"/>
        <v>8.03416191699768e-8</v>
      </c>
      <c r="N62" s="70">
        <f t="shared" si="13"/>
        <v>0.001170077131091</v>
      </c>
      <c r="O62" s="70">
        <f t="shared" si="14"/>
        <v>0.0250964223985353</v>
      </c>
      <c r="P62" s="70">
        <f t="shared" si="15"/>
        <v>0.00498091417140045</v>
      </c>
      <c r="Q62" s="70">
        <f t="shared" si="16"/>
        <v>2.50595646476486e-6</v>
      </c>
      <c r="R62" s="70">
        <f t="shared" si="17"/>
        <v>8.85889332593128e-13</v>
      </c>
      <c r="S62" s="70">
        <f t="shared" si="18"/>
        <v>1.65463649552701e-22</v>
      </c>
      <c r="T62" s="70"/>
      <c r="U62" s="90"/>
    </row>
    <row r="63" s="13" customFormat="1" ht="18" customHeight="1" spans="9:21">
      <c r="I63" s="81">
        <f t="shared" si="8"/>
        <v>0.0140086206896552</v>
      </c>
      <c r="J63" s="38">
        <f t="shared" si="9"/>
        <v>0.259</v>
      </c>
      <c r="K63" s="70">
        <f t="shared" si="10"/>
        <v>0</v>
      </c>
      <c r="L63" s="70">
        <f t="shared" si="11"/>
        <v>0</v>
      </c>
      <c r="M63" s="70">
        <f t="shared" si="12"/>
        <v>2.57583523356705e-10</v>
      </c>
      <c r="N63" s="70">
        <f t="shared" si="13"/>
        <v>4.46444253202075e-5</v>
      </c>
      <c r="O63" s="70">
        <f t="shared" si="14"/>
        <v>0.00723829697856313</v>
      </c>
      <c r="P63" s="70">
        <f t="shared" si="15"/>
        <v>0.00669283562683697</v>
      </c>
      <c r="Q63" s="70">
        <f t="shared" si="16"/>
        <v>3.28432558473757e-5</v>
      </c>
      <c r="R63" s="70">
        <f t="shared" si="17"/>
        <v>1.45503988135496e-10</v>
      </c>
      <c r="S63" s="70">
        <f t="shared" si="18"/>
        <v>3.607437767786e-19</v>
      </c>
      <c r="T63" s="70"/>
      <c r="U63" s="90"/>
    </row>
    <row r="64" s="13" customFormat="1" ht="18" customHeight="1" spans="9:21">
      <c r="I64" s="81">
        <f t="shared" si="8"/>
        <v>0</v>
      </c>
      <c r="J64" s="38">
        <f t="shared" si="9"/>
        <v>0.26</v>
      </c>
      <c r="K64" s="70">
        <f t="shared" si="10"/>
        <v>0</v>
      </c>
      <c r="L64" s="70">
        <f t="shared" si="11"/>
        <v>0</v>
      </c>
      <c r="M64" s="70">
        <f t="shared" si="12"/>
        <v>0</v>
      </c>
      <c r="N64" s="70">
        <f t="shared" si="13"/>
        <v>0</v>
      </c>
      <c r="O64" s="70">
        <f t="shared" si="14"/>
        <v>0</v>
      </c>
      <c r="P64" s="70">
        <f t="shared" si="15"/>
        <v>0</v>
      </c>
      <c r="Q64" s="70">
        <f t="shared" si="16"/>
        <v>0</v>
      </c>
      <c r="R64" s="70">
        <f t="shared" si="17"/>
        <v>0</v>
      </c>
      <c r="S64" s="70">
        <f t="shared" si="18"/>
        <v>0</v>
      </c>
      <c r="T64" s="70"/>
      <c r="U64" s="90"/>
    </row>
    <row r="65" s="13" customFormat="1" ht="18" customHeight="1" spans="9:21">
      <c r="I65" s="81">
        <f t="shared" si="8"/>
        <v>0</v>
      </c>
      <c r="J65" s="38">
        <f t="shared" si="9"/>
        <v>0.261</v>
      </c>
      <c r="K65" s="70">
        <f t="shared" si="10"/>
        <v>0</v>
      </c>
      <c r="L65" s="70">
        <f t="shared" si="11"/>
        <v>0</v>
      </c>
      <c r="M65" s="70">
        <f t="shared" si="12"/>
        <v>0</v>
      </c>
      <c r="N65" s="70">
        <f t="shared" si="13"/>
        <v>0</v>
      </c>
      <c r="O65" s="70">
        <f t="shared" si="14"/>
        <v>0</v>
      </c>
      <c r="P65" s="70">
        <f t="shared" si="15"/>
        <v>0</v>
      </c>
      <c r="Q65" s="70">
        <f t="shared" si="16"/>
        <v>0</v>
      </c>
      <c r="R65" s="70">
        <f t="shared" si="17"/>
        <v>0</v>
      </c>
      <c r="S65" s="70">
        <f t="shared" si="18"/>
        <v>0</v>
      </c>
      <c r="T65" s="70"/>
      <c r="U65" s="90"/>
    </row>
    <row r="66" s="13" customFormat="1" ht="18" customHeight="1" spans="9:21">
      <c r="I66" s="81">
        <f t="shared" si="8"/>
        <v>0</v>
      </c>
      <c r="J66" s="38">
        <f t="shared" si="9"/>
        <v>0.262</v>
      </c>
      <c r="K66" s="70">
        <f t="shared" si="10"/>
        <v>0</v>
      </c>
      <c r="L66" s="70">
        <f t="shared" si="11"/>
        <v>0</v>
      </c>
      <c r="M66" s="70">
        <f t="shared" si="12"/>
        <v>0</v>
      </c>
      <c r="N66" s="70">
        <f t="shared" si="13"/>
        <v>0</v>
      </c>
      <c r="O66" s="70">
        <f t="shared" si="14"/>
        <v>0</v>
      </c>
      <c r="P66" s="70">
        <f t="shared" si="15"/>
        <v>0</v>
      </c>
      <c r="Q66" s="70">
        <f t="shared" si="16"/>
        <v>0</v>
      </c>
      <c r="R66" s="70">
        <f t="shared" si="17"/>
        <v>0</v>
      </c>
      <c r="S66" s="70">
        <f t="shared" si="18"/>
        <v>0</v>
      </c>
      <c r="T66" s="70"/>
      <c r="U66" s="90"/>
    </row>
    <row r="67" s="13" customFormat="1" ht="18" customHeight="1" spans="9:21">
      <c r="I67" s="81">
        <f t="shared" si="8"/>
        <v>0</v>
      </c>
      <c r="J67" s="38">
        <f t="shared" si="9"/>
        <v>0.263</v>
      </c>
      <c r="K67" s="70">
        <f t="shared" si="10"/>
        <v>0</v>
      </c>
      <c r="L67" s="70">
        <f t="shared" si="11"/>
        <v>0</v>
      </c>
      <c r="M67" s="70">
        <f t="shared" si="12"/>
        <v>0</v>
      </c>
      <c r="N67" s="70">
        <f t="shared" si="13"/>
        <v>0</v>
      </c>
      <c r="O67" s="70">
        <f t="shared" si="14"/>
        <v>0</v>
      </c>
      <c r="P67" s="70">
        <f t="shared" si="15"/>
        <v>0</v>
      </c>
      <c r="Q67" s="70">
        <f t="shared" si="16"/>
        <v>0</v>
      </c>
      <c r="R67" s="70">
        <f t="shared" si="17"/>
        <v>0</v>
      </c>
      <c r="S67" s="70">
        <f t="shared" si="18"/>
        <v>0</v>
      </c>
      <c r="T67" s="70"/>
      <c r="U67" s="90"/>
    </row>
    <row r="68" s="13" customFormat="1" ht="18" customHeight="1" spans="9:21">
      <c r="I68" s="81">
        <f t="shared" si="8"/>
        <v>0</v>
      </c>
      <c r="J68" s="38">
        <f t="shared" si="9"/>
        <v>0.264</v>
      </c>
      <c r="K68" s="70">
        <f t="shared" si="10"/>
        <v>0</v>
      </c>
      <c r="L68" s="70">
        <f t="shared" si="11"/>
        <v>0</v>
      </c>
      <c r="M68" s="70">
        <f t="shared" si="12"/>
        <v>0</v>
      </c>
      <c r="N68" s="70">
        <f t="shared" si="13"/>
        <v>0</v>
      </c>
      <c r="O68" s="70">
        <f t="shared" si="14"/>
        <v>0</v>
      </c>
      <c r="P68" s="70">
        <f t="shared" si="15"/>
        <v>0</v>
      </c>
      <c r="Q68" s="70">
        <f t="shared" si="16"/>
        <v>0</v>
      </c>
      <c r="R68" s="70">
        <f t="shared" si="17"/>
        <v>0</v>
      </c>
      <c r="S68" s="70">
        <f t="shared" si="18"/>
        <v>0</v>
      </c>
      <c r="T68" s="70"/>
      <c r="U68" s="90"/>
    </row>
    <row r="69" s="13" customFormat="1" ht="18" customHeight="1" spans="9:21">
      <c r="I69" s="81">
        <f t="shared" si="8"/>
        <v>0</v>
      </c>
      <c r="J69" s="38">
        <f t="shared" si="9"/>
        <v>0.265</v>
      </c>
      <c r="K69" s="70">
        <f t="shared" si="10"/>
        <v>0</v>
      </c>
      <c r="L69" s="70">
        <f t="shared" si="11"/>
        <v>0</v>
      </c>
      <c r="M69" s="70">
        <f t="shared" si="12"/>
        <v>0</v>
      </c>
      <c r="N69" s="70">
        <f t="shared" si="13"/>
        <v>0</v>
      </c>
      <c r="O69" s="70">
        <f t="shared" si="14"/>
        <v>0</v>
      </c>
      <c r="P69" s="70">
        <f t="shared" si="15"/>
        <v>0</v>
      </c>
      <c r="Q69" s="70">
        <f t="shared" si="16"/>
        <v>0</v>
      </c>
      <c r="R69" s="70">
        <f t="shared" si="17"/>
        <v>0</v>
      </c>
      <c r="S69" s="70">
        <f t="shared" si="18"/>
        <v>0</v>
      </c>
      <c r="T69" s="70"/>
      <c r="U69" s="90"/>
    </row>
    <row r="70" s="13" customFormat="1" ht="18" customHeight="1" spans="9:21">
      <c r="I70" s="81">
        <f t="shared" si="8"/>
        <v>0</v>
      </c>
      <c r="J70" s="38">
        <f t="shared" si="9"/>
        <v>0.266</v>
      </c>
      <c r="K70" s="70">
        <f t="shared" si="10"/>
        <v>0</v>
      </c>
      <c r="L70" s="70">
        <f t="shared" si="11"/>
        <v>0</v>
      </c>
      <c r="M70" s="70">
        <f t="shared" si="12"/>
        <v>0</v>
      </c>
      <c r="N70" s="70">
        <f t="shared" si="13"/>
        <v>0</v>
      </c>
      <c r="O70" s="70">
        <f t="shared" si="14"/>
        <v>0</v>
      </c>
      <c r="P70" s="70">
        <f t="shared" si="15"/>
        <v>0</v>
      </c>
      <c r="Q70" s="70">
        <f t="shared" si="16"/>
        <v>0</v>
      </c>
      <c r="R70" s="70">
        <f t="shared" si="17"/>
        <v>0</v>
      </c>
      <c r="S70" s="70">
        <f t="shared" si="18"/>
        <v>0</v>
      </c>
      <c r="T70" s="70"/>
      <c r="U70" s="90"/>
    </row>
    <row r="71" s="13" customFormat="1" ht="18" customHeight="1" spans="9:21">
      <c r="I71" s="97" t="s">
        <v>100</v>
      </c>
      <c r="J71" s="98"/>
      <c r="K71" s="99">
        <f t="shared" ref="K71:S71" si="19">SUM(K51:K70)</f>
        <v>3.34714243630059e-9</v>
      </c>
      <c r="L71" s="99">
        <f t="shared" si="19"/>
        <v>0.000381199860838798</v>
      </c>
      <c r="M71" s="99">
        <f t="shared" si="19"/>
        <v>0.0893073783036609</v>
      </c>
      <c r="N71" s="99">
        <f t="shared" si="19"/>
        <v>0.558094555475345</v>
      </c>
      <c r="O71" s="99">
        <f t="shared" si="19"/>
        <v>0.335336669099989</v>
      </c>
      <c r="P71" s="99">
        <f t="shared" si="19"/>
        <v>0.0168446356002521</v>
      </c>
      <c r="Q71" s="99">
        <f t="shared" si="19"/>
        <v>3.5558166375886e-5</v>
      </c>
      <c r="R71" s="99">
        <f t="shared" si="19"/>
        <v>1.4639548735902e-10</v>
      </c>
      <c r="S71" s="99">
        <f t="shared" si="19"/>
        <v>3.60909317561468e-19</v>
      </c>
      <c r="T71" s="99"/>
      <c r="U71" s="101">
        <f>SUM(K71:T71)</f>
        <v>1</v>
      </c>
    </row>
    <row r="72" ht="18" customHeight="1" spans="11:20">
      <c r="K72" s="67">
        <f>K50</f>
        <v>715</v>
      </c>
      <c r="L72" s="67">
        <f t="shared" ref="L72:T72" si="20">L50</f>
        <v>720</v>
      </c>
      <c r="M72" s="67">
        <f t="shared" si="20"/>
        <v>725</v>
      </c>
      <c r="N72" s="67">
        <f t="shared" si="20"/>
        <v>730</v>
      </c>
      <c r="O72" s="67">
        <f t="shared" si="20"/>
        <v>735</v>
      </c>
      <c r="P72" s="67">
        <f t="shared" si="20"/>
        <v>740</v>
      </c>
      <c r="Q72" s="67">
        <f t="shared" si="20"/>
        <v>745</v>
      </c>
      <c r="R72" s="67">
        <f t="shared" si="20"/>
        <v>750</v>
      </c>
      <c r="S72" s="67">
        <f t="shared" si="20"/>
        <v>755</v>
      </c>
      <c r="T72" s="67">
        <f t="shared" si="20"/>
        <v>760</v>
      </c>
    </row>
    <row r="73" ht="4.8" customHeight="1" spans="9:9">
      <c r="I73" s="100"/>
    </row>
    <row r="74" ht="4.8" customHeight="1" spans="9:9">
      <c r="I74" s="100"/>
    </row>
    <row r="75" ht="4.8" customHeight="1" spans="9:9">
      <c r="I75" s="100"/>
    </row>
    <row r="76" ht="26.4" customHeight="1" spans="1:15">
      <c r="A76" s="92" t="s">
        <v>101</v>
      </c>
      <c r="B76" s="93" t="s">
        <v>89</v>
      </c>
      <c r="C76" s="93" t="str">
        <f>C9</f>
        <v>芜湖</v>
      </c>
      <c r="D76" s="93" t="str">
        <f t="shared" ref="D76:O76" si="21">D9</f>
        <v>厂家2</v>
      </c>
      <c r="E76" s="93" t="str">
        <f t="shared" si="21"/>
        <v>厂家3</v>
      </c>
      <c r="F76" s="93" t="str">
        <f t="shared" si="21"/>
        <v>厂家4</v>
      </c>
      <c r="G76" s="93" t="str">
        <f t="shared" si="21"/>
        <v>厂家5</v>
      </c>
      <c r="H76" s="93" t="str">
        <f t="shared" si="21"/>
        <v>厂家6</v>
      </c>
      <c r="I76" s="93" t="str">
        <f t="shared" si="21"/>
        <v>厂家7</v>
      </c>
      <c r="J76" s="93" t="str">
        <f t="shared" si="21"/>
        <v>厂家8</v>
      </c>
      <c r="K76" s="93" t="str">
        <f t="shared" si="21"/>
        <v>厂家9</v>
      </c>
      <c r="L76" s="93" t="str">
        <f t="shared" si="21"/>
        <v>厂家10</v>
      </c>
      <c r="M76" s="93" t="str">
        <f t="shared" si="21"/>
        <v>厂家11</v>
      </c>
      <c r="N76" s="93" t="str">
        <f t="shared" si="21"/>
        <v>厂家12</v>
      </c>
      <c r="O76" s="93" t="str">
        <f t="shared" si="21"/>
        <v>厂家13</v>
      </c>
    </row>
    <row r="77" ht="17.4" customHeight="1" spans="1:15">
      <c r="A77" s="92"/>
      <c r="B77" s="94">
        <f>C29</f>
        <v>0.247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</row>
    <row r="78" ht="17.4" customHeight="1" spans="1:15">
      <c r="A78" s="92"/>
      <c r="B78" s="94">
        <f t="shared" ref="B78:B96" si="22">C30</f>
        <v>0.248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</row>
    <row r="79" ht="17.4" customHeight="1" spans="1:15">
      <c r="A79" s="92"/>
      <c r="B79" s="94">
        <f t="shared" si="22"/>
        <v>0.249</v>
      </c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</row>
    <row r="80" ht="17.4" customHeight="1" spans="1:15">
      <c r="A80" s="92"/>
      <c r="B80" s="94">
        <f t="shared" si="22"/>
        <v>0.25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</row>
    <row r="81" ht="17.4" customHeight="1" spans="1:15">
      <c r="A81" s="92"/>
      <c r="B81" s="94">
        <f t="shared" si="22"/>
        <v>0.251</v>
      </c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</row>
    <row r="82" ht="17.4" customHeight="1" spans="1:15">
      <c r="A82" s="92"/>
      <c r="B82" s="94">
        <f t="shared" si="22"/>
        <v>0.252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</row>
    <row r="83" ht="17.4" customHeight="1" spans="1:15">
      <c r="A83" s="92"/>
      <c r="B83" s="94">
        <f t="shared" si="22"/>
        <v>0.253</v>
      </c>
      <c r="C83" s="95">
        <v>0.0592672413793103</v>
      </c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</row>
    <row r="84" ht="17.4" customHeight="1" spans="1:15">
      <c r="A84" s="92"/>
      <c r="B84" s="94">
        <f t="shared" si="22"/>
        <v>0.254</v>
      </c>
      <c r="C84" s="95">
        <v>0.174568965517241</v>
      </c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</row>
    <row r="85" ht="17.4" customHeight="1" spans="1:15">
      <c r="A85" s="92"/>
      <c r="B85" s="94">
        <f t="shared" si="22"/>
        <v>0.255</v>
      </c>
      <c r="C85" s="95">
        <v>0.264008620689655</v>
      </c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</row>
    <row r="86" ht="17.4" customHeight="1" spans="1:15">
      <c r="A86" s="92"/>
      <c r="B86" s="94">
        <f t="shared" si="22"/>
        <v>0.256</v>
      </c>
      <c r="C86" s="95">
        <v>0.275862068965517</v>
      </c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</row>
    <row r="87" ht="17.4" customHeight="1" spans="1:15">
      <c r="A87" s="92"/>
      <c r="B87" s="94">
        <f t="shared" si="22"/>
        <v>0.257</v>
      </c>
      <c r="C87" s="95">
        <v>0.181034482758621</v>
      </c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</row>
    <row r="88" ht="17.4" customHeight="1" spans="1:15">
      <c r="A88" s="92"/>
      <c r="B88" s="94">
        <f t="shared" si="22"/>
        <v>0.258</v>
      </c>
      <c r="C88" s="95">
        <v>0.03125</v>
      </c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</row>
    <row r="89" ht="17.4" customHeight="1" spans="1:15">
      <c r="A89" s="92"/>
      <c r="B89" s="94">
        <f t="shared" si="22"/>
        <v>0.259</v>
      </c>
      <c r="C89" s="95">
        <v>0.0140086206896552</v>
      </c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</row>
    <row r="90" ht="17.4" customHeight="1" spans="1:15">
      <c r="A90" s="92"/>
      <c r="B90" s="94">
        <f t="shared" si="22"/>
        <v>0.26</v>
      </c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</row>
    <row r="91" ht="17.4" customHeight="1" spans="1:15">
      <c r="A91" s="92"/>
      <c r="B91" s="94">
        <f t="shared" si="22"/>
        <v>0.261</v>
      </c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</row>
    <row r="92" ht="17.4" customHeight="1" spans="1:15">
      <c r="A92" s="92"/>
      <c r="B92" s="94">
        <f t="shared" si="22"/>
        <v>0.262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</row>
    <row r="93" ht="17.4" customHeight="1" spans="1:15">
      <c r="A93" s="92"/>
      <c r="B93" s="94">
        <f t="shared" si="22"/>
        <v>0.263</v>
      </c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</row>
    <row r="94" ht="17.4" customHeight="1" spans="1:15">
      <c r="A94" s="92"/>
      <c r="B94" s="94">
        <f t="shared" si="22"/>
        <v>0.264</v>
      </c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</row>
    <row r="95" ht="17.4" customHeight="1" spans="1:15">
      <c r="A95" s="92"/>
      <c r="B95" s="94">
        <f t="shared" si="22"/>
        <v>0.265</v>
      </c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</row>
    <row r="96" ht="17.4" customHeight="1" spans="1:15">
      <c r="A96" s="92"/>
      <c r="B96" s="94">
        <f t="shared" si="22"/>
        <v>0.266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W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{752993be-d3b4-4944-b85d-b3d88997f3c9}</x14:id>
        </ext>
      </extLst>
    </cfRule>
  </conditionalFormatting>
  <conditionalFormatting sqref="D30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{df649025-e8ed-42c7-968d-afcd32b03213}</x14:id>
        </ext>
      </extLst>
    </cfRule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{19f59ceb-6d6f-4a84-ab85-a623dddc0a5b}</x14:id>
        </ext>
      </extLst>
    </cfRule>
  </conditionalFormatting>
  <conditionalFormatting sqref="D33:D44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{dbf77c79-e801-46c8-863a-62c4a606f375}</x14:id>
        </ext>
      </extLst>
    </cfRule>
  </conditionalFormatting>
  <conditionalFormatting sqref="D45:D48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{4d690795-3851-45d8-8130-99976c4f0707}</x14:id>
        </ext>
      </extLst>
    </cfRule>
    <cfRule type="dataBar" priority="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{f03a9ba0-aca1-4719-877e-c45d19d5d3c8}</x14:id>
        </ext>
      </extLst>
    </cfRule>
  </conditionalFormatting>
  <conditionalFormatting sqref="D49:D50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{820cce9a-b874-4781-af67-cedcf3fe9de0}</x14:id>
        </ext>
      </extLst>
    </cfRule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{a6bb3897-8660-4700-8d8e-0e2f55f6d136}</x14:id>
        </ext>
      </extLst>
    </cfRule>
  </conditionalFormatting>
  <conditionalFormatting sqref="D29:D32 D45:D48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{24a9467f-6297-4a94-8c4b-a6d7294a7e46}</x14:id>
        </ext>
      </extLst>
    </cfRule>
  </conditionalFormatting>
  <conditionalFormatting sqref="K29:R4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{ef18b719-4818-461b-b948-c5b26ba5415b}</x14:id>
        </ext>
      </extLst>
    </cfRule>
  </conditionalFormatting>
  <conditionalFormatting sqref="K29:T48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{86fa181e-cfac-4266-9a5f-49086d7c0df9}</x14:id>
        </ext>
      </extLst>
    </cfRule>
  </conditionalFormatting>
  <conditionalFormatting sqref="K29:S48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{42347c7c-f2b4-4ed1-a699-f9a953657b94}</x14:id>
        </ext>
      </extLst>
    </cfRule>
  </conditionalFormatting>
  <conditionalFormatting sqref="M29:O30 O35 N31:O34 M31:M48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{b3ceefe6-9149-4581-825f-5718811142ab}</x14:id>
        </ext>
      </extLst>
    </cfRule>
    <cfRule type="colorScale" priority="20">
      <colorScale>
        <cfvo type="percent" val="0"/>
        <cfvo type="percent" val="0"/>
        <color theme="0"/>
        <color theme="0"/>
      </colorScale>
    </cfRule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{48324cc5-5a60-44dd-895a-3fbfc5331865}</x14:id>
        </ext>
      </extLst>
    </cfRule>
    <cfRule type="dataBar" priority="2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{4bd8c13b-d586-4109-a089-36e85e386031}</x14:id>
        </ext>
      </extLst>
    </cfRule>
    <cfRule type="dataBar" priority="2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{57ad7dc3-85d9-4240-bf0d-4706f57dbe2e}</x14:id>
        </ext>
      </extLst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{11e224a5-61e7-4c52-928f-4231578db047}</x14:id>
        </ext>
      </extLst>
    </cfRule>
  </conditionalFormatting>
  <conditionalFormatting sqref="P29:R35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{5b6b64bc-03bb-49d4-8216-c5e993683317}</x14:id>
        </ext>
      </extLst>
    </cfRule>
    <cfRule type="colorScale" priority="13">
      <colorScale>
        <cfvo type="percent" val="0"/>
        <cfvo type="percent" val="0"/>
        <color theme="0"/>
        <color theme="0"/>
      </colorScale>
    </cfRule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{9092ea4a-4a6f-4300-bf2b-f0472e67bb19}</x14:id>
        </ext>
      </extLst>
    </cfRule>
    <cfRule type="dataBar" priority="1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{4da00067-61e3-43ec-b3d9-8810d6acef11}</x14:id>
        </ext>
      </extLst>
    </cfRule>
    <cfRule type="dataBar" priority="1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{59eec430-b0fd-412f-8330-ca27c56ca9b7}</x14:id>
        </ext>
      </extLst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{e91f6644-0f3f-4853-9542-5e18a0b04b2b}</x14:id>
        </ext>
      </extLst>
    </cfRule>
  </conditionalFormatting>
  <conditionalFormatting sqref="S29:T48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{ef6c2493-a3f2-438a-94ba-07b2995bae19}</x14:id>
        </ext>
      </extLst>
    </cfRule>
    <cfRule type="dataBar" priority="3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{0e0bf41f-1e19-450b-a26d-defa3a3f654d}</x14:id>
        </ext>
      </extLst>
    </cfRule>
    <cfRule type="colorScale" priority="34">
      <colorScale>
        <cfvo type="percent" val="0"/>
        <cfvo type="percent" val="0"/>
        <color theme="0"/>
        <color theme="0"/>
      </colorScale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{8241c29a-1bd1-41a6-81b3-aa1e7c1261d1}</x14:id>
        </ext>
      </extLst>
    </cfRule>
    <cfRule type="dataBar" priority="3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{4df01acf-2431-401b-9da2-67c24f8c6e96}</x14:id>
        </ext>
      </extLst>
    </cfRule>
    <cfRule type="dataBar" priority="3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{93e3fcc1-7ae2-4a71-94a9-840fa62a36d8}</x14:id>
        </ext>
      </extLst>
    </cfRule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{2e2cfd7b-ecb6-4c0f-8856-d565c69ab3bf}</x14:id>
        </ext>
      </extLst>
    </cfRule>
  </conditionalFormatting>
  <conditionalFormatting sqref="P36:R48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{f9cf9630-b903-4080-98d4-a464f334137f}</x14:id>
        </ext>
      </extLst>
    </cfRule>
    <cfRule type="colorScale" priority="26">
      <colorScale>
        <cfvo type="percent" val="0"/>
        <cfvo type="percent" val="0"/>
        <color theme="0"/>
        <color theme="0"/>
      </colorScale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{c8c2a38a-7456-46ff-95ff-7240971b7e85}</x14:id>
        </ext>
      </extLst>
    </cfRule>
    <cfRule type="dataBar" priority="2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{ba4e4731-f409-4f74-b8e9-47cd0b810a56}</x14:id>
        </ext>
      </extLst>
    </cfRule>
    <cfRule type="dataBar" priority="2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{1c44abe3-d438-442a-bdf5-dd9f45062c2a}</x14:id>
        </ext>
      </extLst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{ab5c9720-33f4-482b-bd29-9a9401c60368}</x14:id>
        </ext>
      </extLst>
    </cfRule>
  </conditionalFormatting>
  <conditionalFormatting sqref="C77:O9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{6cdc77bf-d4c4-4fbc-9ab2-c99f329fc417}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2993be-d3b4-4944-b85d-b3d88997f3c9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df649025-e8ed-42c7-968d-afcd32b032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f59ceb-6d6f-4a84-ab85-a623dddc0a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dbf77c79-e801-46c8-863a-62c4a606f3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4d690795-3851-45d8-8130-99976c4f070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03a9ba0-aca1-4719-877e-c45d19d5d3c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820cce9a-b874-4781-af67-cedcf3fe9d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bb3897-8660-4700-8d8e-0e2f55f6d13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24a9467f-6297-4a94-8c4b-a6d7294a7e4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ef18b719-4818-461b-b948-c5b26ba541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86fa181e-cfac-4266-9a5f-49086d7c0d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K29:T48</xm:sqref>
        </x14:conditionalFormatting>
        <x14:conditionalFormatting xmlns:xm="http://schemas.microsoft.com/office/excel/2006/main">
          <x14:cfRule type="dataBar" id="{42347c7c-f2b4-4ed1-a699-f9a953657b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K29:S48</xm:sqref>
        </x14:conditionalFormatting>
        <x14:conditionalFormatting xmlns:xm="http://schemas.microsoft.com/office/excel/2006/main">
          <x14:cfRule type="dataBar" id="{b3ceefe6-9149-4581-825f-5718811142a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48324cc5-5a60-44dd-895a-3fbfc533186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bd8c13b-d586-4109-a089-36e85e38603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7ad7dc3-85d9-4240-bf0d-4706f57dbe2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1e224a5-61e7-4c52-928f-4231578db04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5b6b64bc-03bb-49d4-8216-c5e99368331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9092ea4a-4a6f-4300-bf2b-f0472e67bb19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da00067-61e3-43ec-b3d9-8810d6acef1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59eec430-b0fd-412f-8330-ca27c56ca9b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91f6644-0f3f-4853-9542-5e18a0b04b2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ef6c2493-a3f2-438a-94ba-07b2995bae1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14:cfRule type="dataBar" id="{0e0bf41f-1e19-450b-a26d-defa3a3f654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8241c29a-1bd1-41a6-81b3-aa1e7c1261d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df01acf-2431-401b-9da2-67c24f8c6e9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93e3fcc1-7ae2-4a71-94a9-840fa62a36d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e2cfd7b-ecb6-4c0f-8856-d565c69ab3b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S29:T48</xm:sqref>
        </x14:conditionalFormatting>
        <x14:conditionalFormatting xmlns:xm="http://schemas.microsoft.com/office/excel/2006/main">
          <x14:cfRule type="dataBar" id="{f9cf9630-b903-4080-98d4-a464f334137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c8c2a38a-7456-46ff-95ff-7240971b7e8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a4e4731-f409-4f74-b8e9-47cd0b810a5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c44abe3-d438-442a-bdf5-dd9f45062c2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b5c9720-33f4-482b-bd29-9a9401c60368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6cdc77bf-d4c4-4fbc-9ab2-c99f329fc4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C77:O96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tabColor theme="8" tint="-0.249977111117893"/>
  </sheetPr>
  <dimension ref="A1:Y96"/>
  <sheetViews>
    <sheetView showGridLines="0" zoomScale="70" zoomScaleNormal="70" topLeftCell="A7" workbookViewId="0">
      <selection activeCell="Q37" sqref="Q37"/>
    </sheetView>
  </sheetViews>
  <sheetFormatPr defaultColWidth="8.44444444444444" defaultRowHeight="13.2"/>
  <cols>
    <col min="1" max="19" width="10.5555555555556" style="16" customWidth="1"/>
    <col min="20" max="16384" width="8.44444444444444" style="16"/>
  </cols>
  <sheetData>
    <row r="1" s="12" customFormat="1" ht="40.8" customHeight="1" spans="1:19">
      <c r="A1" s="17" t="s">
        <v>150</v>
      </c>
      <c r="B1" s="17"/>
      <c r="C1" s="17"/>
      <c r="D1" s="17"/>
      <c r="E1" s="17"/>
      <c r="F1" s="17"/>
      <c r="G1" s="18" t="s">
        <v>151</v>
      </c>
      <c r="H1" s="18"/>
      <c r="I1" s="18"/>
      <c r="J1" s="18">
        <v>459.2</v>
      </c>
      <c r="K1" s="58" t="s">
        <v>2</v>
      </c>
      <c r="L1" s="58" t="s">
        <v>3</v>
      </c>
      <c r="M1" s="58"/>
      <c r="N1" s="58"/>
      <c r="O1" s="58"/>
      <c r="Q1" s="82"/>
      <c r="R1" s="82"/>
      <c r="S1" s="82"/>
    </row>
    <row r="2" ht="1.95" customHeight="1" spans="8:19">
      <c r="H2" s="19"/>
      <c r="P2" s="12"/>
      <c r="Q2" s="82"/>
      <c r="R2" s="82"/>
      <c r="S2" s="82"/>
    </row>
    <row r="3" s="13" customFormat="1" ht="21.9" customHeight="1" spans="1:25">
      <c r="A3" s="20" t="s">
        <v>4</v>
      </c>
      <c r="B3" s="20">
        <v>0</v>
      </c>
      <c r="C3" s="21">
        <v>0.26</v>
      </c>
      <c r="D3" s="10" t="s">
        <v>152</v>
      </c>
      <c r="E3" s="10" t="s">
        <v>115</v>
      </c>
      <c r="F3" s="10" t="s">
        <v>46</v>
      </c>
      <c r="G3" s="10" t="s">
        <v>5</v>
      </c>
      <c r="H3" s="10" t="s">
        <v>6</v>
      </c>
      <c r="I3" s="10" t="s">
        <v>7</v>
      </c>
      <c r="J3" s="10" t="s">
        <v>8</v>
      </c>
      <c r="K3" s="10" t="s">
        <v>9</v>
      </c>
      <c r="L3" s="10" t="s">
        <v>10</v>
      </c>
      <c r="M3" s="10" t="s">
        <v>11</v>
      </c>
      <c r="N3" s="10" t="s">
        <v>12</v>
      </c>
      <c r="O3" s="10" t="s">
        <v>13</v>
      </c>
      <c r="P3" s="59"/>
      <c r="Q3" s="83"/>
      <c r="R3" s="83"/>
      <c r="S3" s="83"/>
      <c r="T3" s="84"/>
      <c r="U3" s="84"/>
      <c r="V3" s="84"/>
      <c r="W3" s="84"/>
      <c r="X3" s="84"/>
      <c r="Y3" s="84"/>
    </row>
    <row r="4" s="13" customFormat="1" ht="21.9" customHeight="1" spans="1:25">
      <c r="A4" s="20"/>
      <c r="B4" s="20"/>
      <c r="C4" s="21">
        <v>0</v>
      </c>
      <c r="D4" s="11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59"/>
      <c r="Q4" s="83"/>
      <c r="R4" s="83"/>
      <c r="S4" s="83"/>
      <c r="T4" s="84"/>
      <c r="U4" s="84"/>
      <c r="V4" s="84"/>
      <c r="W4" s="84"/>
      <c r="X4" s="84"/>
      <c r="Y4" s="84"/>
    </row>
    <row r="5" ht="1.95" customHeight="1" spans="16:19">
      <c r="P5" s="12"/>
      <c r="Q5" s="82"/>
      <c r="R5" s="82"/>
      <c r="S5" s="82"/>
    </row>
    <row r="6" s="13" customFormat="1" ht="24.6" customHeight="1" spans="1:25">
      <c r="A6" s="20" t="s">
        <v>15</v>
      </c>
      <c r="B6" s="20">
        <v>0</v>
      </c>
      <c r="C6" s="22" t="s">
        <v>18</v>
      </c>
      <c r="D6" s="23" t="s">
        <v>153</v>
      </c>
      <c r="E6" s="23" t="s">
        <v>154</v>
      </c>
      <c r="F6" s="23" t="s">
        <v>155</v>
      </c>
      <c r="G6" s="23" t="s">
        <v>120</v>
      </c>
      <c r="H6" s="23" t="s">
        <v>121</v>
      </c>
      <c r="I6" s="23" t="s">
        <v>122</v>
      </c>
      <c r="J6" s="23" t="s">
        <v>22</v>
      </c>
      <c r="K6" s="23" t="s">
        <v>23</v>
      </c>
      <c r="L6" s="23" t="s">
        <v>24</v>
      </c>
      <c r="M6" s="23" t="s">
        <v>25</v>
      </c>
      <c r="N6" s="23" t="s">
        <v>26</v>
      </c>
      <c r="O6" s="23" t="s">
        <v>27</v>
      </c>
      <c r="P6" s="106" t="s">
        <v>156</v>
      </c>
      <c r="Q6" s="83"/>
      <c r="R6" s="83"/>
      <c r="S6" s="83"/>
      <c r="T6" s="84"/>
      <c r="U6" s="84"/>
      <c r="V6" s="84"/>
      <c r="W6" s="84"/>
      <c r="X6" s="84"/>
      <c r="Y6" s="84"/>
    </row>
    <row r="7" s="13" customFormat="1" ht="24.6" customHeight="1" spans="1:25">
      <c r="A7" s="20"/>
      <c r="B7" s="20"/>
      <c r="C7" s="21">
        <v>0</v>
      </c>
      <c r="D7" s="10">
        <v>2.5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59"/>
      <c r="Q7" s="83"/>
      <c r="R7" s="83"/>
      <c r="S7" s="83"/>
      <c r="T7" s="84"/>
      <c r="U7" s="84"/>
      <c r="V7" s="84"/>
      <c r="W7" s="84"/>
      <c r="X7" s="84"/>
      <c r="Y7" s="84"/>
    </row>
    <row r="8" ht="1.95" customHeight="1" spans="16:19">
      <c r="P8" s="12"/>
      <c r="Q8" s="82"/>
      <c r="R8" s="82"/>
      <c r="S8" s="82"/>
    </row>
    <row r="9" s="13" customFormat="1" ht="22.2" customHeight="1" spans="1:25">
      <c r="A9" s="20" t="s">
        <v>29</v>
      </c>
      <c r="B9" s="20">
        <v>0</v>
      </c>
      <c r="C9" s="24" t="s">
        <v>123</v>
      </c>
      <c r="D9" s="10" t="s">
        <v>124</v>
      </c>
      <c r="E9" s="10" t="s">
        <v>125</v>
      </c>
      <c r="F9" s="10" t="s">
        <v>140</v>
      </c>
      <c r="G9" s="10" t="s">
        <v>141</v>
      </c>
      <c r="H9" s="10" t="s">
        <v>142</v>
      </c>
      <c r="I9" s="10" t="s">
        <v>143</v>
      </c>
      <c r="J9" s="10" t="s">
        <v>144</v>
      </c>
      <c r="K9" s="10" t="s">
        <v>145</v>
      </c>
      <c r="L9" s="10" t="s">
        <v>128</v>
      </c>
      <c r="M9" s="10" t="s">
        <v>129</v>
      </c>
      <c r="N9" s="10" t="s">
        <v>40</v>
      </c>
      <c r="O9" s="10" t="s">
        <v>41</v>
      </c>
      <c r="P9" s="60"/>
      <c r="Q9" s="84"/>
      <c r="R9" s="84"/>
      <c r="S9" s="84"/>
      <c r="T9" s="84"/>
      <c r="U9" s="84"/>
      <c r="V9" s="84"/>
      <c r="W9" s="84"/>
      <c r="X9" s="84"/>
      <c r="Y9" s="84"/>
    </row>
    <row r="10" s="13" customFormat="1" ht="22.2" customHeight="1" spans="1:25">
      <c r="A10" s="20"/>
      <c r="B10" s="20"/>
      <c r="C10" s="24">
        <v>0</v>
      </c>
      <c r="D10" s="10">
        <v>0</v>
      </c>
      <c r="E10" s="10">
        <v>0</v>
      </c>
      <c r="F10" s="25"/>
      <c r="G10" s="25"/>
      <c r="H10" s="25"/>
      <c r="I10" s="25"/>
      <c r="J10" s="25"/>
      <c r="K10" s="61"/>
      <c r="L10" s="25"/>
      <c r="M10" s="25"/>
      <c r="N10" s="25"/>
      <c r="O10" s="25"/>
      <c r="P10" s="59"/>
      <c r="Q10" s="85"/>
      <c r="R10" s="85"/>
      <c r="S10" s="85"/>
      <c r="T10" s="85"/>
      <c r="U10" s="85"/>
      <c r="V10" s="84"/>
      <c r="W10" s="84"/>
      <c r="X10" s="84"/>
      <c r="Y10" s="84"/>
    </row>
    <row r="11" ht="1.95" customHeight="1" spans="16:19">
      <c r="P11" s="12"/>
      <c r="Q11" s="82"/>
      <c r="R11" s="82"/>
      <c r="S11" s="82"/>
    </row>
    <row r="12" s="13" customFormat="1" ht="25.2" customHeight="1" spans="1:25">
      <c r="A12" s="20" t="s">
        <v>43</v>
      </c>
      <c r="B12" s="20">
        <v>0</v>
      </c>
      <c r="C12" s="21" t="s">
        <v>114</v>
      </c>
      <c r="D12" s="26" t="s">
        <v>152</v>
      </c>
      <c r="E12" s="26" t="s">
        <v>115</v>
      </c>
      <c r="F12" s="10" t="s">
        <v>46</v>
      </c>
      <c r="G12" s="10" t="s">
        <v>5</v>
      </c>
      <c r="H12" s="10" t="s">
        <v>6</v>
      </c>
      <c r="I12" s="10" t="s">
        <v>7</v>
      </c>
      <c r="J12" s="10" t="s">
        <v>8</v>
      </c>
      <c r="K12" s="10" t="s">
        <v>9</v>
      </c>
      <c r="L12" s="10" t="s">
        <v>10</v>
      </c>
      <c r="M12" s="10" t="s">
        <v>11</v>
      </c>
      <c r="N12" s="10" t="s">
        <v>12</v>
      </c>
      <c r="O12" s="10" t="s">
        <v>13</v>
      </c>
      <c r="P12" s="62"/>
      <c r="Q12" s="83"/>
      <c r="R12" s="83"/>
      <c r="S12" s="83"/>
      <c r="T12" s="84"/>
      <c r="U12" s="84"/>
      <c r="V12" s="84"/>
      <c r="W12" s="84"/>
      <c r="X12" s="84"/>
      <c r="Y12" s="84"/>
    </row>
    <row r="13" s="13" customFormat="1" ht="21.9" customHeight="1" spans="1:25">
      <c r="A13" s="20"/>
      <c r="B13" s="20"/>
      <c r="C13" s="21">
        <v>0</v>
      </c>
      <c r="D13" s="26"/>
      <c r="E13" s="26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59"/>
      <c r="Q13" s="83"/>
      <c r="R13" s="83"/>
      <c r="S13" s="83"/>
      <c r="T13" s="84"/>
      <c r="U13" s="84"/>
      <c r="V13" s="84"/>
      <c r="W13" s="84"/>
      <c r="X13" s="84"/>
      <c r="Y13" s="84"/>
    </row>
    <row r="14" s="13" customFormat="1" ht="21.9" customHeight="1" spans="1:25">
      <c r="A14" s="20" t="s">
        <v>47</v>
      </c>
      <c r="B14" s="20">
        <v>38184</v>
      </c>
      <c r="C14" s="21">
        <v>38184</v>
      </c>
      <c r="D14" s="26"/>
      <c r="E14" s="26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59"/>
      <c r="Q14" s="83"/>
      <c r="R14" s="83"/>
      <c r="S14" s="83"/>
      <c r="T14" s="84"/>
      <c r="U14" s="84"/>
      <c r="V14" s="84"/>
      <c r="W14" s="84"/>
      <c r="X14" s="84"/>
      <c r="Y14" s="84"/>
    </row>
    <row r="15" s="13" customFormat="1" ht="21.9" customHeight="1" spans="1:25">
      <c r="A15" s="20" t="s">
        <v>48</v>
      </c>
      <c r="B15" s="20">
        <v>1</v>
      </c>
      <c r="C15" s="21">
        <v>1</v>
      </c>
      <c r="D15" s="26"/>
      <c r="E15" s="26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9"/>
      <c r="Q15" s="83"/>
      <c r="R15" s="83"/>
      <c r="S15" s="83"/>
      <c r="T15" s="84"/>
      <c r="U15" s="84"/>
      <c r="V15" s="84"/>
      <c r="W15" s="84"/>
      <c r="X15" s="84"/>
      <c r="Y15" s="84"/>
    </row>
    <row r="16" ht="1.95" customHeight="1" spans="16:19">
      <c r="P16" s="12"/>
      <c r="Q16" s="82"/>
      <c r="R16" s="82"/>
      <c r="S16" s="82"/>
    </row>
    <row r="17" s="13" customFormat="1" ht="36" customHeight="1" spans="1:25">
      <c r="A17" s="20" t="s">
        <v>49</v>
      </c>
      <c r="B17" s="27">
        <v>0</v>
      </c>
      <c r="C17" s="28" t="s">
        <v>50</v>
      </c>
      <c r="D17" s="29" t="s">
        <v>51</v>
      </c>
      <c r="E17" s="29" t="s">
        <v>52</v>
      </c>
      <c r="F17" s="29" t="s">
        <v>53</v>
      </c>
      <c r="G17" s="29" t="s">
        <v>54</v>
      </c>
      <c r="H17" s="29" t="s">
        <v>55</v>
      </c>
      <c r="I17" s="29" t="s">
        <v>56</v>
      </c>
      <c r="J17" s="29" t="s">
        <v>57</v>
      </c>
      <c r="K17" s="29" t="s">
        <v>9</v>
      </c>
      <c r="L17" s="29" t="s">
        <v>10</v>
      </c>
      <c r="M17" s="29" t="s">
        <v>11</v>
      </c>
      <c r="N17" s="29" t="s">
        <v>12</v>
      </c>
      <c r="O17" s="29" t="s">
        <v>13</v>
      </c>
      <c r="P17" s="59"/>
      <c r="Q17" s="83"/>
      <c r="R17" s="83"/>
      <c r="S17" s="84"/>
      <c r="T17" s="84"/>
      <c r="U17" s="84"/>
      <c r="V17" s="84"/>
      <c r="W17" s="84"/>
      <c r="X17" s="84"/>
      <c r="Y17" s="84"/>
    </row>
    <row r="18" s="13" customFormat="1" ht="21.9" customHeight="1" spans="1:25">
      <c r="A18" s="20"/>
      <c r="B18" s="30"/>
      <c r="C18" s="24">
        <v>0</v>
      </c>
      <c r="D18" s="10">
        <v>-0.2</v>
      </c>
      <c r="E18" s="10">
        <v>-2.2</v>
      </c>
      <c r="F18" s="10">
        <v>-2.8</v>
      </c>
      <c r="G18" s="10">
        <v>0.2</v>
      </c>
      <c r="H18" s="10">
        <v>0.15</v>
      </c>
      <c r="I18" s="10">
        <v>-1.4</v>
      </c>
      <c r="J18" s="10">
        <v>-1.8</v>
      </c>
      <c r="K18" s="10"/>
      <c r="L18" s="10"/>
      <c r="M18" s="10"/>
      <c r="N18" s="10"/>
      <c r="O18" s="10"/>
      <c r="P18" s="59"/>
      <c r="Q18" s="83"/>
      <c r="R18" s="83"/>
      <c r="S18" s="84"/>
      <c r="T18" s="84"/>
      <c r="U18" s="84"/>
      <c r="V18" s="84"/>
      <c r="W18" s="84"/>
      <c r="X18" s="84"/>
      <c r="Y18" s="84"/>
    </row>
    <row r="19" ht="2.1" customHeight="1" spans="16:19">
      <c r="P19" s="12"/>
      <c r="Q19" s="82"/>
      <c r="R19" s="82"/>
      <c r="S19" s="82"/>
    </row>
    <row r="20" s="13" customFormat="1" ht="34.8" customHeight="1" spans="1:25">
      <c r="A20" s="20" t="s">
        <v>58</v>
      </c>
      <c r="B20" s="20">
        <v>0.4</v>
      </c>
      <c r="C20" s="23" t="s">
        <v>59</v>
      </c>
      <c r="D20" s="32" t="s">
        <v>60</v>
      </c>
      <c r="E20" s="23" t="s">
        <v>61</v>
      </c>
      <c r="F20" s="23" t="s">
        <v>62</v>
      </c>
      <c r="G20" s="23" t="s">
        <v>63</v>
      </c>
      <c r="H20" s="23" t="s">
        <v>64</v>
      </c>
      <c r="I20" s="23" t="s">
        <v>65</v>
      </c>
      <c r="J20" s="10" t="s">
        <v>157</v>
      </c>
      <c r="K20" s="10" t="s">
        <v>66</v>
      </c>
      <c r="L20" s="10" t="s">
        <v>67</v>
      </c>
      <c r="M20" s="10" t="s">
        <v>68</v>
      </c>
      <c r="N20" s="10" t="s">
        <v>69</v>
      </c>
      <c r="O20" s="10" t="s">
        <v>70</v>
      </c>
      <c r="P20" s="60"/>
      <c r="Q20" s="83"/>
      <c r="R20" s="83"/>
      <c r="S20" s="83"/>
      <c r="T20" s="84"/>
      <c r="U20" s="84"/>
      <c r="V20" s="84"/>
      <c r="W20" s="84"/>
      <c r="X20" s="84"/>
      <c r="Y20" s="84"/>
    </row>
    <row r="21" s="13" customFormat="1" ht="21.6" customHeight="1" spans="1:25">
      <c r="A21" s="20"/>
      <c r="B21" s="20"/>
      <c r="C21" s="10">
        <v>0</v>
      </c>
      <c r="D21" s="24">
        <v>0.4</v>
      </c>
      <c r="E21" s="10">
        <v>0.9</v>
      </c>
      <c r="F21" s="10">
        <v>1.2</v>
      </c>
      <c r="G21" s="10">
        <v>1.5</v>
      </c>
      <c r="H21" s="10">
        <v>0.2</v>
      </c>
      <c r="I21" s="10">
        <v>0.5</v>
      </c>
      <c r="J21" s="10"/>
      <c r="K21" s="10"/>
      <c r="L21" s="10"/>
      <c r="M21" s="10"/>
      <c r="N21" s="10"/>
      <c r="O21" s="10"/>
      <c r="P21" s="63"/>
      <c r="Q21" s="86"/>
      <c r="R21" s="86"/>
      <c r="S21" s="86"/>
      <c r="T21" s="87"/>
      <c r="U21" s="84"/>
      <c r="V21" s="84"/>
      <c r="W21" s="84"/>
      <c r="X21" s="84"/>
      <c r="Y21" s="84"/>
    </row>
    <row r="22" ht="2.1" customHeight="1" spans="16:19">
      <c r="P22" s="12"/>
      <c r="Q22" s="82"/>
      <c r="R22" s="82"/>
      <c r="S22" s="82"/>
    </row>
    <row r="23" s="13" customFormat="1" ht="21.6" hidden="1" customHeight="1" spans="1:23">
      <c r="A23" s="20" t="s">
        <v>105</v>
      </c>
      <c r="B23" s="20">
        <v>0</v>
      </c>
      <c r="C23" s="22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60"/>
      <c r="Q23" s="83"/>
      <c r="R23" s="83"/>
      <c r="S23" s="83"/>
      <c r="T23" s="84"/>
      <c r="U23" s="84"/>
      <c r="V23" s="84"/>
      <c r="W23" s="84"/>
    </row>
    <row r="24" s="13" customFormat="1" ht="21.6" hidden="1" customHeight="1" spans="1:23">
      <c r="A24" s="20"/>
      <c r="B24" s="20"/>
      <c r="C24" s="21"/>
      <c r="D24" s="10"/>
      <c r="E24" s="10"/>
      <c r="F24" s="10"/>
      <c r="G24" s="31"/>
      <c r="H24" s="31"/>
      <c r="I24" s="10"/>
      <c r="J24" s="10"/>
      <c r="K24" s="10"/>
      <c r="L24" s="10"/>
      <c r="M24" s="10"/>
      <c r="N24" s="10"/>
      <c r="O24" s="10"/>
      <c r="P24" s="64"/>
      <c r="Q24" s="88"/>
      <c r="R24" s="88"/>
      <c r="S24" s="88"/>
      <c r="T24" s="84"/>
      <c r="U24" s="84"/>
      <c r="V24" s="84"/>
      <c r="W24" s="84"/>
    </row>
    <row r="25" ht="2.1" hidden="1" customHeight="1" spans="16:19">
      <c r="P25" s="12"/>
      <c r="Q25" s="82"/>
      <c r="R25" s="82"/>
      <c r="S25" s="82"/>
    </row>
    <row r="26" s="13" customFormat="1" ht="21.6" customHeight="1" spans="1:25">
      <c r="A26" s="20" t="s">
        <v>73</v>
      </c>
      <c r="B26" s="20">
        <v>-2</v>
      </c>
      <c r="C26" s="23" t="s">
        <v>75</v>
      </c>
      <c r="D26" s="32" t="s">
        <v>74</v>
      </c>
      <c r="E26" s="23" t="s">
        <v>158</v>
      </c>
      <c r="F26" s="23" t="s">
        <v>159</v>
      </c>
      <c r="G26" s="23" t="s">
        <v>77</v>
      </c>
      <c r="H26" s="23" t="s">
        <v>78</v>
      </c>
      <c r="I26" s="23" t="s">
        <v>79</v>
      </c>
      <c r="J26" s="23" t="s">
        <v>80</v>
      </c>
      <c r="K26" s="23" t="s">
        <v>81</v>
      </c>
      <c r="L26" s="23" t="s">
        <v>82</v>
      </c>
      <c r="M26" s="23" t="s">
        <v>83</v>
      </c>
      <c r="N26" s="23" t="s">
        <v>84</v>
      </c>
      <c r="O26" s="23" t="s">
        <v>85</v>
      </c>
      <c r="P26" s="65"/>
      <c r="Q26" s="83"/>
      <c r="R26" s="83"/>
      <c r="S26" s="83"/>
      <c r="T26" s="84"/>
      <c r="U26" s="84"/>
      <c r="V26" s="84"/>
      <c r="W26" s="84"/>
      <c r="X26" s="84"/>
      <c r="Y26" s="84"/>
    </row>
    <row r="27" s="13" customFormat="1" ht="21.6" customHeight="1" spans="1:25">
      <c r="A27" s="20"/>
      <c r="B27" s="20"/>
      <c r="C27" s="34">
        <v>-2.23</v>
      </c>
      <c r="D27" s="33">
        <v>-2</v>
      </c>
      <c r="E27" s="84"/>
      <c r="F27" s="34"/>
      <c r="G27" s="35"/>
      <c r="H27" s="35"/>
      <c r="I27" s="34"/>
      <c r="J27" s="34"/>
      <c r="K27" s="34"/>
      <c r="L27" s="34"/>
      <c r="M27" s="34"/>
      <c r="N27" s="34"/>
      <c r="O27" s="34"/>
      <c r="P27" s="64"/>
      <c r="Q27" s="88"/>
      <c r="R27" s="88"/>
      <c r="S27" s="88"/>
      <c r="T27" s="84"/>
      <c r="U27" s="84"/>
      <c r="V27" s="84"/>
      <c r="W27" s="84"/>
      <c r="X27" s="84"/>
      <c r="Y27" s="84"/>
    </row>
    <row r="28" s="14" customFormat="1" ht="22.2" customHeight="1" spans="1:19">
      <c r="A28" s="36" t="s">
        <v>87</v>
      </c>
      <c r="B28" s="36" t="s">
        <v>88</v>
      </c>
      <c r="C28" s="36" t="s">
        <v>89</v>
      </c>
      <c r="D28" s="36" t="s">
        <v>90</v>
      </c>
      <c r="E28" s="36">
        <v>33081</v>
      </c>
      <c r="F28" s="36" t="s">
        <v>91</v>
      </c>
      <c r="G28" s="36" t="s">
        <v>92</v>
      </c>
      <c r="H28" s="36" t="s">
        <v>93</v>
      </c>
      <c r="I28" s="36" t="s">
        <v>94</v>
      </c>
      <c r="J28" s="66" t="s">
        <v>95</v>
      </c>
      <c r="K28" s="67">
        <v>440</v>
      </c>
      <c r="L28" s="67">
        <v>445</v>
      </c>
      <c r="M28" s="67">
        <v>450</v>
      </c>
      <c r="N28" s="67">
        <v>455</v>
      </c>
      <c r="O28" s="67">
        <v>460</v>
      </c>
      <c r="P28" s="67">
        <v>465</v>
      </c>
      <c r="Q28" s="67">
        <v>470</v>
      </c>
      <c r="R28" s="67">
        <v>475</v>
      </c>
      <c r="S28" s="89" t="s">
        <v>96</v>
      </c>
    </row>
    <row r="29" s="13" customFormat="1" ht="18" customHeight="1" spans="1:19">
      <c r="A29" s="37" t="s">
        <v>160</v>
      </c>
      <c r="B29" s="37" t="s">
        <v>98</v>
      </c>
      <c r="C29" s="38">
        <v>0.253</v>
      </c>
      <c r="D29" s="39"/>
      <c r="E29" s="40">
        <v>38184</v>
      </c>
      <c r="F29" s="41">
        <f t="shared" ref="F29:F48" si="0">C29*E29/1000</f>
        <v>9.660552</v>
      </c>
      <c r="G29" s="41">
        <f>F29*48</f>
        <v>463.706496</v>
      </c>
      <c r="H29" s="42">
        <f>I29/G29</f>
        <v>0.970762588169564</v>
      </c>
      <c r="I29" s="68">
        <f>G29*(H30+0.15%)</f>
        <v>450.148918208</v>
      </c>
      <c r="J29" s="68"/>
      <c r="K29" s="69">
        <f>(NORMSDIST((I29-$K$28)/B15)-NORMSDIST((I29-$L$28)/B15))</f>
        <v>1.30996544167594e-7</v>
      </c>
      <c r="L29" s="69">
        <f>(NORMSDIST((I29-$L$28)/B15)-NORMSDIST((I29-$M$28)/B15))</f>
        <v>0.440808955759984</v>
      </c>
      <c r="M29" s="70">
        <f>(NORMSDIST((I29-$M$28)/B15)-NORMSDIST((I29-$N$28)/B15))</f>
        <v>0.559190299294009</v>
      </c>
      <c r="N29" s="70">
        <f>(NORMSDIST((I29-$N$28)/B15)-NORMSDIST((I29-$O$28)/B15))</f>
        <v>6.13949462679457e-7</v>
      </c>
      <c r="O29" s="70">
        <f>(NORMSDIST((I29-$O$28)/B15)-NORMSDIST((I29-$P$28)/B15))</f>
        <v>3.39050659250907e-23</v>
      </c>
      <c r="P29" s="70">
        <f>(NORMSDIST((I29-$P$28)/B15)-NORMSDIST((I29-$Q$28)/B15))</f>
        <v>3.4227504918721e-50</v>
      </c>
      <c r="Q29" s="70">
        <f>(NORMSDIST((I29-$Q$28)/B15)-NORMSDIST((I29-$R$28)/B15))</f>
        <v>5.39269490099508e-88</v>
      </c>
      <c r="R29" s="70"/>
      <c r="S29" s="90">
        <f t="shared" ref="S29:S48" si="1">SUM(K29:R29)</f>
        <v>1</v>
      </c>
    </row>
    <row r="30" s="13" customFormat="1" ht="18" customHeight="1" spans="1:19">
      <c r="A30" s="43"/>
      <c r="B30" s="43"/>
      <c r="C30" s="38">
        <f t="shared" ref="C30:C48" si="2">C29+0.1%</f>
        <v>0.254</v>
      </c>
      <c r="D30" s="44"/>
      <c r="E30" s="40">
        <v>38184</v>
      </c>
      <c r="F30" s="41">
        <f t="shared" si="0"/>
        <v>9.698736</v>
      </c>
      <c r="G30" s="41">
        <f t="shared" ref="G30:G37" si="3">F30*48</f>
        <v>465.539328</v>
      </c>
      <c r="H30" s="42">
        <f t="shared" ref="H30:H48" si="4">I30/G30</f>
        <v>0.969262588169564</v>
      </c>
      <c r="I30" s="68">
        <f t="shared" ref="I30:I35" si="5">G30*(H31+0.15%)</f>
        <v>451.229853952</v>
      </c>
      <c r="J30" s="68"/>
      <c r="K30" s="69">
        <f>(NORMSDIST((I30-$K$28)/B15)-NORMSDIST((I30-$L$28)/B15))</f>
        <v>2.33435049068476e-10</v>
      </c>
      <c r="L30" s="69">
        <f>(NORMSDIST((I30-$L$28)/B15)-NORMSDIST((I30-$M$28)/B15))</f>
        <v>0.109375900006852</v>
      </c>
      <c r="M30" s="70">
        <f>(NORMSDIST((I30-$M$28)/B15)-NORMSDIST((I30-$N$28)/B15))</f>
        <v>0.890542523738289</v>
      </c>
      <c r="N30" s="70">
        <f>(NORMSDIST((I30-$N$28)/B15)-NORMSDIST((I30-$O$28)/B15))</f>
        <v>8.15760214238143e-5</v>
      </c>
      <c r="O30" s="70">
        <f>(NORMSDIST((I30-$O$28)/B15)-NORMSDIST((I30-$P$28)/B15))</f>
        <v>8.9217344359694e-19</v>
      </c>
      <c r="P30" s="70">
        <f>(NORMSDIST((I30-$P$28)/B15)-NORMSDIST((I30-$Q$28)/B15))</f>
        <v>1.92716585033687e-43</v>
      </c>
      <c r="Q30" s="70">
        <f>(NORMSDIST((I30-$Q$28)/B15)-NORMSDIST((I30-$R$28)/B15))</f>
        <v>6.62603358414566e-79</v>
      </c>
      <c r="R30" s="70"/>
      <c r="S30" s="90">
        <f t="shared" si="1"/>
        <v>1</v>
      </c>
    </row>
    <row r="31" s="13" customFormat="1" ht="18" customHeight="1" spans="1:19">
      <c r="A31" s="43"/>
      <c r="B31" s="43"/>
      <c r="C31" s="38">
        <f t="shared" si="2"/>
        <v>0.255</v>
      </c>
      <c r="D31" s="45"/>
      <c r="E31" s="40">
        <v>38184</v>
      </c>
      <c r="F31" s="41">
        <f t="shared" si="0"/>
        <v>9.73692</v>
      </c>
      <c r="G31" s="41">
        <f t="shared" si="3"/>
        <v>467.37216</v>
      </c>
      <c r="H31" s="42">
        <f t="shared" si="4"/>
        <v>0.967762588169564</v>
      </c>
      <c r="I31" s="68">
        <f t="shared" si="5"/>
        <v>452.3052912</v>
      </c>
      <c r="J31" s="71"/>
      <c r="K31" s="69">
        <f>(NORMSDIST((I31-$K$28)/B15)-NORMSDIST((I31-$L$28)/B15))</f>
        <v>1.38333788868295e-13</v>
      </c>
      <c r="L31" s="69">
        <f>(NORMSDIST((I31-$L$28)/B15)-NORMSDIST((I31-$M$28)/B15))</f>
        <v>0.0105751350302724</v>
      </c>
      <c r="M31" s="70">
        <f>(NORMSDIST((I31-$M$28)/B15)-NORMSDIST((I31-$N$28)/B15))</f>
        <v>0.985902356427697</v>
      </c>
      <c r="N31" s="72">
        <f>(NORMSDIST((I31-$N$28)/B15)-NORMSDIST((I31-$O$28)/B15))</f>
        <v>0.00352250854188506</v>
      </c>
      <c r="O31" s="72">
        <f>(NORMSDIST((I31-$O$28)/B15)-NORMSDIST((I31-$P$28)/B15))</f>
        <v>7.09083903679292e-15</v>
      </c>
      <c r="P31" s="70">
        <f>(NORMSDIST((I31-$P$28)/B15)-NORMSDIST((I31-$Q$28)/B15))</f>
        <v>3.16324097927697e-37</v>
      </c>
      <c r="Q31" s="70">
        <f>(NORMSDIST((I31-$Q$28)/B15)-NORMSDIST((I31-$R$28)/B15))</f>
        <v>2.30302581381612e-70</v>
      </c>
      <c r="R31" s="70"/>
      <c r="S31" s="90">
        <f t="shared" si="1"/>
        <v>1</v>
      </c>
    </row>
    <row r="32" s="15" customFormat="1" ht="18" customHeight="1" spans="1:19">
      <c r="A32" s="43"/>
      <c r="B32" s="43"/>
      <c r="C32" s="38">
        <f t="shared" si="2"/>
        <v>0.256</v>
      </c>
      <c r="D32" s="45"/>
      <c r="E32" s="40">
        <v>38184</v>
      </c>
      <c r="F32" s="46">
        <f t="shared" si="0"/>
        <v>9.775104</v>
      </c>
      <c r="G32" s="41">
        <f t="shared" si="3"/>
        <v>469.204992</v>
      </c>
      <c r="H32" s="47">
        <f t="shared" si="4"/>
        <v>0.966262588169564</v>
      </c>
      <c r="I32" s="68">
        <f t="shared" si="5"/>
        <v>453.375229952</v>
      </c>
      <c r="J32" s="73"/>
      <c r="K32" s="74">
        <f>(NORMSDIST((I32-$K$28)/B15)-NORMSDIST((I32-$L$28)/B15))</f>
        <v>0</v>
      </c>
      <c r="L32" s="74">
        <f>(NORMSDIST((I32-$L$28)/B15)-NORMSDIST((I32-$M$28)/B15))</f>
        <v>0.000368770180950051</v>
      </c>
      <c r="M32" s="74">
        <f>(NORMSDIST((I32-$M$28)/B15)-NORMSDIST((I32-$N$28)/B15))</f>
        <v>0.947525447138432</v>
      </c>
      <c r="N32" s="74">
        <f>(NORMSDIST((I32-$N$28)/B15)-NORMSDIST((I32-$O$28)/B15))</f>
        <v>0.0521057826632283</v>
      </c>
      <c r="O32" s="74">
        <f>(NORMSDIST((I32-$O$28)/B15)-NORMSDIST((I32-$P$28)/B15))</f>
        <v>1.73894578767563e-11</v>
      </c>
      <c r="P32" s="74">
        <f>(NORMSDIST((I32-$P$28)/B15)-NORMSDIST((I32-$Q$28)/B15))</f>
        <v>1.54211369166595e-31</v>
      </c>
      <c r="Q32" s="74">
        <f>(NORMSDIST((I32-$Q$28)/B15)-NORMSDIST((I32-$R$28)/B15))</f>
        <v>2.30566213090289e-62</v>
      </c>
      <c r="R32" s="74"/>
      <c r="S32" s="90">
        <f t="shared" si="1"/>
        <v>1</v>
      </c>
    </row>
    <row r="33" s="13" customFormat="1" ht="18" customHeight="1" spans="1:19">
      <c r="A33" s="43"/>
      <c r="B33" s="43"/>
      <c r="C33" s="38">
        <f t="shared" si="2"/>
        <v>0.257</v>
      </c>
      <c r="D33" s="48"/>
      <c r="E33" s="40">
        <v>38184</v>
      </c>
      <c r="F33" s="41">
        <f t="shared" si="0"/>
        <v>9.813288</v>
      </c>
      <c r="G33" s="41">
        <f t="shared" si="3"/>
        <v>471.037824</v>
      </c>
      <c r="H33" s="42">
        <f t="shared" si="4"/>
        <v>0.964762588169565</v>
      </c>
      <c r="I33" s="68">
        <f t="shared" si="5"/>
        <v>454.439670208</v>
      </c>
      <c r="J33" s="73"/>
      <c r="K33" s="69">
        <f>(NORMSDIST((I33-$K$28)/B15)-NORMSDIST((I33-$L$28)/B15))</f>
        <v>0</v>
      </c>
      <c r="L33" s="69">
        <f>(NORMSDIST((I33-$L$28)/B15)-NORMSDIST((I33-$M$28)/B15))</f>
        <v>4.50484174785437e-6</v>
      </c>
      <c r="M33" s="70">
        <f>(NORMSDIST((I33-$M$28)/B15)-NORMSDIST((I33-$N$28)/B15))</f>
        <v>0.712368240094527</v>
      </c>
      <c r="N33" s="70">
        <f>(NORMSDIST((I33-$N$28)/B15)-NORMSDIST((I33-$O$28)/B15))</f>
        <v>0.287627241600458</v>
      </c>
      <c r="O33" s="70">
        <f>(NORMSDIST((I33-$O$28)/B15)-NORMSDIST((I33-$P$28)/B15))</f>
        <v>1.34632671965132e-8</v>
      </c>
      <c r="P33" s="70">
        <f>(NORMSDIST((I33-$P$28)/B15)-NORMSDIST((I33-$Q$28)/B15))</f>
        <v>2.27530114165061e-26</v>
      </c>
      <c r="Q33" s="70">
        <f>(NORMSDIST((I33-$Q$28)/B15)-NORMSDIST((I33-$R$28)/B15))</f>
        <v>6.76997187948591e-55</v>
      </c>
      <c r="R33" s="70"/>
      <c r="S33" s="90">
        <f t="shared" si="1"/>
        <v>1</v>
      </c>
    </row>
    <row r="34" s="13" customFormat="1" ht="18" customHeight="1" spans="1:19">
      <c r="A34" s="43"/>
      <c r="B34" s="43"/>
      <c r="C34" s="38">
        <f t="shared" si="2"/>
        <v>0.258</v>
      </c>
      <c r="D34" s="49"/>
      <c r="E34" s="40">
        <v>38184</v>
      </c>
      <c r="F34" s="41">
        <f t="shared" si="0"/>
        <v>9.851472</v>
      </c>
      <c r="G34" s="41">
        <f t="shared" si="3"/>
        <v>472.870656</v>
      </c>
      <c r="H34" s="42">
        <f t="shared" si="4"/>
        <v>0.963262588169565</v>
      </c>
      <c r="I34" s="68">
        <f t="shared" si="5"/>
        <v>455.498611968</v>
      </c>
      <c r="J34" s="75"/>
      <c r="K34" s="69">
        <f>(NORMSDIST((I34-$K$28)/B15)-NORMSDIST((I34-$L$28)/B15))</f>
        <v>0</v>
      </c>
      <c r="L34" s="69">
        <f>(NORMSDIST((I34-$L$28)/B15)-NORMSDIST((I34-$M$28)/B15))</f>
        <v>1.91396222204432e-8</v>
      </c>
      <c r="M34" s="70">
        <f>(NORMSDIST((I34-$M$28)/B15)-NORMSDIST((I34-$N$28)/B15))</f>
        <v>0.309026366983464</v>
      </c>
      <c r="N34" s="70">
        <f>(NORMSDIST((I34-$N$28)/B15)-NORMSDIST((I34-$O$28)/B15))</f>
        <v>0.690970238320582</v>
      </c>
      <c r="O34" s="70">
        <f>(NORMSDIST((I34-$O$28)/B15)-NORMSDIST((I34-$P$28)/B15))</f>
        <v>3.37555633194597e-6</v>
      </c>
      <c r="P34" s="70">
        <f>(NORMSDIST((I34-$P$28)/B15)-NORMSDIST((I34-$Q$28)/B15))</f>
        <v>1.03555483939596e-21</v>
      </c>
      <c r="Q34" s="70">
        <f>(NORMSDIST((I34-$Q$28)/B15)-NORMSDIST((I34-$R$28)/B15))</f>
        <v>5.93622880153413e-48</v>
      </c>
      <c r="R34" s="70"/>
      <c r="S34" s="90">
        <f t="shared" si="1"/>
        <v>1</v>
      </c>
    </row>
    <row r="35" s="13" customFormat="1" ht="18" customHeight="1" spans="1:19">
      <c r="A35" s="43"/>
      <c r="B35" s="43"/>
      <c r="C35" s="38">
        <f t="shared" si="2"/>
        <v>0.259</v>
      </c>
      <c r="D35" s="49"/>
      <c r="E35" s="40">
        <v>38184</v>
      </c>
      <c r="F35" s="41">
        <f t="shared" si="0"/>
        <v>9.889656</v>
      </c>
      <c r="G35" s="41">
        <f t="shared" si="3"/>
        <v>474.703488</v>
      </c>
      <c r="H35" s="42">
        <f t="shared" si="4"/>
        <v>0.961762588169565</v>
      </c>
      <c r="I35" s="68">
        <f t="shared" si="5"/>
        <v>456.552055232</v>
      </c>
      <c r="J35" s="76"/>
      <c r="K35" s="69">
        <f>(NORMSDIST((I35-$K$28)/B15)-NORMSDIST((I35-$L$28)/B15))</f>
        <v>0</v>
      </c>
      <c r="L35" s="69">
        <f>(NORMSDIST((I35-$L$28)/B15)-NORMSDIST((I35-$M$28)/B15))</f>
        <v>2.83753021079747e-11</v>
      </c>
      <c r="M35" s="70">
        <f>(NORMSDIST((I35-$M$28)/B15)-NORMSDIST((I35-$N$28)/B15))</f>
        <v>0.0603245042510336</v>
      </c>
      <c r="N35" s="70">
        <f>(NORMSDIST((I35-$N$28)/B15)-NORMSDIST((I35-$O$28)/B15))</f>
        <v>0.939393060953134</v>
      </c>
      <c r="O35" s="70">
        <f>(NORMSDIST((I35-$O$28)/B15)-NORMSDIST((I35-$P$28)/B15))</f>
        <v>0.000282434767456558</v>
      </c>
      <c r="P35" s="70">
        <f>(NORMSDIST((I35-$P$28)/B15)-NORMSDIST((I35-$Q$28)/B15))</f>
        <v>1.48237785289388e-17</v>
      </c>
      <c r="Q35" s="70">
        <f>(NORMSDIST((I35-$Q$28)/B15)-NORMSDIST((I35-$R$28)/B15))</f>
        <v>1.58274337104873e-41</v>
      </c>
      <c r="R35" s="70"/>
      <c r="S35" s="90">
        <f t="shared" si="1"/>
        <v>1</v>
      </c>
    </row>
    <row r="36" s="15" customFormat="1" ht="18" customHeight="1" spans="1:19">
      <c r="A36" s="43"/>
      <c r="B36" s="43"/>
      <c r="C36" s="50">
        <f t="shared" si="2"/>
        <v>0.26</v>
      </c>
      <c r="D36" s="49">
        <v>0.0341140293136703</v>
      </c>
      <c r="E36" s="51">
        <v>38184</v>
      </c>
      <c r="F36" s="52">
        <f t="shared" si="0"/>
        <v>9.92784</v>
      </c>
      <c r="G36" s="52">
        <f t="shared" si="3"/>
        <v>476.53632</v>
      </c>
      <c r="H36" s="53">
        <f t="shared" si="4"/>
        <v>0.960262588169565</v>
      </c>
      <c r="I36" s="77">
        <v>457.6</v>
      </c>
      <c r="J36" s="77" t="s">
        <v>99</v>
      </c>
      <c r="K36" s="78">
        <f>(NORMSDIST((I36-$K$28)/B15)-NORMSDIST((I36-$L$28)/B15))</f>
        <v>0</v>
      </c>
      <c r="L36" s="78">
        <f>(NORMSDIST((I36-$L$28)/B15)-NORMSDIST((I36-$M$28)/B15))</f>
        <v>1.47659662275146e-14</v>
      </c>
      <c r="M36" s="79">
        <f>(NORMSDIST((I36-$M$28)/B15)-NORMSDIST((I36-$N$28)/B15))</f>
        <v>0.00466118802370441</v>
      </c>
      <c r="N36" s="79">
        <f>(NORMSDIST((I36-$N$28)/B15)-NORMSDIST((I36-$O$28)/B15))</f>
        <v>0.987141276051685</v>
      </c>
      <c r="O36" s="79">
        <f>(NORMSDIST((I36-$O$28)/B15)-NORMSDIST((I36-$P$28)/B15))</f>
        <v>0.00819753592452727</v>
      </c>
      <c r="P36" s="79">
        <f>(NORMSDIST((I36-$P$28)/B15)-NORMSDIST((I36-$Q$28)/B15))</f>
        <v>6.80922489061829e-14</v>
      </c>
      <c r="Q36" s="79">
        <f>(NORMSDIST((I36-$Q$28)/B15)-NORMSDIST((I36-$R$28)/B15))</f>
        <v>1.30661798312408e-35</v>
      </c>
      <c r="R36" s="79"/>
      <c r="S36" s="91">
        <f t="shared" si="1"/>
        <v>1</v>
      </c>
    </row>
    <row r="37" s="13" customFormat="1" ht="18" customHeight="1" spans="1:19">
      <c r="A37" s="43"/>
      <c r="B37" s="43"/>
      <c r="C37" s="38">
        <f t="shared" si="2"/>
        <v>0.261</v>
      </c>
      <c r="D37" s="49">
        <v>0.0586334878828709</v>
      </c>
      <c r="E37" s="40">
        <v>38184</v>
      </c>
      <c r="F37" s="41">
        <f t="shared" si="0"/>
        <v>9.966024</v>
      </c>
      <c r="G37" s="41">
        <f t="shared" si="3"/>
        <v>478.369152</v>
      </c>
      <c r="H37" s="42">
        <f t="shared" si="4"/>
        <v>0.958762588169565</v>
      </c>
      <c r="I37" s="68">
        <f>G37*(H36-0.15%)</f>
        <v>458.642446272</v>
      </c>
      <c r="J37" s="75"/>
      <c r="K37" s="69">
        <f>(NORMSDIST((I37-$K$28)/B15)-NORMSDIST((I37-$L$28)/B15))</f>
        <v>0</v>
      </c>
      <c r="L37" s="69">
        <f>(NORMSDIST((I37-$L$28)/B15)-NORMSDIST((I37-$M$28)/B15))</f>
        <v>0</v>
      </c>
      <c r="M37" s="70">
        <f>(NORMSDIST((I37-$M$28)/B15)-NORMSDIST((I37-$N$28)/B15))</f>
        <v>0.000135029678366316</v>
      </c>
      <c r="N37" s="70">
        <f>(NORMSDIST((I37-$N$28)/B15)-NORMSDIST((I37-$O$28)/B15))</f>
        <v>0.91256230331034</v>
      </c>
      <c r="O37" s="70">
        <f>(NORMSDIST((I37-$O$28)/B15)-NORMSDIST((I37-$P$28)/B15))</f>
        <v>0.0873026669087981</v>
      </c>
      <c r="P37" s="70">
        <f>(NORMSDIST((I37-$P$28)/B15)-NORMSDIST((I37-$Q$28)/B15))</f>
        <v>1.02495991384497e-10</v>
      </c>
      <c r="Q37" s="70">
        <f>(NORMSDIST((I37-$Q$28)/B15)-NORMSDIST((I37-$R$28)/B15))</f>
        <v>3.40113896452544e-30</v>
      </c>
      <c r="R37" s="70"/>
      <c r="S37" s="90">
        <f t="shared" si="1"/>
        <v>1</v>
      </c>
    </row>
    <row r="38" s="13" customFormat="1" ht="18" customHeight="1" spans="1:19">
      <c r="A38" s="43"/>
      <c r="B38" s="43"/>
      <c r="C38" s="38">
        <f t="shared" si="2"/>
        <v>0.262</v>
      </c>
      <c r="D38" s="49">
        <v>0.0841203302499458</v>
      </c>
      <c r="E38" s="40">
        <v>38184</v>
      </c>
      <c r="F38" s="41">
        <f t="shared" si="0"/>
        <v>10.004208</v>
      </c>
      <c r="G38" s="41">
        <f t="shared" ref="G38:G48" si="6">F38*48</f>
        <v>480.201984</v>
      </c>
      <c r="H38" s="42">
        <f t="shared" si="4"/>
        <v>0.957262588169565</v>
      </c>
      <c r="I38" s="68">
        <f t="shared" ref="I38:I48" si="7">G38*(H37-0.15%)</f>
        <v>459.679394048</v>
      </c>
      <c r="J38" s="68"/>
      <c r="K38" s="69">
        <f>(NORMSDIST((I38-$K$28)/B15)-NORMSDIST((I38-$L$28)/B15))</f>
        <v>0</v>
      </c>
      <c r="L38" s="69">
        <f>(NORMSDIST((I38-$L$28)/B15)-NORMSDIST((I38-$M$28)/B15))</f>
        <v>0</v>
      </c>
      <c r="M38" s="70">
        <f>(NORMSDIST((I38-$M$28)/B15)-NORMSDIST((I38-$N$28)/B15))</f>
        <v>1.43861998302963e-6</v>
      </c>
      <c r="N38" s="70">
        <f>(NORMSDIST((I38-$N$28)/B15)-NORMSDIST((I38-$O$28)/B15))</f>
        <v>0.625744048128626</v>
      </c>
      <c r="O38" s="70">
        <f>(NORMSDIST((I38-$O$28)/B15)-NORMSDIST((I38-$P$28)/B15))</f>
        <v>0.374254461540294</v>
      </c>
      <c r="P38" s="70">
        <f>(NORMSDIST((I38-$P$28)/B15)-NORMSDIST((I38-$Q$28)/B15))</f>
        <v>5.17110977083806e-8</v>
      </c>
      <c r="Q38" s="70">
        <f>(NORMSDIST((I38-$Q$28)/B15)-NORMSDIST((I38-$R$28)/B15))</f>
        <v>2.84315721617809e-25</v>
      </c>
      <c r="R38" s="70"/>
      <c r="S38" s="90">
        <f t="shared" si="1"/>
        <v>1</v>
      </c>
    </row>
    <row r="39" s="13" customFormat="1" ht="18" customHeight="1" spans="1:19">
      <c r="A39" s="43"/>
      <c r="B39" s="43"/>
      <c r="C39" s="38">
        <f t="shared" si="2"/>
        <v>0.263</v>
      </c>
      <c r="D39" s="49">
        <v>0.231516943533095</v>
      </c>
      <c r="E39" s="40">
        <v>38184</v>
      </c>
      <c r="F39" s="41">
        <f t="shared" si="0"/>
        <v>10.042392</v>
      </c>
      <c r="G39" s="41">
        <f t="shared" si="6"/>
        <v>482.034816</v>
      </c>
      <c r="H39" s="42">
        <f t="shared" si="4"/>
        <v>0.955762588169565</v>
      </c>
      <c r="I39" s="68">
        <f t="shared" si="7"/>
        <v>460.710843328</v>
      </c>
      <c r="J39" s="68"/>
      <c r="K39" s="69">
        <f>(NORMSDIST((I39-$K$28)/B15)-NORMSDIST((I39-$L$28)/B15))</f>
        <v>0</v>
      </c>
      <c r="L39" s="69">
        <f>(NORMSDIST((I39-$L$28)/B15)-NORMSDIST((I39-$M$28)/B15))</f>
        <v>0</v>
      </c>
      <c r="M39" s="70">
        <f>(NORMSDIST((I39-$M$28)/B15)-NORMSDIST((I39-$N$28)/B15))</f>
        <v>5.62088509070691e-9</v>
      </c>
      <c r="N39" s="70">
        <f>(NORMSDIST((I39-$N$28)/B15)-NORMSDIST((I39-$O$28)/B15))</f>
        <v>0.238590658247565</v>
      </c>
      <c r="O39" s="70">
        <f>(NORMSDIST((I39-$O$28)/B15)-NORMSDIST((I39-$P$28)/B15))</f>
        <v>0.761400368490201</v>
      </c>
      <c r="P39" s="70">
        <f>(NORMSDIST((I39-$P$28)/B15)-NORMSDIST((I39-$Q$28)/B15))</f>
        <v>8.96764134883275e-6</v>
      </c>
      <c r="Q39" s="70">
        <f>(NORMSDIST((I39-$Q$28)/B15)-NORMSDIST((I39-$R$28)/B15))</f>
        <v>7.77578004344323e-21</v>
      </c>
      <c r="R39" s="70"/>
      <c r="S39" s="90">
        <f t="shared" si="1"/>
        <v>1</v>
      </c>
    </row>
    <row r="40" s="13" customFormat="1" ht="18" customHeight="1" spans="1:19">
      <c r="A40" s="43"/>
      <c r="B40" s="43"/>
      <c r="C40" s="38">
        <f t="shared" si="2"/>
        <v>0.264</v>
      </c>
      <c r="D40" s="49">
        <v>0.320133020125304</v>
      </c>
      <c r="E40" s="40">
        <v>38184</v>
      </c>
      <c r="F40" s="41">
        <f t="shared" si="0"/>
        <v>10.080576</v>
      </c>
      <c r="G40" s="41">
        <f t="shared" si="6"/>
        <v>483.867648</v>
      </c>
      <c r="H40" s="42">
        <f t="shared" si="4"/>
        <v>0.954262588169565</v>
      </c>
      <c r="I40" s="68">
        <f t="shared" si="7"/>
        <v>461.736794112</v>
      </c>
      <c r="J40" s="68"/>
      <c r="K40" s="69">
        <f>(NORMSDIST((I40-$K$28)/B15)-NORMSDIST((I40-$L$28)/B15))</f>
        <v>0</v>
      </c>
      <c r="L40" s="69">
        <f>(NORMSDIST((I40-$L$28)/B15)-NORMSDIST((I40-$M$28)/B15))</f>
        <v>0</v>
      </c>
      <c r="M40" s="70">
        <f>(NORMSDIST((I40-$M$28)/B15)-NORMSDIST((I40-$N$28)/B15))</f>
        <v>8.09596834017157e-12</v>
      </c>
      <c r="N40" s="70">
        <f>(NORMSDIST((I40-$N$28)/B15)-NORMSDIST((I40-$O$28)/B15))</f>
        <v>0.0412117593561379</v>
      </c>
      <c r="O40" s="70">
        <f>(NORMSDIST((I40-$O$28)/B15)-NORMSDIST((I40-$P$28)/B15))</f>
        <v>0.95823744334219</v>
      </c>
      <c r="P40" s="70">
        <f>(NORMSDIST((I40-$P$28)/B15)-NORMSDIST((I40-$Q$28)/B15))</f>
        <v>0.000550797293576402</v>
      </c>
      <c r="Q40" s="70">
        <f>(NORMSDIST((I40-$Q$28)/B15)-NORMSDIST((I40-$R$28)/B15))</f>
        <v>7.09056659728281e-17</v>
      </c>
      <c r="R40" s="70"/>
      <c r="S40" s="90">
        <f t="shared" si="1"/>
        <v>1</v>
      </c>
    </row>
    <row r="41" s="13" customFormat="1" ht="18" customHeight="1" spans="1:19">
      <c r="A41" s="43"/>
      <c r="B41" s="43"/>
      <c r="C41" s="38">
        <f t="shared" si="2"/>
        <v>0.265</v>
      </c>
      <c r="D41" s="49">
        <v>0.22052468114755</v>
      </c>
      <c r="E41" s="40">
        <v>38184</v>
      </c>
      <c r="F41" s="41">
        <f t="shared" si="0"/>
        <v>10.11876</v>
      </c>
      <c r="G41" s="41">
        <f t="shared" si="6"/>
        <v>485.70048</v>
      </c>
      <c r="H41" s="42">
        <f t="shared" si="4"/>
        <v>0.952762588169565</v>
      </c>
      <c r="I41" s="68">
        <f t="shared" si="7"/>
        <v>462.7572464</v>
      </c>
      <c r="J41" s="68"/>
      <c r="K41" s="69">
        <f>(NORMSDIST((I41-$K$28)/B15)-NORMSDIST((I41-$L$28)/B15))</f>
        <v>0</v>
      </c>
      <c r="L41" s="69">
        <f>(NORMSDIST((I41-$L$28)/B15)-NORMSDIST((I41-$M$28)/B15))</f>
        <v>0</v>
      </c>
      <c r="M41" s="70">
        <f>(NORMSDIST((I41-$M$28)/B15)-NORMSDIST((I41-$N$28)/B15))</f>
        <v>4.32986979603811e-15</v>
      </c>
      <c r="N41" s="70">
        <f>(NORMSDIST((I41-$N$28)/B15)-NORMSDIST((I41-$O$28)/B15))</f>
        <v>0.00291452044272467</v>
      </c>
      <c r="O41" s="70">
        <f>(NORMSDIST((I41-$O$28)/B15)-NORMSDIST((I41-$P$28)/B15))</f>
        <v>0.984629125503492</v>
      </c>
      <c r="P41" s="70">
        <f>(NORMSDIST((I41-$P$28)/B15)-NORMSDIST((I41-$Q$28)/B15))</f>
        <v>0.0124563540535591</v>
      </c>
      <c r="Q41" s="70">
        <f>(NORMSDIST((I41-$Q$28)/B15)-NORMSDIST((I41-$R$28)/B15))</f>
        <v>2.19832632982257e-13</v>
      </c>
      <c r="R41" s="70"/>
      <c r="S41" s="90">
        <f t="shared" si="1"/>
        <v>1</v>
      </c>
    </row>
    <row r="42" s="13" customFormat="1" ht="18" customHeight="1" spans="1:19">
      <c r="A42" s="43"/>
      <c r="B42" s="43"/>
      <c r="C42" s="38">
        <f t="shared" si="2"/>
        <v>0.266</v>
      </c>
      <c r="D42" s="49">
        <v>0.0509575077475633</v>
      </c>
      <c r="E42" s="40">
        <v>38184</v>
      </c>
      <c r="F42" s="41">
        <f t="shared" si="0"/>
        <v>10.156944</v>
      </c>
      <c r="G42" s="41">
        <f t="shared" si="6"/>
        <v>487.533312</v>
      </c>
      <c r="H42" s="42">
        <f t="shared" si="4"/>
        <v>0.951262588169565</v>
      </c>
      <c r="I42" s="68">
        <f t="shared" si="7"/>
        <v>463.772200192</v>
      </c>
      <c r="J42" s="68"/>
      <c r="K42" s="69">
        <f>(NORMSDIST((I42-$K$28)/B15)-NORMSDIST((I42-$L$28)/B15))</f>
        <v>0</v>
      </c>
      <c r="L42" s="69">
        <f>(NORMSDIST((I42-$L$28)/B15)-NORMSDIST((I42-$M$28)/B15))</f>
        <v>0</v>
      </c>
      <c r="M42" s="70">
        <f>(NORMSDIST((I42-$M$28)/B15)-NORMSDIST((I42-$N$28)/B15))</f>
        <v>0</v>
      </c>
      <c r="N42" s="70">
        <f>(NORMSDIST((I42-$N$28)/B15)-NORMSDIST((I42-$O$28)/B15))</f>
        <v>8.09071711594944e-5</v>
      </c>
      <c r="O42" s="70">
        <f>(NORMSDIST((I42-$O$28)/B15)-NORMSDIST((I42-$P$28)/B15))</f>
        <v>0.890158028941573</v>
      </c>
      <c r="P42" s="70">
        <f>(NORMSDIST((I42-$P$28)/B15)-NORMSDIST((I42-$Q$28)/B15))</f>
        <v>0.109761063650752</v>
      </c>
      <c r="Q42" s="70">
        <f>(NORMSDIST((I42-$Q$28)/B15)-NORMSDIST((I42-$R$28)/B15))</f>
        <v>2.36515476332103e-10</v>
      </c>
      <c r="R42" s="70"/>
      <c r="S42" s="90">
        <f t="shared" si="1"/>
        <v>1</v>
      </c>
    </row>
    <row r="43" s="13" customFormat="1" ht="18" customHeight="1" spans="1:19">
      <c r="A43" s="43"/>
      <c r="B43" s="43"/>
      <c r="C43" s="38">
        <f t="shared" si="2"/>
        <v>0.267</v>
      </c>
      <c r="D43" s="49">
        <v>0</v>
      </c>
      <c r="E43" s="40">
        <v>38184</v>
      </c>
      <c r="F43" s="41">
        <f t="shared" si="0"/>
        <v>10.195128</v>
      </c>
      <c r="G43" s="41">
        <f t="shared" si="6"/>
        <v>489.366144</v>
      </c>
      <c r="H43" s="42">
        <f t="shared" si="4"/>
        <v>0.949762588169565</v>
      </c>
      <c r="I43" s="68">
        <f t="shared" si="7"/>
        <v>464.781655488</v>
      </c>
      <c r="J43" s="68"/>
      <c r="K43" s="69">
        <f>(NORMSDIST((I43-$K$28)/B15)-NORMSDIST((I43-$L$28)/B15))</f>
        <v>0</v>
      </c>
      <c r="L43" s="69">
        <f>(NORMSDIST((I43-$L$28)/B15)-NORMSDIST((I43-$M$28)/B15))</f>
        <v>0</v>
      </c>
      <c r="M43" s="70">
        <f>(NORMSDIST((I43-$M$28)/B15)-NORMSDIST((I43-$N$28)/B15))</f>
        <v>0</v>
      </c>
      <c r="N43" s="70">
        <f>(NORMSDIST((I43-$N$28)/B15)-NORMSDIST((I43-$O$28)/B15))</f>
        <v>8.69287251070716e-7</v>
      </c>
      <c r="O43" s="70">
        <f>(NORMSDIST((I43-$O$28)/B15)-NORMSDIST((I43-$P$28)/B15))</f>
        <v>0.586418782997546</v>
      </c>
      <c r="P43" s="70">
        <f>(NORMSDIST((I43-$P$28)/B15)-NORMSDIST((I43-$Q$28)/B15))</f>
        <v>0.413580257450483</v>
      </c>
      <c r="Q43" s="70">
        <f>(NORMSDIST((I43-$Q$28)/B15)-NORMSDIST((I43-$R$28)/B15))</f>
        <v>9.02647194708426e-8</v>
      </c>
      <c r="R43" s="70"/>
      <c r="S43" s="90">
        <f t="shared" si="1"/>
        <v>1</v>
      </c>
    </row>
    <row r="44" s="13" customFormat="1" ht="18" hidden="1" customHeight="1" spans="1:19">
      <c r="A44" s="43"/>
      <c r="B44" s="43"/>
      <c r="C44" s="38">
        <f t="shared" si="2"/>
        <v>0.268</v>
      </c>
      <c r="D44" s="49"/>
      <c r="E44" s="40">
        <v>38184</v>
      </c>
      <c r="F44" s="41">
        <f t="shared" si="0"/>
        <v>10.233312</v>
      </c>
      <c r="G44" s="41">
        <f t="shared" si="6"/>
        <v>491.198976</v>
      </c>
      <c r="H44" s="42">
        <f t="shared" si="4"/>
        <v>0.948262588169565</v>
      </c>
      <c r="I44" s="68">
        <f t="shared" si="7"/>
        <v>465.785612288</v>
      </c>
      <c r="J44" s="68"/>
      <c r="K44" s="69">
        <f>(NORMSDIST((I44-$K$28)/B15)-NORMSDIST((I44-$L$28)/B15))</f>
        <v>0</v>
      </c>
      <c r="L44" s="69">
        <f>(NORMSDIST((I44-$L$28)/B15)-NORMSDIST((I44-$M$28)/B15))</f>
        <v>0</v>
      </c>
      <c r="M44" s="70">
        <f>(NORMSDIST((I44-$M$28)/B15)-NORMSDIST((I44-$N$28)/B15))</f>
        <v>0</v>
      </c>
      <c r="N44" s="70">
        <f>(NORMSDIST((I44-$N$28)/B15)-NORMSDIST((I44-$O$28)/B15))</f>
        <v>3.61243401858502e-9</v>
      </c>
      <c r="O44" s="70">
        <f>(NORMSDIST((I44-$O$28)/B15)-NORMSDIST((I44-$P$28)/B15))</f>
        <v>0.216047328041158</v>
      </c>
      <c r="P44" s="70">
        <f>(NORMSDIST((I44-$P$28)/B15)-NORMSDIST((I44-$Q$28)/B15))</f>
        <v>0.783940145510408</v>
      </c>
      <c r="Q44" s="70">
        <f>(NORMSDIST((I44-$Q$28)/B15)-NORMSDIST((I44-$R$28)/B15))</f>
        <v>1.25228360004762e-5</v>
      </c>
      <c r="R44" s="70"/>
      <c r="S44" s="90">
        <f t="shared" si="1"/>
        <v>1</v>
      </c>
    </row>
    <row r="45" s="13" customFormat="1" ht="18" hidden="1" customHeight="1" spans="1:19">
      <c r="A45" s="43"/>
      <c r="B45" s="43"/>
      <c r="C45" s="38">
        <f t="shared" si="2"/>
        <v>0.269</v>
      </c>
      <c r="D45" s="55"/>
      <c r="E45" s="40">
        <v>38184</v>
      </c>
      <c r="F45" s="41">
        <f t="shared" si="0"/>
        <v>10.271496</v>
      </c>
      <c r="G45" s="41">
        <f t="shared" si="6"/>
        <v>493.031808</v>
      </c>
      <c r="H45" s="42">
        <f t="shared" si="4"/>
        <v>0.946762588169565</v>
      </c>
      <c r="I45" s="68">
        <f t="shared" si="7"/>
        <v>466.784070592</v>
      </c>
      <c r="J45" s="68"/>
      <c r="K45" s="69">
        <f>(NORMSDIST((I45-$K$28)/B15)-NORMSDIST((I45-$L$28)/B15))</f>
        <v>0</v>
      </c>
      <c r="L45" s="69">
        <f>(NORMSDIST((I45-$L$28)/B15)-NORMSDIST((I45-$M$28)/B15))</f>
        <v>0</v>
      </c>
      <c r="M45" s="70">
        <f>(NORMSDIST((I45-$M$28)/B15)-NORMSDIST((I45-$N$28)/B15))</f>
        <v>0</v>
      </c>
      <c r="N45" s="70">
        <f>(NORMSDIST((I45-$N$28)/B15)-NORMSDIST((I45-$O$28)/B15))</f>
        <v>5.84177151097265e-12</v>
      </c>
      <c r="O45" s="70">
        <f>(NORMSDIST((I45-$O$28)/B15)-NORMSDIST((I45-$P$28)/B15))</f>
        <v>0.0372060975762896</v>
      </c>
      <c r="P45" s="70">
        <f>(NORMSDIST((I45-$P$28)/B15)-NORMSDIST((I45-$Q$28)/B15))</f>
        <v>0.962143788361955</v>
      </c>
      <c r="Q45" s="70">
        <f>(NORMSDIST((I45-$Q$28)/B15)-NORMSDIST((I45-$R$28)/B15))</f>
        <v>0.000650114055913778</v>
      </c>
      <c r="R45" s="70"/>
      <c r="S45" s="90">
        <f t="shared" si="1"/>
        <v>1</v>
      </c>
    </row>
    <row r="46" s="13" customFormat="1" ht="18" hidden="1" customHeight="1" spans="1:19">
      <c r="A46" s="43"/>
      <c r="B46" s="43"/>
      <c r="C46" s="38">
        <f t="shared" si="2"/>
        <v>0.27</v>
      </c>
      <c r="D46" s="55"/>
      <c r="E46" s="40">
        <v>38184</v>
      </c>
      <c r="F46" s="41">
        <f t="shared" si="0"/>
        <v>10.30968</v>
      </c>
      <c r="G46" s="41">
        <f t="shared" si="6"/>
        <v>494.86464</v>
      </c>
      <c r="H46" s="42">
        <f t="shared" si="4"/>
        <v>0.945262588169565</v>
      </c>
      <c r="I46" s="68">
        <f t="shared" si="7"/>
        <v>467.7770304</v>
      </c>
      <c r="J46" s="68"/>
      <c r="K46" s="69">
        <f>(NORMSDIST((I46-$K$28)/B15)-NORMSDIST((I46-$L$28)/B15))</f>
        <v>0</v>
      </c>
      <c r="L46" s="69">
        <f>(NORMSDIST((I46-$L$28)/B15)-NORMSDIST((I46-$M$28)/B15))</f>
        <v>0</v>
      </c>
      <c r="M46" s="70">
        <f>(NORMSDIST((I46-$M$28)/B15)-NORMSDIST((I46-$N$28)/B15))</f>
        <v>0</v>
      </c>
      <c r="N46" s="70">
        <f>(NORMSDIST((I46-$N$28)/B15)-NORMSDIST((I46-$O$28)/B15))</f>
        <v>3.66373598126302e-15</v>
      </c>
      <c r="O46" s="70">
        <f>(NORMSDIST((I46-$O$28)/B15)-NORMSDIST((I46-$P$28)/B15))</f>
        <v>0.00274290239130071</v>
      </c>
      <c r="P46" s="70">
        <f>(NORMSDIST((I46-$P$28)/B15)-NORMSDIST((I46-$Q$28)/B15))</f>
        <v>0.984148172641989</v>
      </c>
      <c r="Q46" s="70">
        <f>(NORMSDIST((I46-$Q$28)/B15)-NORMSDIST((I46-$R$28)/B15))</f>
        <v>0.0131089249664522</v>
      </c>
      <c r="R46" s="70"/>
      <c r="S46" s="90">
        <f t="shared" si="1"/>
        <v>0.999999999999746</v>
      </c>
    </row>
    <row r="47" s="13" customFormat="1" ht="18" hidden="1" customHeight="1" spans="1:19">
      <c r="A47" s="43"/>
      <c r="B47" s="43"/>
      <c r="C47" s="38">
        <f t="shared" si="2"/>
        <v>0.271</v>
      </c>
      <c r="D47" s="55"/>
      <c r="E47" s="40">
        <v>38184</v>
      </c>
      <c r="F47" s="41">
        <f t="shared" si="0"/>
        <v>10.347864</v>
      </c>
      <c r="G47" s="41">
        <f t="shared" si="6"/>
        <v>496.697472</v>
      </c>
      <c r="H47" s="42">
        <f t="shared" si="4"/>
        <v>0.943762588169565</v>
      </c>
      <c r="I47" s="68">
        <f t="shared" si="7"/>
        <v>468.764491712</v>
      </c>
      <c r="J47" s="68"/>
      <c r="K47" s="69">
        <f>(NORMSDIST((I47-$K$28)/B15)-NORMSDIST((I47-$L$28)/B15))</f>
        <v>0</v>
      </c>
      <c r="L47" s="69">
        <f>(NORMSDIST((I47-$L$28)/B15)-NORMSDIST((I47-$M$28)/B15))</f>
        <v>0</v>
      </c>
      <c r="M47" s="70">
        <f>(NORMSDIST((I47-$M$28)/B15)-NORMSDIST((I47-$N$28)/B15))</f>
        <v>0</v>
      </c>
      <c r="N47" s="70">
        <f>(NORMSDIST((I47-$N$28)/B15)-NORMSDIST((I47-$O$28)/B15))</f>
        <v>0</v>
      </c>
      <c r="O47" s="70">
        <f>(NORMSDIST((I47-$O$28)/B15)-NORMSDIST((I47-$P$28)/B15))</f>
        <v>8.34441015499232e-5</v>
      </c>
      <c r="P47" s="70">
        <f>(NORMSDIST((I47-$P$28)/B15)-NORMSDIST((I47-$Q$28)/B15))</f>
        <v>0.891595858981064</v>
      </c>
      <c r="Q47" s="70">
        <f>(NORMSDIST((I47-$Q$28)/B15)-NORMSDIST((I47-$R$28)/B15))</f>
        <v>0.108320696692229</v>
      </c>
      <c r="R47" s="70"/>
      <c r="S47" s="90">
        <f t="shared" si="1"/>
        <v>0.999999999774843</v>
      </c>
    </row>
    <row r="48" s="13" customFormat="1" ht="18" hidden="1" customHeight="1" spans="1:19">
      <c r="A48" s="43"/>
      <c r="B48" s="43"/>
      <c r="C48" s="38">
        <f t="shared" si="2"/>
        <v>0.272</v>
      </c>
      <c r="D48" s="55"/>
      <c r="E48" s="40">
        <v>38184</v>
      </c>
      <c r="F48" s="41">
        <f t="shared" si="0"/>
        <v>10.386048</v>
      </c>
      <c r="G48" s="41">
        <f t="shared" si="6"/>
        <v>498.530304</v>
      </c>
      <c r="H48" s="42">
        <f t="shared" si="4"/>
        <v>0.942262588169566</v>
      </c>
      <c r="I48" s="68">
        <f t="shared" si="7"/>
        <v>469.746454528</v>
      </c>
      <c r="J48" s="68"/>
      <c r="K48" s="69">
        <f>(NORMSDIST((I48-$K$28)/B15)-NORMSDIST((I48-$L$28)/B15))</f>
        <v>0</v>
      </c>
      <c r="L48" s="69">
        <f>(NORMSDIST((I48-$L$28)/B15)-NORMSDIST((I48-$M$28)/B15))</f>
        <v>0</v>
      </c>
      <c r="M48" s="70">
        <f>(NORMSDIST((I48-$M$28)/B15)-NORMSDIST((I48-$N$28)/B15))</f>
        <v>0</v>
      </c>
      <c r="N48" s="70">
        <f>(NORMSDIST((I48-$N$28)/B15)-NORMSDIST((I48-$O$28)/B15))</f>
        <v>0</v>
      </c>
      <c r="O48" s="70">
        <f>(NORMSDIST((I48-$O$28)/B15)-NORMSDIST((I48-$P$28)/B15))</f>
        <v>1.03506618254201e-6</v>
      </c>
      <c r="P48" s="70">
        <f>(NORMSDIST((I48-$P$28)/B15)-NORMSDIST((I48-$Q$28)/B15))</f>
        <v>0.600075601337019</v>
      </c>
      <c r="Q48" s="70">
        <f>(NORMSDIST((I48-$Q$28)/B15)-NORMSDIST((I48-$R$28)/B15))</f>
        <v>0.39992328899739</v>
      </c>
      <c r="R48" s="70"/>
      <c r="S48" s="90">
        <f t="shared" si="1"/>
        <v>0.999999925400591</v>
      </c>
    </row>
    <row r="49" s="13" customFormat="1" ht="9.6" customHeight="1" spans="4:4">
      <c r="D49" s="56"/>
    </row>
    <row r="50" s="13" customFormat="1" ht="18" customHeight="1" spans="4:19">
      <c r="D50" s="57"/>
      <c r="I50" s="80" t="s">
        <v>90</v>
      </c>
      <c r="J50" s="80" t="s">
        <v>89</v>
      </c>
      <c r="K50" s="67">
        <f>K28</f>
        <v>440</v>
      </c>
      <c r="L50" s="67">
        <f t="shared" ref="L50:R50" si="8">L28</f>
        <v>445</v>
      </c>
      <c r="M50" s="67">
        <f t="shared" si="8"/>
        <v>450</v>
      </c>
      <c r="N50" s="67">
        <f t="shared" si="8"/>
        <v>455</v>
      </c>
      <c r="O50" s="67">
        <f t="shared" si="8"/>
        <v>460</v>
      </c>
      <c r="P50" s="67">
        <f t="shared" si="8"/>
        <v>465</v>
      </c>
      <c r="Q50" s="67">
        <f t="shared" si="8"/>
        <v>470</v>
      </c>
      <c r="R50" s="67">
        <f t="shared" si="8"/>
        <v>475</v>
      </c>
      <c r="S50" s="89" t="s">
        <v>96</v>
      </c>
    </row>
    <row r="51" s="13" customFormat="1" ht="18" customHeight="1" spans="9:19">
      <c r="I51" s="81">
        <f t="shared" ref="I51:I70" si="9">D29</f>
        <v>0</v>
      </c>
      <c r="J51" s="38">
        <f t="shared" ref="J51:J70" si="10">C29</f>
        <v>0.253</v>
      </c>
      <c r="K51" s="70">
        <f t="shared" ref="K51:K70" si="11">D29*K29</f>
        <v>0</v>
      </c>
      <c r="L51" s="70">
        <f t="shared" ref="L51:L70" si="12">D29*L29</f>
        <v>0</v>
      </c>
      <c r="M51" s="70">
        <f t="shared" ref="M51:M70" si="13">D29*M29</f>
        <v>0</v>
      </c>
      <c r="N51" s="70">
        <f t="shared" ref="N51:N70" si="14">D29*N29</f>
        <v>0</v>
      </c>
      <c r="O51" s="70">
        <f t="shared" ref="O51:O70" si="15">D29*O29</f>
        <v>0</v>
      </c>
      <c r="P51" s="70">
        <f t="shared" ref="P51:P70" si="16">D29*P29</f>
        <v>0</v>
      </c>
      <c r="Q51" s="70">
        <f t="shared" ref="Q51:Q70" si="17">D29*Q29</f>
        <v>0</v>
      </c>
      <c r="R51" s="70"/>
      <c r="S51" s="90"/>
    </row>
    <row r="52" s="13" customFormat="1" ht="18" customHeight="1" spans="9:19">
      <c r="I52" s="81">
        <f t="shared" si="9"/>
        <v>0</v>
      </c>
      <c r="J52" s="38">
        <f t="shared" si="10"/>
        <v>0.254</v>
      </c>
      <c r="K52" s="70">
        <f t="shared" si="11"/>
        <v>0</v>
      </c>
      <c r="L52" s="70">
        <f t="shared" si="12"/>
        <v>0</v>
      </c>
      <c r="M52" s="70">
        <f t="shared" si="13"/>
        <v>0</v>
      </c>
      <c r="N52" s="70">
        <f t="shared" si="14"/>
        <v>0</v>
      </c>
      <c r="O52" s="70">
        <f t="shared" si="15"/>
        <v>0</v>
      </c>
      <c r="P52" s="70">
        <f t="shared" si="16"/>
        <v>0</v>
      </c>
      <c r="Q52" s="70">
        <f t="shared" si="17"/>
        <v>0</v>
      </c>
      <c r="R52" s="70"/>
      <c r="S52" s="90"/>
    </row>
    <row r="53" s="13" customFormat="1" ht="18" customHeight="1" spans="9:19">
      <c r="I53" s="81">
        <f t="shared" si="9"/>
        <v>0</v>
      </c>
      <c r="J53" s="38">
        <f t="shared" si="10"/>
        <v>0.255</v>
      </c>
      <c r="K53" s="70">
        <f t="shared" si="11"/>
        <v>0</v>
      </c>
      <c r="L53" s="70">
        <f t="shared" si="12"/>
        <v>0</v>
      </c>
      <c r="M53" s="70">
        <f t="shared" si="13"/>
        <v>0</v>
      </c>
      <c r="N53" s="70">
        <f t="shared" si="14"/>
        <v>0</v>
      </c>
      <c r="O53" s="70">
        <f t="shared" si="15"/>
        <v>0</v>
      </c>
      <c r="P53" s="70">
        <f t="shared" si="16"/>
        <v>0</v>
      </c>
      <c r="Q53" s="70">
        <f t="shared" si="17"/>
        <v>0</v>
      </c>
      <c r="R53" s="70"/>
      <c r="S53" s="90"/>
    </row>
    <row r="54" s="13" customFormat="1" ht="18" customHeight="1" spans="9:19">
      <c r="I54" s="81">
        <f t="shared" si="9"/>
        <v>0</v>
      </c>
      <c r="J54" s="38">
        <f t="shared" si="10"/>
        <v>0.256</v>
      </c>
      <c r="K54" s="74">
        <f t="shared" si="11"/>
        <v>0</v>
      </c>
      <c r="L54" s="74">
        <f t="shared" si="12"/>
        <v>0</v>
      </c>
      <c r="M54" s="74">
        <f t="shared" si="13"/>
        <v>0</v>
      </c>
      <c r="N54" s="74">
        <f t="shared" si="14"/>
        <v>0</v>
      </c>
      <c r="O54" s="74">
        <f t="shared" si="15"/>
        <v>0</v>
      </c>
      <c r="P54" s="74">
        <f t="shared" si="16"/>
        <v>0</v>
      </c>
      <c r="Q54" s="74">
        <f t="shared" si="17"/>
        <v>0</v>
      </c>
      <c r="R54" s="74"/>
      <c r="S54" s="90"/>
    </row>
    <row r="55" s="13" customFormat="1" ht="18" customHeight="1" spans="9:19">
      <c r="I55" s="81">
        <f t="shared" si="9"/>
        <v>0</v>
      </c>
      <c r="J55" s="38">
        <f t="shared" si="10"/>
        <v>0.257</v>
      </c>
      <c r="K55" s="70">
        <f t="shared" si="11"/>
        <v>0</v>
      </c>
      <c r="L55" s="70">
        <f t="shared" si="12"/>
        <v>0</v>
      </c>
      <c r="M55" s="70">
        <f t="shared" si="13"/>
        <v>0</v>
      </c>
      <c r="N55" s="70">
        <f t="shared" si="14"/>
        <v>0</v>
      </c>
      <c r="O55" s="70">
        <f t="shared" si="15"/>
        <v>0</v>
      </c>
      <c r="P55" s="70">
        <f t="shared" si="16"/>
        <v>0</v>
      </c>
      <c r="Q55" s="70">
        <f t="shared" si="17"/>
        <v>0</v>
      </c>
      <c r="R55" s="70"/>
      <c r="S55" s="90"/>
    </row>
    <row r="56" s="13" customFormat="1" ht="18" customHeight="1" spans="9:19">
      <c r="I56" s="81">
        <f t="shared" si="9"/>
        <v>0</v>
      </c>
      <c r="J56" s="38">
        <f t="shared" si="10"/>
        <v>0.258</v>
      </c>
      <c r="K56" s="70">
        <f t="shared" si="11"/>
        <v>0</v>
      </c>
      <c r="L56" s="70">
        <f t="shared" si="12"/>
        <v>0</v>
      </c>
      <c r="M56" s="70">
        <f t="shared" si="13"/>
        <v>0</v>
      </c>
      <c r="N56" s="70">
        <f t="shared" si="14"/>
        <v>0</v>
      </c>
      <c r="O56" s="70">
        <f t="shared" si="15"/>
        <v>0</v>
      </c>
      <c r="P56" s="70">
        <f t="shared" si="16"/>
        <v>0</v>
      </c>
      <c r="Q56" s="70">
        <f t="shared" si="17"/>
        <v>0</v>
      </c>
      <c r="R56" s="70"/>
      <c r="S56" s="90"/>
    </row>
    <row r="57" s="13" customFormat="1" ht="18" customHeight="1" spans="9:19">
      <c r="I57" s="81">
        <f t="shared" si="9"/>
        <v>0</v>
      </c>
      <c r="J57" s="38">
        <f t="shared" si="10"/>
        <v>0.259</v>
      </c>
      <c r="K57" s="70">
        <f t="shared" si="11"/>
        <v>0</v>
      </c>
      <c r="L57" s="70">
        <f t="shared" si="12"/>
        <v>0</v>
      </c>
      <c r="M57" s="70">
        <f t="shared" si="13"/>
        <v>0</v>
      </c>
      <c r="N57" s="70">
        <f t="shared" si="14"/>
        <v>0</v>
      </c>
      <c r="O57" s="70">
        <f t="shared" si="15"/>
        <v>0</v>
      </c>
      <c r="P57" s="70">
        <f t="shared" si="16"/>
        <v>0</v>
      </c>
      <c r="Q57" s="70">
        <f t="shared" si="17"/>
        <v>0</v>
      </c>
      <c r="R57" s="70"/>
      <c r="S57" s="90"/>
    </row>
    <row r="58" s="13" customFormat="1" ht="18" customHeight="1" spans="9:19">
      <c r="I58" s="81">
        <f t="shared" si="9"/>
        <v>0.0341140293136703</v>
      </c>
      <c r="J58" s="38">
        <f t="shared" si="10"/>
        <v>0.26</v>
      </c>
      <c r="K58" s="70">
        <f t="shared" si="11"/>
        <v>0</v>
      </c>
      <c r="L58" s="70">
        <f t="shared" si="12"/>
        <v>5.03726604730098e-16</v>
      </c>
      <c r="M58" s="70">
        <f t="shared" si="13"/>
        <v>0.000159011904877181</v>
      </c>
      <c r="N58" s="70">
        <f t="shared" si="14"/>
        <v>0.0336753664279611</v>
      </c>
      <c r="O58" s="70">
        <f t="shared" si="15"/>
        <v>0.000279650980829189</v>
      </c>
      <c r="P58" s="70">
        <f t="shared" si="16"/>
        <v>2.32290097521926e-15</v>
      </c>
      <c r="Q58" s="70">
        <f t="shared" si="17"/>
        <v>4.45740041780638e-37</v>
      </c>
      <c r="R58" s="70"/>
      <c r="S58" s="90"/>
    </row>
    <row r="59" s="13" customFormat="1" ht="18" customHeight="1" spans="9:19">
      <c r="I59" s="81">
        <f t="shared" si="9"/>
        <v>0.0586334878828709</v>
      </c>
      <c r="J59" s="38">
        <f t="shared" si="10"/>
        <v>0.261</v>
      </c>
      <c r="K59" s="70">
        <f t="shared" si="11"/>
        <v>0</v>
      </c>
      <c r="L59" s="70">
        <f t="shared" si="12"/>
        <v>0</v>
      </c>
      <c r="M59" s="70">
        <f t="shared" si="13"/>
        <v>7.91726101031936e-6</v>
      </c>
      <c r="N59" s="70">
        <f t="shared" si="14"/>
        <v>0.0535067107535116</v>
      </c>
      <c r="O59" s="70">
        <f t="shared" si="15"/>
        <v>0.00511885986233933</v>
      </c>
      <c r="P59" s="70">
        <f t="shared" si="16"/>
        <v>6.00969746888572e-12</v>
      </c>
      <c r="Q59" s="70">
        <f t="shared" si="17"/>
        <v>1.99420640264462e-31</v>
      </c>
      <c r="R59" s="70"/>
      <c r="S59" s="90"/>
    </row>
    <row r="60" s="13" customFormat="1" ht="18" customHeight="1" spans="9:19">
      <c r="I60" s="81">
        <f t="shared" si="9"/>
        <v>0.0841203302499458</v>
      </c>
      <c r="J60" s="38">
        <f t="shared" si="10"/>
        <v>0.262</v>
      </c>
      <c r="K60" s="70">
        <f t="shared" si="11"/>
        <v>0</v>
      </c>
      <c r="L60" s="70">
        <f t="shared" si="12"/>
        <v>0</v>
      </c>
      <c r="M60" s="70">
        <f t="shared" si="13"/>
        <v>1.21017188076624e-7</v>
      </c>
      <c r="N60" s="70">
        <f t="shared" si="14"/>
        <v>0.052637795980518</v>
      </c>
      <c r="O60" s="70">
        <f t="shared" si="15"/>
        <v>0.0314824089022851</v>
      </c>
      <c r="P60" s="70">
        <f t="shared" si="16"/>
        <v>4.34995461681619e-9</v>
      </c>
      <c r="Q60" s="70">
        <f t="shared" si="17"/>
        <v>2.39167323977417e-26</v>
      </c>
      <c r="R60" s="70"/>
      <c r="S60" s="90"/>
    </row>
    <row r="61" s="13" customFormat="1" ht="18" customHeight="1" spans="9:19">
      <c r="I61" s="81">
        <f t="shared" si="9"/>
        <v>0.231516943533095</v>
      </c>
      <c r="J61" s="38">
        <f t="shared" si="10"/>
        <v>0.263</v>
      </c>
      <c r="K61" s="70">
        <f t="shared" si="11"/>
        <v>0</v>
      </c>
      <c r="L61" s="70">
        <f t="shared" si="12"/>
        <v>0</v>
      </c>
      <c r="M61" s="70">
        <f t="shared" si="13"/>
        <v>1.30133013615121e-9</v>
      </c>
      <c r="N61" s="70">
        <f t="shared" si="14"/>
        <v>0.0552377799530254</v>
      </c>
      <c r="O61" s="70">
        <f t="shared" si="15"/>
        <v>0.176277086117824</v>
      </c>
      <c r="P61" s="70">
        <f t="shared" si="16"/>
        <v>2.07616091578276e-6</v>
      </c>
      <c r="Q61" s="70">
        <f t="shared" si="17"/>
        <v>1.80022482924361e-21</v>
      </c>
      <c r="R61" s="70"/>
      <c r="S61" s="90"/>
    </row>
    <row r="62" s="13" customFormat="1" ht="18" hidden="1" customHeight="1" spans="9:19">
      <c r="I62" s="81">
        <f t="shared" si="9"/>
        <v>0.320133020125304</v>
      </c>
      <c r="J62" s="38">
        <f t="shared" si="10"/>
        <v>0.264</v>
      </c>
      <c r="K62" s="70">
        <f t="shared" si="11"/>
        <v>0</v>
      </c>
      <c r="L62" s="70">
        <f t="shared" si="12"/>
        <v>0</v>
      </c>
      <c r="M62" s="70">
        <f t="shared" si="13"/>
        <v>2.59178679557797e-12</v>
      </c>
      <c r="N62" s="70">
        <f t="shared" si="14"/>
        <v>0.0131932449873577</v>
      </c>
      <c r="O62" s="70">
        <f t="shared" si="15"/>
        <v>0.306763446734285</v>
      </c>
      <c r="P62" s="70">
        <f t="shared" si="16"/>
        <v>0.000176328401069457</v>
      </c>
      <c r="Q62" s="70">
        <f t="shared" si="17"/>
        <v>2.26992449918775e-17</v>
      </c>
      <c r="R62" s="70">
        <f t="shared" ref="R62:R70" si="18">D40*R40</f>
        <v>0</v>
      </c>
      <c r="S62" s="90"/>
    </row>
    <row r="63" s="13" customFormat="1" ht="18" hidden="1" customHeight="1" spans="9:19">
      <c r="I63" s="81">
        <f t="shared" si="9"/>
        <v>0.22052468114755</v>
      </c>
      <c r="J63" s="38">
        <f t="shared" si="10"/>
        <v>0.265</v>
      </c>
      <c r="K63" s="70">
        <f t="shared" si="11"/>
        <v>0</v>
      </c>
      <c r="L63" s="70">
        <f t="shared" si="12"/>
        <v>0</v>
      </c>
      <c r="M63" s="70">
        <f t="shared" si="13"/>
        <v>9.54843156181712e-16</v>
      </c>
      <c r="N63" s="70">
        <f t="shared" si="14"/>
        <v>0.000642723691329873</v>
      </c>
      <c r="O63" s="70">
        <f t="shared" si="15"/>
        <v>0.217135023950249</v>
      </c>
      <c r="P63" s="70">
        <f t="shared" si="16"/>
        <v>0.00274693350592212</v>
      </c>
      <c r="Q63" s="70">
        <f t="shared" si="17"/>
        <v>4.84785212942386e-14</v>
      </c>
      <c r="R63" s="70">
        <f t="shared" si="18"/>
        <v>0</v>
      </c>
      <c r="S63" s="90"/>
    </row>
    <row r="64" s="13" customFormat="1" ht="18" hidden="1" customHeight="1" spans="9:19">
      <c r="I64" s="81">
        <f t="shared" si="9"/>
        <v>0.0509575077475633</v>
      </c>
      <c r="J64" s="38">
        <f t="shared" si="10"/>
        <v>0.266</v>
      </c>
      <c r="K64" s="70">
        <f t="shared" si="11"/>
        <v>0</v>
      </c>
      <c r="L64" s="70">
        <f t="shared" si="12"/>
        <v>0</v>
      </c>
      <c r="M64" s="70">
        <f t="shared" si="13"/>
        <v>0</v>
      </c>
      <c r="N64" s="70">
        <f t="shared" si="14"/>
        <v>4.12282780119337e-6</v>
      </c>
      <c r="O64" s="70">
        <f t="shared" si="15"/>
        <v>0.0453602346563459</v>
      </c>
      <c r="P64" s="70">
        <f t="shared" si="16"/>
        <v>0.00559315025136399</v>
      </c>
      <c r="Q64" s="70">
        <f t="shared" si="17"/>
        <v>1.20522392176118e-11</v>
      </c>
      <c r="R64" s="70">
        <f t="shared" si="18"/>
        <v>0</v>
      </c>
      <c r="S64" s="90"/>
    </row>
    <row r="65" s="13" customFormat="1" ht="18" hidden="1" customHeight="1" spans="9:19">
      <c r="I65" s="81">
        <f t="shared" si="9"/>
        <v>0</v>
      </c>
      <c r="J65" s="38">
        <f t="shared" si="10"/>
        <v>0.267</v>
      </c>
      <c r="K65" s="70">
        <f t="shared" si="11"/>
        <v>0</v>
      </c>
      <c r="L65" s="70">
        <f t="shared" si="12"/>
        <v>0</v>
      </c>
      <c r="M65" s="70">
        <f t="shared" si="13"/>
        <v>0</v>
      </c>
      <c r="N65" s="70">
        <f t="shared" si="14"/>
        <v>0</v>
      </c>
      <c r="O65" s="70">
        <f t="shared" si="15"/>
        <v>0</v>
      </c>
      <c r="P65" s="70">
        <f t="shared" si="16"/>
        <v>0</v>
      </c>
      <c r="Q65" s="70">
        <f t="shared" si="17"/>
        <v>0</v>
      </c>
      <c r="R65" s="70">
        <f t="shared" si="18"/>
        <v>0</v>
      </c>
      <c r="S65" s="90"/>
    </row>
    <row r="66" s="13" customFormat="1" ht="18" hidden="1" customHeight="1" spans="9:19">
      <c r="I66" s="81">
        <f t="shared" si="9"/>
        <v>0</v>
      </c>
      <c r="J66" s="38">
        <f t="shared" si="10"/>
        <v>0.268</v>
      </c>
      <c r="K66" s="70">
        <f t="shared" si="11"/>
        <v>0</v>
      </c>
      <c r="L66" s="70">
        <f t="shared" si="12"/>
        <v>0</v>
      </c>
      <c r="M66" s="70">
        <f t="shared" si="13"/>
        <v>0</v>
      </c>
      <c r="N66" s="70">
        <f t="shared" si="14"/>
        <v>0</v>
      </c>
      <c r="O66" s="70">
        <f t="shared" si="15"/>
        <v>0</v>
      </c>
      <c r="P66" s="70">
        <f t="shared" si="16"/>
        <v>0</v>
      </c>
      <c r="Q66" s="70">
        <f t="shared" si="17"/>
        <v>0</v>
      </c>
      <c r="R66" s="70">
        <f t="shared" si="18"/>
        <v>0</v>
      </c>
      <c r="S66" s="90"/>
    </row>
    <row r="67" s="13" customFormat="1" ht="18" hidden="1" customHeight="1" spans="9:19">
      <c r="I67" s="81">
        <f t="shared" si="9"/>
        <v>0</v>
      </c>
      <c r="J67" s="38">
        <f t="shared" si="10"/>
        <v>0.269</v>
      </c>
      <c r="K67" s="70">
        <f t="shared" si="11"/>
        <v>0</v>
      </c>
      <c r="L67" s="70">
        <f t="shared" si="12"/>
        <v>0</v>
      </c>
      <c r="M67" s="70">
        <f t="shared" si="13"/>
        <v>0</v>
      </c>
      <c r="N67" s="70">
        <f t="shared" si="14"/>
        <v>0</v>
      </c>
      <c r="O67" s="70">
        <f t="shared" si="15"/>
        <v>0</v>
      </c>
      <c r="P67" s="70">
        <f t="shared" si="16"/>
        <v>0</v>
      </c>
      <c r="Q67" s="70">
        <f t="shared" si="17"/>
        <v>0</v>
      </c>
      <c r="R67" s="70">
        <f t="shared" si="18"/>
        <v>0</v>
      </c>
      <c r="S67" s="90"/>
    </row>
    <row r="68" s="13" customFormat="1" ht="18" hidden="1" customHeight="1" spans="9:19">
      <c r="I68" s="81">
        <f t="shared" si="9"/>
        <v>0</v>
      </c>
      <c r="J68" s="38">
        <f t="shared" si="10"/>
        <v>0.27</v>
      </c>
      <c r="K68" s="70">
        <f t="shared" si="11"/>
        <v>0</v>
      </c>
      <c r="L68" s="70">
        <f t="shared" si="12"/>
        <v>0</v>
      </c>
      <c r="M68" s="70">
        <f t="shared" si="13"/>
        <v>0</v>
      </c>
      <c r="N68" s="70">
        <f t="shared" si="14"/>
        <v>0</v>
      </c>
      <c r="O68" s="70">
        <f t="shared" si="15"/>
        <v>0</v>
      </c>
      <c r="P68" s="70">
        <f t="shared" si="16"/>
        <v>0</v>
      </c>
      <c r="Q68" s="70">
        <f t="shared" si="17"/>
        <v>0</v>
      </c>
      <c r="R68" s="70">
        <f t="shared" si="18"/>
        <v>0</v>
      </c>
      <c r="S68" s="90"/>
    </row>
    <row r="69" s="13" customFormat="1" ht="18" hidden="1" customHeight="1" spans="9:19">
      <c r="I69" s="81">
        <f t="shared" si="9"/>
        <v>0</v>
      </c>
      <c r="J69" s="38">
        <f t="shared" si="10"/>
        <v>0.271</v>
      </c>
      <c r="K69" s="70">
        <f t="shared" si="11"/>
        <v>0</v>
      </c>
      <c r="L69" s="70">
        <f t="shared" si="12"/>
        <v>0</v>
      </c>
      <c r="M69" s="70">
        <f t="shared" si="13"/>
        <v>0</v>
      </c>
      <c r="N69" s="70">
        <f t="shared" si="14"/>
        <v>0</v>
      </c>
      <c r="O69" s="70">
        <f t="shared" si="15"/>
        <v>0</v>
      </c>
      <c r="P69" s="70">
        <f t="shared" si="16"/>
        <v>0</v>
      </c>
      <c r="Q69" s="70">
        <f t="shared" si="17"/>
        <v>0</v>
      </c>
      <c r="R69" s="70">
        <f t="shared" si="18"/>
        <v>0</v>
      </c>
      <c r="S69" s="90"/>
    </row>
    <row r="70" s="13" customFormat="1" ht="18" hidden="1" customHeight="1" spans="9:19">
      <c r="I70" s="81">
        <f t="shared" si="9"/>
        <v>0</v>
      </c>
      <c r="J70" s="38">
        <f t="shared" si="10"/>
        <v>0.272</v>
      </c>
      <c r="K70" s="70">
        <f t="shared" si="11"/>
        <v>0</v>
      </c>
      <c r="L70" s="70">
        <f t="shared" si="12"/>
        <v>0</v>
      </c>
      <c r="M70" s="70">
        <f t="shared" si="13"/>
        <v>0</v>
      </c>
      <c r="N70" s="70">
        <f t="shared" si="14"/>
        <v>0</v>
      </c>
      <c r="O70" s="70">
        <f t="shared" si="15"/>
        <v>0</v>
      </c>
      <c r="P70" s="70">
        <f t="shared" si="16"/>
        <v>0</v>
      </c>
      <c r="Q70" s="70">
        <f t="shared" si="17"/>
        <v>0</v>
      </c>
      <c r="R70" s="70">
        <f t="shared" si="18"/>
        <v>0</v>
      </c>
      <c r="S70" s="90"/>
    </row>
    <row r="71" s="13" customFormat="1" ht="18" customHeight="1" spans="9:19">
      <c r="I71" s="97" t="s">
        <v>100</v>
      </c>
      <c r="J71" s="98"/>
      <c r="K71" s="99">
        <f t="shared" ref="K71:Q71" si="19">SUM(K51:K70)</f>
        <v>0</v>
      </c>
      <c r="L71" s="99">
        <f t="shared" si="19"/>
        <v>5.03726604730098e-16</v>
      </c>
      <c r="M71" s="99">
        <f t="shared" si="19"/>
        <v>0.000167051486998455</v>
      </c>
      <c r="N71" s="99">
        <f t="shared" si="19"/>
        <v>0.208897744621505</v>
      </c>
      <c r="O71" s="99">
        <f t="shared" si="19"/>
        <v>0.782416711204157</v>
      </c>
      <c r="P71" s="99">
        <f t="shared" si="19"/>
        <v>0.00851849267523798</v>
      </c>
      <c r="Q71" s="99">
        <f t="shared" si="19"/>
        <v>1.21007404399513e-11</v>
      </c>
      <c r="R71" s="99"/>
      <c r="S71" s="101">
        <f>SUM(K71:R71)</f>
        <v>0.999999999999999</v>
      </c>
    </row>
    <row r="72" ht="18" customHeight="1" spans="11:18">
      <c r="K72" s="67">
        <f>K50</f>
        <v>440</v>
      </c>
      <c r="L72" s="67">
        <f t="shared" ref="L72:R72" si="20">L50</f>
        <v>445</v>
      </c>
      <c r="M72" s="67">
        <f t="shared" si="20"/>
        <v>450</v>
      </c>
      <c r="N72" s="67">
        <f t="shared" si="20"/>
        <v>455</v>
      </c>
      <c r="O72" s="67">
        <f t="shared" si="20"/>
        <v>460</v>
      </c>
      <c r="P72" s="67">
        <f t="shared" si="20"/>
        <v>465</v>
      </c>
      <c r="Q72" s="67">
        <f t="shared" si="20"/>
        <v>470</v>
      </c>
      <c r="R72" s="67">
        <f t="shared" si="20"/>
        <v>475</v>
      </c>
    </row>
    <row r="73" ht="4.8" customHeight="1" spans="9:9">
      <c r="I73" s="100"/>
    </row>
    <row r="74" ht="4.8" customHeight="1" spans="9:9">
      <c r="I74" s="100"/>
    </row>
    <row r="75" ht="4.8" customHeight="1" spans="9:9">
      <c r="I75" s="100"/>
    </row>
    <row r="76" ht="26.4" customHeight="1" spans="1:15">
      <c r="A76" s="92" t="s">
        <v>101</v>
      </c>
      <c r="B76" s="93" t="s">
        <v>89</v>
      </c>
      <c r="C76" s="93" t="str">
        <f>C9</f>
        <v>芜湖（80mg）</v>
      </c>
      <c r="D76" s="93" t="str">
        <f t="shared" ref="D76:O76" si="21">D9</f>
        <v>芜湖（105mg）</v>
      </c>
      <c r="E76" s="93" t="str">
        <f t="shared" si="21"/>
        <v>芜湖（125mg）</v>
      </c>
      <c r="F76" s="93" t="str">
        <f t="shared" si="21"/>
        <v>厂家3</v>
      </c>
      <c r="G76" s="93" t="str">
        <f t="shared" si="21"/>
        <v>厂家4</v>
      </c>
      <c r="H76" s="93" t="str">
        <f t="shared" si="21"/>
        <v>厂家5</v>
      </c>
      <c r="I76" s="93" t="str">
        <f t="shared" si="21"/>
        <v>厂家6</v>
      </c>
      <c r="J76" s="93" t="str">
        <f t="shared" si="21"/>
        <v>厂家7</v>
      </c>
      <c r="K76" s="93" t="str">
        <f t="shared" si="21"/>
        <v>厂家8</v>
      </c>
      <c r="L76" s="93" t="str">
        <f t="shared" si="21"/>
        <v>厂家9</v>
      </c>
      <c r="M76" s="93" t="str">
        <f t="shared" si="21"/>
        <v>厂家10</v>
      </c>
      <c r="N76" s="93" t="str">
        <f t="shared" si="21"/>
        <v>厂家11</v>
      </c>
      <c r="O76" s="93" t="str">
        <f t="shared" si="21"/>
        <v>厂家12</v>
      </c>
    </row>
    <row r="77" ht="17.4" customHeight="1" spans="1:15">
      <c r="A77" s="92"/>
      <c r="B77" s="94">
        <f>C29</f>
        <v>0.253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</row>
    <row r="78" ht="17.4" customHeight="1" spans="1:15">
      <c r="A78" s="92"/>
      <c r="B78" s="94">
        <f t="shared" ref="B78:B96" si="22">C30</f>
        <v>0.254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</row>
    <row r="79" ht="17.4" customHeight="1" spans="1:15">
      <c r="A79" s="92"/>
      <c r="B79" s="94">
        <f t="shared" si="22"/>
        <v>0.255</v>
      </c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</row>
    <row r="80" ht="17.4" customHeight="1" spans="1:15">
      <c r="A80" s="92"/>
      <c r="B80" s="94">
        <f t="shared" si="22"/>
        <v>0.256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</row>
    <row r="81" ht="17.4" customHeight="1" spans="1:15">
      <c r="A81" s="92"/>
      <c r="B81" s="94">
        <f t="shared" si="22"/>
        <v>0.257</v>
      </c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</row>
    <row r="82" ht="17.4" customHeight="1" spans="1:15">
      <c r="A82" s="92"/>
      <c r="B82" s="94">
        <f t="shared" si="22"/>
        <v>0.258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</row>
    <row r="83" ht="17.4" customHeight="1" spans="1:15">
      <c r="A83" s="92"/>
      <c r="B83" s="94">
        <f t="shared" si="22"/>
        <v>0.259</v>
      </c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</row>
    <row r="84" ht="17.4" customHeight="1" spans="1:15">
      <c r="A84" s="92"/>
      <c r="B84" s="94">
        <f t="shared" si="22"/>
        <v>0.26</v>
      </c>
      <c r="C84" s="95">
        <v>0.0341140293136703</v>
      </c>
      <c r="D84" s="95"/>
      <c r="E84" s="96"/>
      <c r="F84" s="95"/>
      <c r="G84" s="95"/>
      <c r="H84" s="95"/>
      <c r="I84" s="95"/>
      <c r="J84" s="95"/>
      <c r="K84" s="95"/>
      <c r="L84" s="95"/>
      <c r="M84" s="95"/>
      <c r="N84" s="95"/>
      <c r="O84" s="95"/>
    </row>
    <row r="85" ht="17.4" customHeight="1" spans="1:15">
      <c r="A85" s="92"/>
      <c r="B85" s="94">
        <f t="shared" si="22"/>
        <v>0.261</v>
      </c>
      <c r="C85" s="95">
        <v>0.0586334878828709</v>
      </c>
      <c r="D85" s="95"/>
      <c r="E85" s="96"/>
      <c r="F85" s="95"/>
      <c r="G85" s="95"/>
      <c r="H85" s="95"/>
      <c r="I85" s="95"/>
      <c r="J85" s="95"/>
      <c r="K85" s="95"/>
      <c r="L85" s="95"/>
      <c r="M85" s="95"/>
      <c r="N85" s="95"/>
      <c r="O85" s="95"/>
    </row>
    <row r="86" ht="17.4" customHeight="1" spans="1:15">
      <c r="A86" s="92"/>
      <c r="B86" s="94">
        <f t="shared" si="22"/>
        <v>0.262</v>
      </c>
      <c r="C86" s="95">
        <v>0.0841203302499458</v>
      </c>
      <c r="D86" s="95"/>
      <c r="E86" s="96"/>
      <c r="F86" s="95"/>
      <c r="G86" s="95"/>
      <c r="H86" s="95"/>
      <c r="I86" s="95"/>
      <c r="J86" s="95"/>
      <c r="K86" s="95"/>
      <c r="L86" s="95"/>
      <c r="M86" s="95"/>
      <c r="N86" s="95"/>
      <c r="O86" s="95"/>
    </row>
    <row r="87" ht="17.4" customHeight="1" spans="1:15">
      <c r="A87" s="92"/>
      <c r="B87" s="94">
        <f t="shared" si="22"/>
        <v>0.263</v>
      </c>
      <c r="C87" s="95">
        <v>0.231516943533095</v>
      </c>
      <c r="D87" s="95"/>
      <c r="E87" s="96"/>
      <c r="F87" s="95"/>
      <c r="G87" s="95"/>
      <c r="H87" s="95"/>
      <c r="I87" s="95"/>
      <c r="J87" s="95"/>
      <c r="K87" s="95"/>
      <c r="L87" s="95"/>
      <c r="M87" s="95"/>
      <c r="N87" s="95"/>
      <c r="O87" s="95"/>
    </row>
    <row r="88" ht="17.4" customHeight="1" spans="1:15">
      <c r="A88" s="92"/>
      <c r="B88" s="94">
        <f t="shared" si="22"/>
        <v>0.264</v>
      </c>
      <c r="C88" s="95">
        <v>0.320133020125304</v>
      </c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</row>
    <row r="89" ht="17.4" customHeight="1" spans="1:15">
      <c r="A89" s="92"/>
      <c r="B89" s="94">
        <f t="shared" si="22"/>
        <v>0.265</v>
      </c>
      <c r="C89" s="95">
        <v>0.22052468114755</v>
      </c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</row>
    <row r="90" ht="17.4" customHeight="1" spans="1:15">
      <c r="A90" s="92"/>
      <c r="B90" s="94">
        <f t="shared" si="22"/>
        <v>0.266</v>
      </c>
      <c r="C90" s="95">
        <v>0.0509575077475633</v>
      </c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</row>
    <row r="91" ht="17.4" customHeight="1" spans="1:15">
      <c r="A91" s="92"/>
      <c r="B91" s="94">
        <f t="shared" si="22"/>
        <v>0.267</v>
      </c>
      <c r="C91" s="95">
        <v>0</v>
      </c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</row>
    <row r="92" ht="17.4" customHeight="1" spans="1:15">
      <c r="A92" s="92"/>
      <c r="B92" s="94">
        <f t="shared" si="22"/>
        <v>0.268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</row>
    <row r="93" ht="17.4" customHeight="1" spans="1:15">
      <c r="A93" s="92"/>
      <c r="B93" s="94">
        <f t="shared" si="22"/>
        <v>0.269</v>
      </c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</row>
    <row r="94" ht="17.4" customHeight="1" spans="1:15">
      <c r="A94" s="92"/>
      <c r="B94" s="94">
        <f t="shared" si="22"/>
        <v>0.27</v>
      </c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</row>
    <row r="95" ht="17.4" customHeight="1" spans="1:15">
      <c r="A95" s="92"/>
      <c r="B95" s="94">
        <f t="shared" si="22"/>
        <v>0.271</v>
      </c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</row>
    <row r="96" ht="17.4" customHeight="1" spans="1:15">
      <c r="A96" s="92"/>
      <c r="B96" s="94">
        <f t="shared" si="22"/>
        <v>0.272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U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{dacbc160-b8fb-4f0e-8e38-8b3b1c25ce37}</x14:id>
        </ext>
      </extLst>
    </cfRule>
  </conditionalFormatting>
  <conditionalFormatting sqref="D30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{ec6ad40c-fc82-4f3c-8ed5-2f3fe2fe832f}</x14:id>
        </ext>
      </extLst>
    </cfRule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{672d8352-3236-47f6-8529-437df49fd3b7}</x14:id>
        </ext>
      </extLst>
    </cfRule>
  </conditionalFormatting>
  <conditionalFormatting sqref="D33:D44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{40341d87-e5f3-4010-bb82-c1c9f469d6b0}</x14:id>
        </ext>
      </extLst>
    </cfRule>
  </conditionalFormatting>
  <conditionalFormatting sqref="D45:D4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{69188c9e-b33b-41e3-b72d-5c8b1a50be6e}</x14:id>
        </ext>
      </extLst>
    </cfRule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{f386527f-8773-4e50-ae22-42df9b193052}</x14:id>
        </ext>
      </extLst>
    </cfRule>
  </conditionalFormatting>
  <conditionalFormatting sqref="D49:D5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{c5c5a158-3bb6-4dca-b540-52bfde24c91b}</x14:id>
        </ext>
      </extLst>
    </cfRule>
    <cfRule type="dataBar" priority="1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{34fb2ed9-f82e-41c5-a1d0-e0e1dd84277f}</x14:id>
        </ext>
      </extLst>
    </cfRule>
  </conditionalFormatting>
  <conditionalFormatting sqref="D29:D32 D45:D48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{3a891bc4-229a-4957-aab0-b86c2c4e73c4}</x14:id>
        </ext>
      </extLst>
    </cfRule>
  </conditionalFormatting>
  <conditionalFormatting sqref="K29:R48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{947656d4-9bc5-48c0-a251-f726a03c395d}</x14:id>
        </ext>
      </extLst>
    </cfRule>
  </conditionalFormatting>
  <conditionalFormatting sqref="K29:Q3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{8682c37c-139d-4817-be21-97b09dab5031}</x14:id>
        </ext>
      </extLst>
    </cfRule>
  </conditionalFormatting>
  <conditionalFormatting sqref="M29:O30 O35 N31:O34 M31:M4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{94605a6d-6f48-4e79-8015-ec312736ab45}</x14:id>
        </ext>
      </extLst>
    </cfRule>
    <cfRule type="colorScale" priority="22">
      <colorScale>
        <cfvo type="percent" val="0"/>
        <cfvo type="percent" val="0"/>
        <color theme="0"/>
        <color theme="0"/>
      </colorScale>
    </cfRule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{4a0c992b-3ccd-4d4e-a7fd-5762a76fff43}</x14:id>
        </ext>
      </extLst>
    </cfRule>
    <cfRule type="dataBar" priority="2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{e2e55ac2-6154-405b-93d7-d02812764da3}</x14:id>
        </ext>
      </extLst>
    </cfRule>
    <cfRule type="dataBar" priority="2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{31ad4f61-c7a5-4526-8639-57de56b2ffc4}</x14:id>
        </ext>
      </extLst>
    </cfRule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{b19e46ac-e479-4732-b130-0477e04eb58f}</x14:id>
        </ext>
      </extLst>
    </cfRule>
  </conditionalFormatting>
  <conditionalFormatting sqref="P29:R35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{56907da2-cda5-4672-aa99-cdc6d952e7c9}</x14:id>
        </ext>
      </extLst>
    </cfRule>
    <cfRule type="colorScale" priority="15">
      <colorScale>
        <cfvo type="percent" val="0"/>
        <cfvo type="percent" val="0"/>
        <color theme="0"/>
        <color theme="0"/>
      </colorScale>
    </cfRule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{2fabc62d-e946-4324-89da-61b50977aa4e}</x14:id>
        </ext>
      </extLst>
    </cfRule>
    <cfRule type="dataBar" priority="1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{ba1c5d75-0484-43b4-a4c0-55014581c9c0}</x14:id>
        </ext>
      </extLst>
    </cfRule>
    <cfRule type="dataBar" priority="1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{f84e6ab6-ddbc-46ce-abb6-12e75e472336}</x14:id>
        </ext>
      </extLst>
    </cfRule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{4f2c9480-d3c5-4a77-8a55-476b9fb65265}</x14:id>
        </ext>
      </extLst>
    </cfRule>
  </conditionalFormatting>
  <conditionalFormatting sqref="P36:R48">
    <cfRule type="dataBar" priority="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{e89cc779-0a72-40e6-9c0a-c948b649e7fd}</x14:id>
        </ext>
      </extLst>
    </cfRule>
    <cfRule type="colorScale" priority="28">
      <colorScale>
        <cfvo type="percent" val="0"/>
        <cfvo type="percent" val="0"/>
        <color theme="0"/>
        <color theme="0"/>
      </colorScale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{9662bdaf-876c-4371-94ac-6e0238daab1b}</x14:id>
        </ext>
      </extLst>
    </cfRule>
    <cfRule type="dataBar" priority="3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{0f6da7df-1d93-4a74-9ea7-9f0fe4e08644}</x14:id>
        </ext>
      </extLst>
    </cfRule>
    <cfRule type="dataBar" priority="3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{f9c63e37-051e-474d-ab1c-221ae6f31d4b}</x14:id>
        </ext>
      </extLst>
    </cfRule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{4d715eed-bd48-42e5-96c2-817ce6aaba6e}</x14:id>
        </ext>
      </extLst>
    </cfRule>
  </conditionalFormatting>
  <conditionalFormatting sqref="C77:O83 C93:O96 F84:O92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{a7094e3f-978b-4845-a832-15f90b0ab14d}</x14:id>
        </ext>
      </extLst>
    </cfRule>
  </conditionalFormatting>
  <conditionalFormatting sqref="C84:E9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{b15396d3-6e56-4709-b119-b9b547a64c46}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cbc160-b8fb-4f0e-8e38-8b3b1c25ce37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ec6ad40c-fc82-4f3c-8ed5-2f3fe2fe83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72d8352-3236-47f6-8529-437df49fd3b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40341d87-e5f3-4010-bb82-c1c9f469d6b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69188c9e-b33b-41e3-b72d-5c8b1a50be6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386527f-8773-4e50-ae22-42df9b19305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c5c5a158-3bb6-4dca-b540-52bfde24c9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4fb2ed9-f82e-41c5-a1d0-e0e1dd8427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3a891bc4-229a-4957-aab0-b86c2c4e73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947656d4-9bc5-48c0-a251-f726a03c39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8682c37c-139d-4817-be21-97b09dab50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K29:Q39</xm:sqref>
        </x14:conditionalFormatting>
        <x14:conditionalFormatting xmlns:xm="http://schemas.microsoft.com/office/excel/2006/main">
          <x14:cfRule type="dataBar" id="{94605a6d-6f48-4e79-8015-ec312736ab4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4a0c992b-3ccd-4d4e-a7fd-5762a76fff4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2e55ac2-6154-405b-93d7-d02812764da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1ad4f61-c7a5-4526-8639-57de56b2ffc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19e46ac-e479-4732-b130-0477e04eb58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56907da2-cda5-4672-aa99-cdc6d952e7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2fabc62d-e946-4324-89da-61b50977aa4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a1c5d75-0484-43b4-a4c0-55014581c9c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84e6ab6-ddbc-46ce-abb6-12e75e472336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f2c9480-d3c5-4a77-8a55-476b9fb6526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e89cc779-0a72-40e6-9c0a-c948b649e7f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9662bdaf-876c-4371-94ac-6e0238daab1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f6da7df-1d93-4a74-9ea7-9f0fe4e0864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f9c63e37-051e-474d-ab1c-221ae6f31d4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d715eed-bd48-42e5-96c2-817ce6aaba6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a7094e3f-978b-4845-a832-15f90b0ab1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C77:O83 C93:O96 F84:O92</xm:sqref>
        </x14:conditionalFormatting>
        <x14:conditionalFormatting xmlns:xm="http://schemas.microsoft.com/office/excel/2006/main">
          <x14:cfRule type="dataBar" id="{b15396d3-6e56-4709-b119-b9b547a64c4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C84:E92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tabColor rgb="FF7030A0"/>
  </sheetPr>
  <dimension ref="A1:Y96"/>
  <sheetViews>
    <sheetView showGridLines="0" zoomScale="70" zoomScaleNormal="70" topLeftCell="A13" workbookViewId="0">
      <selection activeCell="Q35" sqref="Q35"/>
    </sheetView>
  </sheetViews>
  <sheetFormatPr defaultColWidth="8.44444444444444" defaultRowHeight="13.2"/>
  <cols>
    <col min="1" max="19" width="10.5555555555556" style="16" customWidth="1"/>
    <col min="20" max="16384" width="8.44444444444444" style="16"/>
  </cols>
  <sheetData>
    <row r="1" s="12" customFormat="1" ht="40.8" customHeight="1" spans="1:19">
      <c r="A1" s="17" t="s">
        <v>161</v>
      </c>
      <c r="B1" s="17"/>
      <c r="C1" s="17"/>
      <c r="D1" s="17"/>
      <c r="E1" s="17"/>
      <c r="F1" s="17"/>
      <c r="G1" s="18" t="s">
        <v>151</v>
      </c>
      <c r="H1" s="18"/>
      <c r="I1" s="18"/>
      <c r="J1" s="18">
        <v>456.82</v>
      </c>
      <c r="K1" s="58" t="s">
        <v>2</v>
      </c>
      <c r="L1" s="58" t="s">
        <v>3</v>
      </c>
      <c r="M1" s="58"/>
      <c r="N1" s="58"/>
      <c r="O1" s="58"/>
      <c r="Q1" s="82"/>
      <c r="R1" s="82"/>
      <c r="S1" s="82"/>
    </row>
    <row r="2" ht="1.95" customHeight="1" spans="8:19">
      <c r="H2" s="19"/>
      <c r="P2" s="12"/>
      <c r="Q2" s="82"/>
      <c r="R2" s="82"/>
      <c r="S2" s="82"/>
    </row>
    <row r="3" s="13" customFormat="1" ht="21.9" customHeight="1" spans="1:25">
      <c r="A3" s="20" t="s">
        <v>4</v>
      </c>
      <c r="B3" s="20">
        <v>0</v>
      </c>
      <c r="C3" s="24">
        <v>0.26</v>
      </c>
      <c r="D3" s="10" t="s">
        <v>115</v>
      </c>
      <c r="E3" s="10" t="s">
        <v>46</v>
      </c>
      <c r="F3" s="10" t="s">
        <v>5</v>
      </c>
      <c r="G3" s="10" t="s">
        <v>6</v>
      </c>
      <c r="H3" s="10" t="s">
        <v>7</v>
      </c>
      <c r="I3" s="10" t="s">
        <v>8</v>
      </c>
      <c r="J3" s="10" t="s">
        <v>9</v>
      </c>
      <c r="K3" s="10" t="s">
        <v>10</v>
      </c>
      <c r="L3" s="10" t="s">
        <v>11</v>
      </c>
      <c r="M3" s="10" t="s">
        <v>12</v>
      </c>
      <c r="N3" s="10" t="s">
        <v>13</v>
      </c>
      <c r="O3" s="10" t="s">
        <v>14</v>
      </c>
      <c r="P3" s="59"/>
      <c r="Q3" s="83"/>
      <c r="R3" s="83"/>
      <c r="S3" s="83"/>
      <c r="T3" s="84"/>
      <c r="U3" s="84"/>
      <c r="V3" s="84"/>
      <c r="W3" s="84"/>
      <c r="X3" s="84"/>
      <c r="Y3" s="84"/>
    </row>
    <row r="4" s="13" customFormat="1" ht="21.9" customHeight="1" spans="1:25">
      <c r="A4" s="20"/>
      <c r="B4" s="20"/>
      <c r="C4" s="24">
        <v>0</v>
      </c>
      <c r="D4" s="11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59"/>
      <c r="Q4" s="83"/>
      <c r="R4" s="83"/>
      <c r="S4" s="83"/>
      <c r="T4" s="84"/>
      <c r="U4" s="84"/>
      <c r="V4" s="84"/>
      <c r="W4" s="84"/>
      <c r="X4" s="84"/>
      <c r="Y4" s="84"/>
    </row>
    <row r="5" ht="1.95" customHeight="1" spans="16:19">
      <c r="P5" s="12"/>
      <c r="Q5" s="82"/>
      <c r="R5" s="82"/>
      <c r="S5" s="82"/>
    </row>
    <row r="6" s="13" customFormat="1" ht="24.6" customHeight="1" spans="1:25">
      <c r="A6" s="20" t="s">
        <v>15</v>
      </c>
      <c r="B6" s="20">
        <v>-5.8</v>
      </c>
      <c r="C6" s="23" t="s">
        <v>162</v>
      </c>
      <c r="D6" s="32" t="s">
        <v>163</v>
      </c>
      <c r="E6" s="23" t="s">
        <v>164</v>
      </c>
      <c r="F6" s="23" t="s">
        <v>120</v>
      </c>
      <c r="G6" s="23" t="s">
        <v>121</v>
      </c>
      <c r="H6" s="23" t="s">
        <v>122</v>
      </c>
      <c r="I6" s="23" t="s">
        <v>22</v>
      </c>
      <c r="J6" s="23" t="s">
        <v>23</v>
      </c>
      <c r="K6" s="23" t="s">
        <v>24</v>
      </c>
      <c r="L6" s="23" t="s">
        <v>25</v>
      </c>
      <c r="M6" s="23" t="s">
        <v>26</v>
      </c>
      <c r="N6" s="23" t="s">
        <v>27</v>
      </c>
      <c r="O6" s="23" t="s">
        <v>28</v>
      </c>
      <c r="P6" s="59"/>
      <c r="Q6" s="83"/>
      <c r="R6" s="83"/>
      <c r="S6" s="83"/>
      <c r="T6" s="84"/>
      <c r="U6" s="84"/>
      <c r="V6" s="84"/>
      <c r="W6" s="84"/>
      <c r="X6" s="84"/>
      <c r="Y6" s="84"/>
    </row>
    <row r="7" s="13" customFormat="1" ht="24.6" customHeight="1" spans="1:25">
      <c r="A7" s="20"/>
      <c r="B7" s="20"/>
      <c r="C7" s="10">
        <v>0</v>
      </c>
      <c r="D7" s="24">
        <v>-5.8</v>
      </c>
      <c r="E7" s="10">
        <v>-4.8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59"/>
      <c r="Q7" s="83"/>
      <c r="R7" s="83"/>
      <c r="S7" s="83"/>
      <c r="T7" s="84"/>
      <c r="U7" s="84"/>
      <c r="V7" s="84"/>
      <c r="W7" s="84"/>
      <c r="X7" s="84"/>
      <c r="Y7" s="84"/>
    </row>
    <row r="8" ht="1.95" customHeight="1" spans="16:19">
      <c r="P8" s="12"/>
      <c r="Q8" s="82"/>
      <c r="R8" s="82"/>
      <c r="S8" s="82"/>
    </row>
    <row r="9" s="13" customFormat="1" ht="22.2" customHeight="1" spans="1:25">
      <c r="A9" s="20" t="s">
        <v>29</v>
      </c>
      <c r="B9" s="20">
        <v>0</v>
      </c>
      <c r="C9" s="24" t="s">
        <v>123</v>
      </c>
      <c r="D9" s="10" t="s">
        <v>124</v>
      </c>
      <c r="E9" s="10" t="s">
        <v>125</v>
      </c>
      <c r="F9" s="10" t="s">
        <v>32</v>
      </c>
      <c r="G9" s="10" t="s">
        <v>142</v>
      </c>
      <c r="H9" s="10" t="s">
        <v>143</v>
      </c>
      <c r="I9" s="10" t="s">
        <v>144</v>
      </c>
      <c r="J9" s="10" t="s">
        <v>145</v>
      </c>
      <c r="K9" s="10" t="s">
        <v>128</v>
      </c>
      <c r="L9" s="10" t="s">
        <v>129</v>
      </c>
      <c r="M9" s="10" t="s">
        <v>40</v>
      </c>
      <c r="N9" s="10" t="s">
        <v>41</v>
      </c>
      <c r="O9" s="10" t="s">
        <v>42</v>
      </c>
      <c r="P9" s="60"/>
      <c r="Q9" s="84"/>
      <c r="R9" s="84"/>
      <c r="S9" s="84"/>
      <c r="T9" s="84"/>
      <c r="U9" s="84"/>
      <c r="V9" s="84"/>
      <c r="W9" s="84"/>
      <c r="X9" s="84"/>
      <c r="Y9" s="84"/>
    </row>
    <row r="10" s="13" customFormat="1" ht="22.2" customHeight="1" spans="1:25">
      <c r="A10" s="20"/>
      <c r="B10" s="20"/>
      <c r="C10" s="24">
        <v>0</v>
      </c>
      <c r="D10" s="10">
        <v>0</v>
      </c>
      <c r="E10" s="10">
        <v>0</v>
      </c>
      <c r="F10" s="25">
        <v>2</v>
      </c>
      <c r="G10" s="25"/>
      <c r="H10" s="25"/>
      <c r="I10" s="25"/>
      <c r="J10" s="25"/>
      <c r="K10" s="61"/>
      <c r="L10" s="25"/>
      <c r="M10" s="25"/>
      <c r="N10" s="25"/>
      <c r="O10" s="25"/>
      <c r="P10" s="59"/>
      <c r="Q10" s="85"/>
      <c r="R10" s="85"/>
      <c r="S10" s="85"/>
      <c r="T10" s="85"/>
      <c r="U10" s="85"/>
      <c r="V10" s="84"/>
      <c r="W10" s="84"/>
      <c r="X10" s="84"/>
      <c r="Y10" s="84"/>
    </row>
    <row r="11" ht="1.95" customHeight="1" spans="16:19">
      <c r="P11" s="12"/>
      <c r="Q11" s="82"/>
      <c r="R11" s="82"/>
      <c r="S11" s="82"/>
    </row>
    <row r="12" s="13" customFormat="1" ht="25.2" customHeight="1" spans="1:25">
      <c r="A12" s="20" t="s">
        <v>43</v>
      </c>
      <c r="B12" s="20">
        <v>0</v>
      </c>
      <c r="C12" s="24" t="s">
        <v>114</v>
      </c>
      <c r="D12" s="26" t="s">
        <v>115</v>
      </c>
      <c r="E12" s="10" t="s">
        <v>46</v>
      </c>
      <c r="F12" s="10" t="s">
        <v>5</v>
      </c>
      <c r="G12" s="10" t="s">
        <v>6</v>
      </c>
      <c r="H12" s="10" t="s">
        <v>7</v>
      </c>
      <c r="I12" s="10" t="s">
        <v>8</v>
      </c>
      <c r="J12" s="10" t="s">
        <v>9</v>
      </c>
      <c r="K12" s="10" t="s">
        <v>10</v>
      </c>
      <c r="L12" s="10" t="s">
        <v>11</v>
      </c>
      <c r="M12" s="10" t="s">
        <v>12</v>
      </c>
      <c r="N12" s="10" t="s">
        <v>13</v>
      </c>
      <c r="O12" s="10" t="s">
        <v>14</v>
      </c>
      <c r="P12" s="62"/>
      <c r="Q12" s="83"/>
      <c r="R12" s="83"/>
      <c r="S12" s="83"/>
      <c r="T12" s="84"/>
      <c r="U12" s="84"/>
      <c r="V12" s="84"/>
      <c r="W12" s="84"/>
      <c r="X12" s="84"/>
      <c r="Y12" s="84"/>
    </row>
    <row r="13" s="13" customFormat="1" ht="21.9" customHeight="1" spans="1:25">
      <c r="A13" s="20"/>
      <c r="B13" s="20"/>
      <c r="C13" s="24">
        <v>0</v>
      </c>
      <c r="D13" s="26"/>
      <c r="E13" s="26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59"/>
      <c r="Q13" s="83"/>
      <c r="R13" s="83"/>
      <c r="S13" s="83"/>
      <c r="T13" s="84"/>
      <c r="U13" s="84"/>
      <c r="V13" s="84"/>
      <c r="W13" s="84"/>
      <c r="X13" s="84"/>
      <c r="Y13" s="84"/>
    </row>
    <row r="14" s="13" customFormat="1" ht="21.9" customHeight="1" spans="1:25">
      <c r="A14" s="20" t="s">
        <v>47</v>
      </c>
      <c r="B14" s="20">
        <v>38184</v>
      </c>
      <c r="C14" s="24">
        <v>38184</v>
      </c>
      <c r="D14" s="26"/>
      <c r="E14" s="26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59"/>
      <c r="Q14" s="83"/>
      <c r="R14" s="83"/>
      <c r="S14" s="83"/>
      <c r="T14" s="84"/>
      <c r="U14" s="84"/>
      <c r="V14" s="84"/>
      <c r="W14" s="84"/>
      <c r="X14" s="84"/>
      <c r="Y14" s="84"/>
    </row>
    <row r="15" s="13" customFormat="1" ht="21.9" customHeight="1" spans="1:25">
      <c r="A15" s="20" t="s">
        <v>48</v>
      </c>
      <c r="B15" s="20">
        <v>1</v>
      </c>
      <c r="C15" s="24">
        <v>1</v>
      </c>
      <c r="D15" s="26"/>
      <c r="E15" s="26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9"/>
      <c r="Q15" s="83"/>
      <c r="R15" s="83"/>
      <c r="S15" s="83"/>
      <c r="T15" s="84"/>
      <c r="U15" s="84"/>
      <c r="V15" s="84"/>
      <c r="W15" s="84"/>
      <c r="X15" s="84"/>
      <c r="Y15" s="84"/>
    </row>
    <row r="16" ht="1.95" customHeight="1" spans="16:19">
      <c r="P16" s="12"/>
      <c r="Q16" s="82"/>
      <c r="R16" s="82"/>
      <c r="S16" s="82"/>
    </row>
    <row r="17" s="13" customFormat="1" ht="36" customHeight="1" spans="1:25">
      <c r="A17" s="20" t="s">
        <v>49</v>
      </c>
      <c r="B17" s="27">
        <v>0</v>
      </c>
      <c r="C17" s="28" t="s">
        <v>50</v>
      </c>
      <c r="D17" s="29" t="s">
        <v>51</v>
      </c>
      <c r="E17" s="29" t="s">
        <v>52</v>
      </c>
      <c r="F17" s="29" t="s">
        <v>53</v>
      </c>
      <c r="G17" s="29" t="s">
        <v>54</v>
      </c>
      <c r="H17" s="29" t="s">
        <v>55</v>
      </c>
      <c r="I17" s="29" t="s">
        <v>56</v>
      </c>
      <c r="J17" s="29" t="s">
        <v>57</v>
      </c>
      <c r="K17" s="29" t="s">
        <v>10</v>
      </c>
      <c r="L17" s="29" t="s">
        <v>11</v>
      </c>
      <c r="M17" s="29" t="s">
        <v>12</v>
      </c>
      <c r="N17" s="29" t="s">
        <v>13</v>
      </c>
      <c r="O17" s="29" t="s">
        <v>14</v>
      </c>
      <c r="P17" s="59"/>
      <c r="Q17" s="83"/>
      <c r="R17" s="83"/>
      <c r="S17" s="84"/>
      <c r="T17" s="84"/>
      <c r="U17" s="84"/>
      <c r="V17" s="84"/>
      <c r="W17" s="84"/>
      <c r="X17" s="84"/>
      <c r="Y17" s="84"/>
    </row>
    <row r="18" s="13" customFormat="1" ht="21.9" customHeight="1" spans="1:25">
      <c r="A18" s="20"/>
      <c r="B18" s="30"/>
      <c r="C18" s="24">
        <v>0</v>
      </c>
      <c r="D18" s="10">
        <v>-0.2</v>
      </c>
      <c r="E18" s="10">
        <v>-2.2</v>
      </c>
      <c r="F18" s="10">
        <v>-2.8</v>
      </c>
      <c r="G18" s="10">
        <v>0.2</v>
      </c>
      <c r="H18" s="10">
        <v>0.15</v>
      </c>
      <c r="I18" s="10">
        <v>-1.4</v>
      </c>
      <c r="J18" s="10">
        <v>-1.8</v>
      </c>
      <c r="K18" s="10"/>
      <c r="L18" s="10"/>
      <c r="M18" s="10"/>
      <c r="N18" s="10"/>
      <c r="O18" s="10"/>
      <c r="P18" s="59"/>
      <c r="Q18" s="83"/>
      <c r="R18" s="83"/>
      <c r="S18" s="84"/>
      <c r="T18" s="84"/>
      <c r="U18" s="84"/>
      <c r="V18" s="84"/>
      <c r="W18" s="84"/>
      <c r="X18" s="84"/>
      <c r="Y18" s="84"/>
    </row>
    <row r="19" ht="2.1" customHeight="1" spans="16:19">
      <c r="P19" s="12"/>
      <c r="Q19" s="82"/>
      <c r="R19" s="82"/>
      <c r="S19" s="82"/>
    </row>
    <row r="20" s="13" customFormat="1" ht="34.8" customHeight="1" spans="1:25">
      <c r="A20" s="20" t="s">
        <v>58</v>
      </c>
      <c r="B20" s="20">
        <v>0</v>
      </c>
      <c r="C20" s="32" t="s">
        <v>165</v>
      </c>
      <c r="D20" s="23" t="s">
        <v>166</v>
      </c>
      <c r="E20" s="10" t="s">
        <v>167</v>
      </c>
      <c r="F20" s="10" t="s">
        <v>168</v>
      </c>
      <c r="G20" s="10" t="s">
        <v>169</v>
      </c>
      <c r="H20" s="10" t="s">
        <v>170</v>
      </c>
      <c r="I20" s="10" t="s">
        <v>157</v>
      </c>
      <c r="J20" s="10" t="s">
        <v>66</v>
      </c>
      <c r="K20" s="10" t="s">
        <v>67</v>
      </c>
      <c r="L20" s="10" t="s">
        <v>68</v>
      </c>
      <c r="M20" s="10" t="s">
        <v>69</v>
      </c>
      <c r="N20" s="10" t="s">
        <v>70</v>
      </c>
      <c r="O20" s="10" t="s">
        <v>71</v>
      </c>
      <c r="P20" s="60"/>
      <c r="Q20" s="83"/>
      <c r="R20" s="83"/>
      <c r="S20" s="83"/>
      <c r="T20" s="84"/>
      <c r="U20" s="84"/>
      <c r="V20" s="84"/>
      <c r="W20" s="84"/>
      <c r="X20" s="84"/>
      <c r="Y20" s="84"/>
    </row>
    <row r="21" s="13" customFormat="1" ht="21.6" customHeight="1" spans="1:25">
      <c r="A21" s="20"/>
      <c r="B21" s="20"/>
      <c r="C21" s="24">
        <v>0</v>
      </c>
      <c r="D21" s="10">
        <v>1.2</v>
      </c>
      <c r="E21" s="10"/>
      <c r="F21" s="10"/>
      <c r="G21" s="10"/>
      <c r="H21" s="31"/>
      <c r="I21" s="10"/>
      <c r="J21" s="10"/>
      <c r="K21" s="10"/>
      <c r="L21" s="10"/>
      <c r="M21" s="10"/>
      <c r="N21" s="10"/>
      <c r="O21" s="10"/>
      <c r="P21" s="63"/>
      <c r="Q21" s="86"/>
      <c r="R21" s="86"/>
      <c r="S21" s="86"/>
      <c r="T21" s="87"/>
      <c r="U21" s="84"/>
      <c r="V21" s="84"/>
      <c r="W21" s="84"/>
      <c r="X21" s="84"/>
      <c r="Y21" s="84"/>
    </row>
    <row r="22" ht="2.1" customHeight="1" spans="16:19">
      <c r="P22" s="12"/>
      <c r="Q22" s="82"/>
      <c r="R22" s="82"/>
      <c r="S22" s="82"/>
    </row>
    <row r="23" s="13" customFormat="1" ht="21.6" hidden="1" customHeight="1" spans="1:23">
      <c r="A23" s="20" t="s">
        <v>105</v>
      </c>
      <c r="B23" s="20">
        <v>0</v>
      </c>
      <c r="C23" s="22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60"/>
      <c r="Q23" s="83"/>
      <c r="R23" s="83"/>
      <c r="S23" s="83"/>
      <c r="T23" s="84"/>
      <c r="U23" s="84"/>
      <c r="V23" s="84"/>
      <c r="W23" s="84"/>
    </row>
    <row r="24" s="13" customFormat="1" ht="21.6" hidden="1" customHeight="1" spans="1:23">
      <c r="A24" s="20"/>
      <c r="B24" s="20"/>
      <c r="C24" s="21"/>
      <c r="D24" s="10"/>
      <c r="E24" s="10"/>
      <c r="F24" s="10"/>
      <c r="G24" s="31"/>
      <c r="H24" s="31"/>
      <c r="I24" s="10"/>
      <c r="J24" s="10"/>
      <c r="K24" s="10"/>
      <c r="L24" s="10"/>
      <c r="M24" s="10"/>
      <c r="N24" s="10"/>
      <c r="O24" s="10"/>
      <c r="P24" s="64"/>
      <c r="Q24" s="88"/>
      <c r="R24" s="88"/>
      <c r="S24" s="88"/>
      <c r="T24" s="84"/>
      <c r="U24" s="84"/>
      <c r="V24" s="84"/>
      <c r="W24" s="84"/>
    </row>
    <row r="25" ht="2.1" hidden="1" customHeight="1" spans="16:19">
      <c r="P25" s="12"/>
      <c r="Q25" s="82"/>
      <c r="R25" s="82"/>
      <c r="S25" s="82"/>
    </row>
    <row r="26" s="13" customFormat="1" ht="21.6" customHeight="1" spans="1:25">
      <c r="A26" s="20" t="s">
        <v>73</v>
      </c>
      <c r="B26" s="20">
        <v>-0.5</v>
      </c>
      <c r="C26" s="23" t="s">
        <v>75</v>
      </c>
      <c r="D26" s="32" t="s">
        <v>74</v>
      </c>
      <c r="E26" s="23" t="s">
        <v>159</v>
      </c>
      <c r="F26" s="23" t="s">
        <v>77</v>
      </c>
      <c r="G26" s="23" t="s">
        <v>78</v>
      </c>
      <c r="H26" s="23" t="s">
        <v>79</v>
      </c>
      <c r="I26" s="23" t="s">
        <v>80</v>
      </c>
      <c r="J26" s="23" t="s">
        <v>81</v>
      </c>
      <c r="K26" s="23" t="s">
        <v>82</v>
      </c>
      <c r="L26" s="23" t="s">
        <v>83</v>
      </c>
      <c r="M26" s="23" t="s">
        <v>84</v>
      </c>
      <c r="N26" s="23" t="s">
        <v>85</v>
      </c>
      <c r="O26" s="23" t="s">
        <v>86</v>
      </c>
      <c r="P26" s="65"/>
      <c r="Q26" s="83"/>
      <c r="R26" s="83"/>
      <c r="S26" s="83"/>
      <c r="T26" s="84"/>
      <c r="U26" s="84"/>
      <c r="V26" s="84"/>
      <c r="W26" s="84"/>
      <c r="X26" s="84"/>
      <c r="Y26" s="84"/>
    </row>
    <row r="27" s="13" customFormat="1" ht="21.6" customHeight="1" spans="1:25">
      <c r="A27" s="20"/>
      <c r="B27" s="20"/>
      <c r="C27" s="34">
        <v>-1.54</v>
      </c>
      <c r="D27" s="33">
        <v>-0.5</v>
      </c>
      <c r="E27" s="84"/>
      <c r="F27" s="34"/>
      <c r="G27" s="35"/>
      <c r="H27" s="35"/>
      <c r="I27" s="34"/>
      <c r="J27" s="34"/>
      <c r="K27" s="34"/>
      <c r="L27" s="34"/>
      <c r="M27" s="34"/>
      <c r="N27" s="34"/>
      <c r="O27" s="34"/>
      <c r="P27" s="64"/>
      <c r="Q27" s="88"/>
      <c r="R27" s="88"/>
      <c r="S27" s="88"/>
      <c r="T27" s="84"/>
      <c r="U27" s="84"/>
      <c r="V27" s="84"/>
      <c r="W27" s="84"/>
      <c r="X27" s="84"/>
      <c r="Y27" s="84"/>
    </row>
    <row r="28" s="14" customFormat="1" ht="22.2" customHeight="1" spans="1:19">
      <c r="A28" s="36" t="s">
        <v>87</v>
      </c>
      <c r="B28" s="36" t="s">
        <v>88</v>
      </c>
      <c r="C28" s="36" t="s">
        <v>89</v>
      </c>
      <c r="D28" s="36" t="s">
        <v>90</v>
      </c>
      <c r="E28" s="36">
        <v>33081</v>
      </c>
      <c r="F28" s="36" t="s">
        <v>91</v>
      </c>
      <c r="G28" s="36" t="s">
        <v>92</v>
      </c>
      <c r="H28" s="36" t="s">
        <v>93</v>
      </c>
      <c r="I28" s="36" t="s">
        <v>94</v>
      </c>
      <c r="J28" s="66" t="s">
        <v>95</v>
      </c>
      <c r="K28" s="67">
        <v>435</v>
      </c>
      <c r="L28" s="67">
        <v>440</v>
      </c>
      <c r="M28" s="67">
        <v>445</v>
      </c>
      <c r="N28" s="67">
        <v>450</v>
      </c>
      <c r="O28" s="67">
        <v>455</v>
      </c>
      <c r="P28" s="67">
        <v>460</v>
      </c>
      <c r="Q28" s="67">
        <v>465</v>
      </c>
      <c r="R28" s="67">
        <v>470</v>
      </c>
      <c r="S28" s="89" t="s">
        <v>96</v>
      </c>
    </row>
    <row r="29" s="13" customFormat="1" ht="18" customHeight="1" spans="1:19">
      <c r="A29" s="37" t="s">
        <v>171</v>
      </c>
      <c r="B29" s="37" t="s">
        <v>98</v>
      </c>
      <c r="C29" s="38">
        <v>0.253</v>
      </c>
      <c r="D29" s="39"/>
      <c r="E29" s="40">
        <v>38184</v>
      </c>
      <c r="F29" s="41">
        <f t="shared" ref="F29:F48" si="0">C29*E29/1000</f>
        <v>9.660552</v>
      </c>
      <c r="G29" s="41">
        <f>F29*48</f>
        <v>463.706496</v>
      </c>
      <c r="H29" s="42">
        <f>I29/G29</f>
        <v>0.955905378544913</v>
      </c>
      <c r="I29" s="68">
        <f>G29*(H30+0.15%)</f>
        <v>443.259533592615</v>
      </c>
      <c r="J29" s="68"/>
      <c r="K29" s="69">
        <f>(NORMSDIST((I29-$K$28)/B15)-NORMSDIST((I29-$L$28)/B15))</f>
        <v>0.000557977820593414</v>
      </c>
      <c r="L29" s="69">
        <f>(NORMSDIST((I29-$L$28)/B15)-NORMSDIST((I29-$M$28)/B15))</f>
        <v>0.958553445323345</v>
      </c>
      <c r="M29" s="70">
        <f>(NORMSDIST((I29-$M$28)/B15)-NORMSDIST((I29-$N$28)/B15))</f>
        <v>0.0408885768481671</v>
      </c>
      <c r="N29" s="70">
        <f>(NORMSDIST((I29-$N$28)/B15)-NORMSDIST((I29-$O$28)/B15))</f>
        <v>7.89395020341896e-12</v>
      </c>
      <c r="O29" s="70">
        <f>(NORMSDIST((I29-$O$28)/B15)-NORMSDIST((I29-$P$28)/B15))</f>
        <v>3.95246489199154e-32</v>
      </c>
      <c r="P29" s="70">
        <f>(NORMSDIST((I29-$P$28)/B15)-NORMSDIST((I29-$Q$28)/B15))</f>
        <v>3.32326783802575e-63</v>
      </c>
      <c r="Q29" s="70">
        <f>(NORMSDIST((I29-$Q$28)/B15)-NORMSDIST((I29-$R$28)/B15))</f>
        <v>4.2515194061802e-105</v>
      </c>
      <c r="R29" s="70"/>
      <c r="S29" s="90">
        <f t="shared" ref="S29:S48" si="1">SUM(K29:R29)</f>
        <v>1</v>
      </c>
    </row>
    <row r="30" s="13" customFormat="1" ht="18" customHeight="1" spans="1:19">
      <c r="A30" s="43"/>
      <c r="B30" s="43"/>
      <c r="C30" s="38">
        <f t="shared" ref="C30:C48" si="2">C29+0.1%</f>
        <v>0.254</v>
      </c>
      <c r="D30" s="44"/>
      <c r="E30" s="40">
        <v>38184</v>
      </c>
      <c r="F30" s="41">
        <f t="shared" si="0"/>
        <v>9.698736</v>
      </c>
      <c r="G30" s="41">
        <f t="shared" ref="G30:G37" si="3">F30*48</f>
        <v>465.539328</v>
      </c>
      <c r="H30" s="42">
        <f t="shared" ref="H30:H48" si="4">I30/G30</f>
        <v>0.954405378544913</v>
      </c>
      <c r="I30" s="68">
        <f t="shared" ref="I30:I35" si="5">G30*(H31+0.15%)</f>
        <v>444.313238567385</v>
      </c>
      <c r="J30" s="68"/>
      <c r="K30" s="69">
        <f>(NORMSDIST((I30-$K$28)/B15)-NORMSDIST((I30-$L$28)/B15))</f>
        <v>8.04401768139673e-6</v>
      </c>
      <c r="L30" s="69">
        <f>(NORMSDIST((I30-$L$28)/B15)-NORMSDIST((I30-$M$28)/B15))</f>
        <v>0.753875417372474</v>
      </c>
      <c r="M30" s="70">
        <f>(NORMSDIST((I30-$M$28)/B15)-NORMSDIST((I30-$N$28)/B15))</f>
        <v>0.246116532136289</v>
      </c>
      <c r="N30" s="70">
        <f>(NORMSDIST((I30-$N$28)/B15)-NORMSDIST((I30-$O$28)/B15))</f>
        <v>6.47355613207576e-9</v>
      </c>
      <c r="O30" s="70">
        <f>(NORMSDIST((I30-$O$28)/B15)-NORMSDIST((I30-$P$28)/B15))</f>
        <v>5.86995004479365e-27</v>
      </c>
      <c r="P30" s="70">
        <f>(NORMSDIST((I30-$P$28)/B15)-NORMSDIST((I30-$Q$28)/B15))</f>
        <v>9.31610002103067e-56</v>
      </c>
      <c r="Q30" s="70">
        <f>(NORMSDIST((I30-$Q$28)/B15)-NORMSDIST((I30-$R$28)/B15))</f>
        <v>2.279095825507e-95</v>
      </c>
      <c r="R30" s="70"/>
      <c r="S30" s="90">
        <f t="shared" si="1"/>
        <v>1</v>
      </c>
    </row>
    <row r="31" s="13" customFormat="1" ht="18" customHeight="1" spans="1:19">
      <c r="A31" s="43"/>
      <c r="B31" s="43"/>
      <c r="C31" s="38">
        <f t="shared" si="2"/>
        <v>0.255</v>
      </c>
      <c r="D31" s="45"/>
      <c r="E31" s="40">
        <v>38184</v>
      </c>
      <c r="F31" s="41">
        <f t="shared" si="0"/>
        <v>9.73692</v>
      </c>
      <c r="G31" s="41">
        <f t="shared" si="3"/>
        <v>467.37216</v>
      </c>
      <c r="H31" s="42">
        <f t="shared" si="4"/>
        <v>0.952905378544913</v>
      </c>
      <c r="I31" s="68">
        <f t="shared" si="5"/>
        <v>445.361445046154</v>
      </c>
      <c r="J31" s="71"/>
      <c r="K31" s="69">
        <f>(NORMSDIST((I31-$K$28)/B15)-NORMSDIST((I31-$L$28)/B15))</f>
        <v>4.12794195492339e-8</v>
      </c>
      <c r="L31" s="69">
        <f>(NORMSDIST((I31-$L$28)/B15)-NORMSDIST((I31-$M$28)/B15))</f>
        <v>0.35888334812526</v>
      </c>
      <c r="M31" s="70">
        <f>(NORMSDIST((I31-$M$28)/B15)-NORMSDIST((I31-$N$28)/B15))</f>
        <v>0.641114856327067</v>
      </c>
      <c r="N31" s="72">
        <f>(NORMSDIST((I31-$N$28)/B15)-NORMSDIST((I31-$O$28)/B15))</f>
        <v>1.75426825348234e-6</v>
      </c>
      <c r="O31" s="72">
        <f>(NORMSDIST((I31-$O$28)/B15)-NORMSDIST((I31-$P$28)/B15))</f>
        <v>2.74780611332278e-22</v>
      </c>
      <c r="P31" s="70">
        <f>(NORMSDIST((I31-$P$28)/B15)-NORMSDIST((I31-$Q$28)/B15))</f>
        <v>7.97102629952478e-49</v>
      </c>
      <c r="Q31" s="70">
        <f>(NORMSDIST((I31-$Q$28)/B15)-NORMSDIST((I31-$R$28)/B15))</f>
        <v>3.62149936130858e-86</v>
      </c>
      <c r="R31" s="70"/>
      <c r="S31" s="90">
        <f t="shared" si="1"/>
        <v>1</v>
      </c>
    </row>
    <row r="32" s="15" customFormat="1" ht="18" customHeight="1" spans="1:19">
      <c r="A32" s="43"/>
      <c r="B32" s="43"/>
      <c r="C32" s="38">
        <f t="shared" si="2"/>
        <v>0.256</v>
      </c>
      <c r="D32" s="45"/>
      <c r="E32" s="40">
        <v>38184</v>
      </c>
      <c r="F32" s="46">
        <f t="shared" si="0"/>
        <v>9.775104</v>
      </c>
      <c r="G32" s="41">
        <f t="shared" si="3"/>
        <v>469.204992</v>
      </c>
      <c r="H32" s="47">
        <f t="shared" si="4"/>
        <v>0.951405378544913</v>
      </c>
      <c r="I32" s="68">
        <f t="shared" si="5"/>
        <v>446.404153028923</v>
      </c>
      <c r="J32" s="73"/>
      <c r="K32" s="74">
        <f>(NORMSDIST((I32-$K$28)/B15)-NORMSDIST((I32-$L$28)/B15))</f>
        <v>7.56031903748067e-11</v>
      </c>
      <c r="L32" s="74">
        <f>(NORMSDIST((I32-$L$28)/B15)-NORMSDIST((I32-$M$28)/B15))</f>
        <v>0.0801366426568871</v>
      </c>
      <c r="M32" s="74">
        <f>(NORMSDIST((I32-$M$28)/B15)-NORMSDIST((I32-$N$28)/B15))</f>
        <v>0.919701688346331</v>
      </c>
      <c r="N32" s="74">
        <f>(NORMSDIST((I32-$N$28)/B15)-NORMSDIST((I32-$O$28)/B15))</f>
        <v>0.000161668921178476</v>
      </c>
      <c r="O32" s="74">
        <f>(NORMSDIST((I32-$O$28)/B15)-NORMSDIST((I32-$P$28)/B15))</f>
        <v>4.13264434407439e-18</v>
      </c>
      <c r="P32" s="74">
        <f>(NORMSDIST((I32-$P$28)/B15)-NORMSDIST((I32-$Q$28)/B15))</f>
        <v>2.11912861613285e-42</v>
      </c>
      <c r="Q32" s="74">
        <f>(NORMSDIST((I32-$Q$28)/B15)-NORMSDIST((I32-$R$28)/B15))</f>
        <v>1.73592755092524e-77</v>
      </c>
      <c r="R32" s="74"/>
      <c r="S32" s="90">
        <f t="shared" si="1"/>
        <v>1</v>
      </c>
    </row>
    <row r="33" s="13" customFormat="1" ht="18" customHeight="1" spans="1:19">
      <c r="A33" s="43"/>
      <c r="B33" s="43"/>
      <c r="C33" s="38">
        <f t="shared" si="2"/>
        <v>0.257</v>
      </c>
      <c r="D33" s="49"/>
      <c r="E33" s="40">
        <v>38184</v>
      </c>
      <c r="F33" s="41">
        <f t="shared" si="0"/>
        <v>9.813288</v>
      </c>
      <c r="G33" s="41">
        <f t="shared" si="3"/>
        <v>471.037824</v>
      </c>
      <c r="H33" s="42">
        <f t="shared" si="4"/>
        <v>0.949905378544913</v>
      </c>
      <c r="I33" s="68">
        <f t="shared" si="5"/>
        <v>447.441362515692</v>
      </c>
      <c r="J33" s="73"/>
      <c r="K33" s="69">
        <f>(NORMSDIST((I33-$K$28)/B15)-NORMSDIST((I33-$L$28)/B15))</f>
        <v>4.98490138056695e-14</v>
      </c>
      <c r="L33" s="69">
        <f>(NORMSDIST((I33-$L$28)/B15)-NORMSDIST((I33-$M$28)/B15))</f>
        <v>0.00731597925021443</v>
      </c>
      <c r="M33" s="70">
        <f>(NORMSDIST((I33-$M$28)/B15)-NORMSDIST((I33-$N$28)/B15))</f>
        <v>0.987429857801852</v>
      </c>
      <c r="N33" s="70">
        <f>(NORMSDIST((I33-$N$28)/B15)-NORMSDIST((I33-$O$28)/B15))</f>
        <v>0.00525416294786375</v>
      </c>
      <c r="O33" s="70">
        <f>(NORMSDIST((I33-$O$28)/B15)-NORMSDIST((I33-$P$28)/B15))</f>
        <v>2.03656671388306e-14</v>
      </c>
      <c r="P33" s="70">
        <f>(NORMSDIST((I33-$P$28)/B15)-NORMSDIST((I33-$Q$28)/B15))</f>
        <v>1.78208767087883e-36</v>
      </c>
      <c r="Q33" s="70">
        <f>(NORMSDIST((I33-$Q$28)/B15)-NORMSDIST((I33-$R$28)/B15))</f>
        <v>2.55434056390489e-69</v>
      </c>
      <c r="R33" s="70"/>
      <c r="S33" s="90">
        <f t="shared" si="1"/>
        <v>1</v>
      </c>
    </row>
    <row r="34" s="13" customFormat="1" ht="18" customHeight="1" spans="1:19">
      <c r="A34" s="43"/>
      <c r="B34" s="43"/>
      <c r="C34" s="38">
        <f t="shared" si="2"/>
        <v>0.258</v>
      </c>
      <c r="D34" s="49"/>
      <c r="E34" s="40">
        <v>38184</v>
      </c>
      <c r="F34" s="41">
        <f t="shared" si="0"/>
        <v>9.851472</v>
      </c>
      <c r="G34" s="41">
        <f t="shared" si="3"/>
        <v>472.870656</v>
      </c>
      <c r="H34" s="42">
        <f t="shared" si="4"/>
        <v>0.948405378544913</v>
      </c>
      <c r="I34" s="68">
        <f t="shared" si="5"/>
        <v>448.473073506461</v>
      </c>
      <c r="J34" s="75"/>
      <c r="K34" s="69">
        <f>(NORMSDIST((I34-$K$28)/B15)-NORMSDIST((I34-$L$28)/B15))</f>
        <v>0</v>
      </c>
      <c r="L34" s="69">
        <f>(NORMSDIST((I34-$L$28)/B15)-NORMSDIST((I34-$M$28)/B15))</f>
        <v>0.000257267206878686</v>
      </c>
      <c r="M34" s="70">
        <f>(NORMSDIST((I34-$M$28)/B15)-NORMSDIST((I34-$N$28)/B15))</f>
        <v>0.93635308741801</v>
      </c>
      <c r="N34" s="70">
        <f>(NORMSDIST((I34-$N$28)/B15)-NORMSDIST((I34-$O$28)/B15))</f>
        <v>0.0633896453415451</v>
      </c>
      <c r="O34" s="70">
        <f>(NORMSDIST((I34-$O$28)/B15)-NORMSDIST((I34-$P$28)/B15))</f>
        <v>3.35664858178599e-11</v>
      </c>
      <c r="P34" s="70">
        <f>(NORMSDIST((I34-$P$28)/B15)-NORMSDIST((I34-$Q$28)/B15))</f>
        <v>4.82642914290047e-31</v>
      </c>
      <c r="Q34" s="70">
        <f>(NORMSDIST((I34-$Q$28)/B15)-NORMSDIST((I34-$R$28)/B15))</f>
        <v>1.17407816922714e-61</v>
      </c>
      <c r="R34" s="70"/>
      <c r="S34" s="90">
        <f t="shared" si="1"/>
        <v>1</v>
      </c>
    </row>
    <row r="35" s="13" customFormat="1" ht="18" customHeight="1" spans="1:19">
      <c r="A35" s="43"/>
      <c r="B35" s="43"/>
      <c r="C35" s="38">
        <f t="shared" si="2"/>
        <v>0.259</v>
      </c>
      <c r="D35" s="49"/>
      <c r="E35" s="40">
        <v>38184</v>
      </c>
      <c r="F35" s="41">
        <f t="shared" si="0"/>
        <v>9.889656</v>
      </c>
      <c r="G35" s="41">
        <f t="shared" si="3"/>
        <v>474.703488</v>
      </c>
      <c r="H35" s="42">
        <f t="shared" si="4"/>
        <v>0.946905378544913</v>
      </c>
      <c r="I35" s="68">
        <f t="shared" si="5"/>
        <v>449.499286001231</v>
      </c>
      <c r="J35" s="76"/>
      <c r="K35" s="69">
        <f>(NORMSDIST((I35-$K$28)/B15)-NORMSDIST((I35-$L$28)/B15))</f>
        <v>0</v>
      </c>
      <c r="L35" s="69">
        <f>(NORMSDIST((I35-$L$28)/B15)-NORMSDIST((I35-$M$28)/B15))</f>
        <v>3.40910384888371e-6</v>
      </c>
      <c r="M35" s="70">
        <f>(NORMSDIST((I35-$M$28)/B15)-NORMSDIST((I35-$N$28)/B15))</f>
        <v>0.691710381493934</v>
      </c>
      <c r="N35" s="70">
        <f>(NORMSDIST((I35-$N$28)/B15)-NORMSDIST((I35-$O$28)/B15))</f>
        <v>0.308286190489399</v>
      </c>
      <c r="O35" s="70">
        <f>(NORMSDIST((I35-$O$28)/B15)-NORMSDIST((I35-$P$28)/B15))</f>
        <v>1.89128173057485e-8</v>
      </c>
      <c r="P35" s="70">
        <f>(NORMSDIST((I35-$P$28)/B15)-NORMSDIST((I35-$Q$28)/B15))</f>
        <v>4.28646034597682e-26</v>
      </c>
      <c r="Q35" s="70">
        <f>(NORMSDIST((I35-$Q$28)/B15)-NORMSDIST((I35-$R$28)/B15))</f>
        <v>1.715292566488e-54</v>
      </c>
      <c r="R35" s="70"/>
      <c r="S35" s="90">
        <f t="shared" si="1"/>
        <v>1</v>
      </c>
    </row>
    <row r="36" s="15" customFormat="1" ht="18" customHeight="1" spans="1:19">
      <c r="A36" s="43"/>
      <c r="B36" s="43"/>
      <c r="C36" s="50">
        <f t="shared" si="2"/>
        <v>0.26</v>
      </c>
      <c r="D36" s="49">
        <v>0.0341140293136703</v>
      </c>
      <c r="E36" s="51">
        <v>38184</v>
      </c>
      <c r="F36" s="52">
        <f t="shared" si="0"/>
        <v>9.92784</v>
      </c>
      <c r="G36" s="52">
        <f t="shared" si="3"/>
        <v>476.53632</v>
      </c>
      <c r="H36" s="53">
        <f t="shared" si="4"/>
        <v>0.945405378544913</v>
      </c>
      <c r="I36" s="77">
        <v>450.52</v>
      </c>
      <c r="J36" s="77" t="s">
        <v>99</v>
      </c>
      <c r="K36" s="78">
        <f>(NORMSDIST((I36-$K$28)/B15)-NORMSDIST((I36-$L$28)/B15))</f>
        <v>0</v>
      </c>
      <c r="L36" s="78">
        <f>(NORMSDIST((I36-$L$28)/B15)-NORMSDIST((I36-$M$28)/B15))</f>
        <v>1.69499830837694e-8</v>
      </c>
      <c r="M36" s="79">
        <f>(NORMSDIST((I36-$M$28)/B15)-NORMSDIST((I36-$N$28)/B15))</f>
        <v>0.301531770596989</v>
      </c>
      <c r="N36" s="79">
        <f>(NORMSDIST((I36-$N$28)/B15)-NORMSDIST((I36-$O$28)/B15))</f>
        <v>0.698464480301067</v>
      </c>
      <c r="O36" s="79">
        <f>(NORMSDIST((I36-$O$28)/B15)-NORMSDIST((I36-$P$28)/B15))</f>
        <v>3.73215196051416e-6</v>
      </c>
      <c r="P36" s="79">
        <f>(NORMSDIST((I36-$P$28)/B15)-NORMSDIST((I36-$Q$28)/B15))</f>
        <v>1.27141536357804e-21</v>
      </c>
      <c r="Q36" s="79">
        <f>(NORMSDIST((I36-$Q$28)/B15)-NORMSDIST((I36-$R$28)/B15))</f>
        <v>8.10485874205449e-48</v>
      </c>
      <c r="R36" s="79"/>
      <c r="S36" s="91">
        <f t="shared" si="1"/>
        <v>1</v>
      </c>
    </row>
    <row r="37" s="13" customFormat="1" ht="18" customHeight="1" spans="1:19">
      <c r="A37" s="43"/>
      <c r="B37" s="43"/>
      <c r="C37" s="38">
        <f t="shared" si="2"/>
        <v>0.261</v>
      </c>
      <c r="D37" s="49">
        <v>0.0586334878828709</v>
      </c>
      <c r="E37" s="40">
        <v>38184</v>
      </c>
      <c r="F37" s="41">
        <f t="shared" si="0"/>
        <v>9.966024</v>
      </c>
      <c r="G37" s="41">
        <f t="shared" si="3"/>
        <v>478.369152</v>
      </c>
      <c r="H37" s="42">
        <f t="shared" si="4"/>
        <v>0.943905378544914</v>
      </c>
      <c r="I37" s="68">
        <f>G37*(H36-0.15%)</f>
        <v>451.535215502769</v>
      </c>
      <c r="J37" s="75"/>
      <c r="K37" s="69">
        <f>(NORMSDIST((I37-$K$28)/B15)-NORMSDIST((I37-$L$28)/B15))</f>
        <v>0</v>
      </c>
      <c r="L37" s="69">
        <f>(NORMSDIST((I37-$L$28)/B15)-NORMSDIST((I37-$M$28)/B15))</f>
        <v>3.17590398424272e-11</v>
      </c>
      <c r="M37" s="70">
        <f>(NORMSDIST((I37-$M$28)/B15)-NORMSDIST((I37-$N$28)/B15))</f>
        <v>0.0623654507281765</v>
      </c>
      <c r="N37" s="70">
        <f>(NORMSDIST((I37-$N$28)/B15)-NORMSDIST((I37-$O$28)/B15))</f>
        <v>0.937369220977143</v>
      </c>
      <c r="O37" s="70">
        <f>(NORMSDIST((I37-$O$28)/B15)-NORMSDIST((I37-$P$28)/B15))</f>
        <v>0.000265328262921286</v>
      </c>
      <c r="P37" s="70">
        <f>(NORMSDIST((I37-$P$28)/B15)-NORMSDIST((I37-$Q$28)/B15))</f>
        <v>1.28313378357934e-17</v>
      </c>
      <c r="Q37" s="70">
        <f>(NORMSDIST((I37-$Q$28)/B15)-NORMSDIST((I37-$R$28)/B15))</f>
        <v>1.26026263333064e-41</v>
      </c>
      <c r="R37" s="70"/>
      <c r="S37" s="90">
        <f t="shared" si="1"/>
        <v>1</v>
      </c>
    </row>
    <row r="38" s="84" customFormat="1" ht="18" customHeight="1" spans="1:19">
      <c r="A38" s="43"/>
      <c r="B38" s="43"/>
      <c r="C38" s="103">
        <f t="shared" si="2"/>
        <v>0.262</v>
      </c>
      <c r="D38" s="44">
        <v>0.0841203302499458</v>
      </c>
      <c r="E38" s="104">
        <v>38184</v>
      </c>
      <c r="F38" s="105">
        <f t="shared" si="0"/>
        <v>10.004208</v>
      </c>
      <c r="G38" s="105">
        <f t="shared" ref="G38:G48" si="6">F38*48</f>
        <v>480.201984</v>
      </c>
      <c r="H38" s="47">
        <f t="shared" si="4"/>
        <v>0.942405378544914</v>
      </c>
      <c r="I38" s="68">
        <f>G38*(H37-0.15%)</f>
        <v>452.544932509539</v>
      </c>
      <c r="J38" s="75"/>
      <c r="K38" s="74">
        <f>(NORMSDIST((I38-$K$28)/B15)-NORMSDIST((I38-$L$28)/B15))</f>
        <v>0</v>
      </c>
      <c r="L38" s="74">
        <f>(NORMSDIST((I38-$L$28)/B15)-NORMSDIST((I38-$M$28)/B15))</f>
        <v>2.26485497023532e-14</v>
      </c>
      <c r="M38" s="74">
        <f>(NORMSDIST((I38-$M$28)/B15)-NORMSDIST((I38-$N$28)/B15))</f>
        <v>0.00546494305268741</v>
      </c>
      <c r="N38" s="74">
        <f>(NORMSDIST((I38-$N$28)/B15)-NORMSDIST((I38-$O$28)/B15))</f>
        <v>0.987492149934088</v>
      </c>
      <c r="O38" s="74">
        <f>(NORMSDIST((I38-$O$28)/B15)-NORMSDIST((I38-$P$28)/B15))</f>
        <v>0.00704290701315741</v>
      </c>
      <c r="P38" s="74">
        <f>(NORMSDIST((I38-$P$28)/B15)-NORMSDIST((I38-$Q$28)/B15))</f>
        <v>4.49109196101879e-14</v>
      </c>
      <c r="Q38" s="74">
        <f>(NORMSDIST((I38-$Q$28)/B15)-NORMSDIST((I38-$R$28)/B15))</f>
        <v>6.56202088237159e-36</v>
      </c>
      <c r="R38" s="74"/>
      <c r="S38" s="103">
        <f t="shared" si="1"/>
        <v>1</v>
      </c>
    </row>
    <row r="39" s="84" customFormat="1" ht="18" customHeight="1" spans="1:19">
      <c r="A39" s="43"/>
      <c r="B39" s="43"/>
      <c r="C39" s="103">
        <f t="shared" si="2"/>
        <v>0.263</v>
      </c>
      <c r="D39" s="44">
        <v>0.231516943533095</v>
      </c>
      <c r="E39" s="104">
        <v>38184</v>
      </c>
      <c r="F39" s="105">
        <f t="shared" si="0"/>
        <v>10.042392</v>
      </c>
      <c r="G39" s="105">
        <f t="shared" si="6"/>
        <v>482.034816</v>
      </c>
      <c r="H39" s="47">
        <f t="shared" si="4"/>
        <v>0.940905378544914</v>
      </c>
      <c r="I39" s="68">
        <f>G39*(H38-0.15%)</f>
        <v>453.549151020308</v>
      </c>
      <c r="J39" s="75"/>
      <c r="K39" s="74">
        <f>(NORMSDIST((I39-$K$28)/B15)-NORMSDIST((I39-$L$28)/B15))</f>
        <v>0</v>
      </c>
      <c r="L39" s="74">
        <f>(NORMSDIST((I39-$L$28)/B15)-NORMSDIST((I39-$M$28)/B15))</f>
        <v>0</v>
      </c>
      <c r="M39" s="74">
        <f>(NORMSDIST((I39-$M$28)/B15)-NORMSDIST((I39-$N$28)/B15))</f>
        <v>0.000193237680835123</v>
      </c>
      <c r="N39" s="74">
        <f>(NORMSDIST((I39-$N$28)/B15)-NORMSDIST((I39-$O$28)/B15))</f>
        <v>0.926395803584347</v>
      </c>
      <c r="O39" s="74">
        <f>(NORMSDIST((I39-$O$28)/B15)-NORMSDIST((I39-$P$28)/B15))</f>
        <v>0.0734109586792056</v>
      </c>
      <c r="P39" s="74">
        <f>(NORMSDIST((I39-$P$28)/B15)-NORMSDIST((I39-$Q$28)/B15))</f>
        <v>5.5612647229097e-11</v>
      </c>
      <c r="Q39" s="74">
        <f>(NORMSDIST((I39-$Q$28)/B15)-NORMSDIST((I39-$R$28)/B15))</f>
        <v>1.16426843014083e-30</v>
      </c>
      <c r="R39" s="74"/>
      <c r="S39" s="103">
        <f t="shared" si="1"/>
        <v>1</v>
      </c>
    </row>
    <row r="40" s="13" customFormat="1" ht="18" customHeight="1" spans="1:19">
      <c r="A40" s="43"/>
      <c r="B40" s="43"/>
      <c r="C40" s="38">
        <f t="shared" si="2"/>
        <v>0.264</v>
      </c>
      <c r="D40" s="49">
        <v>0.320133020125304</v>
      </c>
      <c r="E40" s="40">
        <v>38184</v>
      </c>
      <c r="F40" s="41">
        <f t="shared" si="0"/>
        <v>10.080576</v>
      </c>
      <c r="G40" s="41">
        <f t="shared" si="6"/>
        <v>483.867648</v>
      </c>
      <c r="H40" s="42">
        <f t="shared" si="4"/>
        <v>0.939405378544914</v>
      </c>
      <c r="I40" s="68">
        <f t="shared" ref="I40:I48" si="7">G40*(H39-0.15%)</f>
        <v>454.547871035077</v>
      </c>
      <c r="J40" s="68"/>
      <c r="K40" s="69">
        <f>(NORMSDIST((I40-$K$28)/B15)-NORMSDIST((I40-$L$28)/B15))</f>
        <v>0</v>
      </c>
      <c r="L40" s="69">
        <f>(NORMSDIST((I40-$L$28)/B15)-NORMSDIST((I40-$M$28)/B15))</f>
        <v>0</v>
      </c>
      <c r="M40" s="70">
        <f>(NORMSDIST((I40-$M$28)/B15)-NORMSDIST((I40-$N$28)/B15))</f>
        <v>2.70956625103569e-6</v>
      </c>
      <c r="N40" s="70">
        <f>(NORMSDIST((I40-$N$28)/B15)-NORMSDIST((I40-$O$28)/B15))</f>
        <v>0.67440925127143</v>
      </c>
      <c r="O40" s="70">
        <f>(NORMSDIST((I40-$O$28)/B15)-NORMSDIST((I40-$P$28)/B15))</f>
        <v>0.325588014277149</v>
      </c>
      <c r="P40" s="70">
        <f>(NORMSDIST((I40-$P$28)/B15)-NORMSDIST((I40-$Q$28)/B15))</f>
        <v>2.48851696923058e-8</v>
      </c>
      <c r="Q40" s="70">
        <f>(NORMSDIST((I40-$Q$28)/B15)-NORMSDIST((I40-$R$28)/B15))</f>
        <v>7.16361872286678e-26</v>
      </c>
      <c r="R40" s="70"/>
      <c r="S40" s="90">
        <f t="shared" si="1"/>
        <v>1</v>
      </c>
    </row>
    <row r="41" s="13" customFormat="1" ht="18" customHeight="1" spans="1:19">
      <c r="A41" s="43"/>
      <c r="B41" s="43"/>
      <c r="C41" s="38">
        <f t="shared" si="2"/>
        <v>0.265</v>
      </c>
      <c r="D41" s="49">
        <v>0.22052468114755</v>
      </c>
      <c r="E41" s="40">
        <v>38184</v>
      </c>
      <c r="F41" s="41">
        <f t="shared" si="0"/>
        <v>10.11876</v>
      </c>
      <c r="G41" s="41">
        <f t="shared" si="6"/>
        <v>485.70048</v>
      </c>
      <c r="H41" s="42">
        <f t="shared" si="4"/>
        <v>0.937905378544914</v>
      </c>
      <c r="I41" s="68">
        <f t="shared" si="7"/>
        <v>455.541092553846</v>
      </c>
      <c r="J41" s="68"/>
      <c r="K41" s="69">
        <f>(NORMSDIST((I41-$K$28)/B15)-NORMSDIST((I41-$L$28)/B15))</f>
        <v>0</v>
      </c>
      <c r="L41" s="69">
        <f>(NORMSDIST((I41-$L$28)/B15)-NORMSDIST((I41-$M$28)/B15))</f>
        <v>0</v>
      </c>
      <c r="M41" s="70">
        <f>(NORMSDIST((I41-$M$28)/B15)-NORMSDIST((I41-$N$28)/B15))</f>
        <v>1.50295140777246e-8</v>
      </c>
      <c r="N41" s="70">
        <f>(NORMSDIST((I41-$N$28)/B15)-NORMSDIST((I41-$O$28)/B15))</f>
        <v>0.294221880137576</v>
      </c>
      <c r="O41" s="70">
        <f>(NORMSDIST((I41-$O$28)/B15)-NORMSDIST((I41-$P$28)/B15))</f>
        <v>0.705773985908883</v>
      </c>
      <c r="P41" s="70">
        <f>(NORMSDIST((I41-$P$28)/B15)-NORMSDIST((I41-$Q$28)/B15))</f>
        <v>4.11892402743474e-6</v>
      </c>
      <c r="Q41" s="70">
        <f>(NORMSDIST((I41-$Q$28)/B15)-NORMSDIST((I41-$R$28)/B15))</f>
        <v>1.55588733530627e-21</v>
      </c>
      <c r="R41" s="70"/>
      <c r="S41" s="90">
        <f t="shared" si="1"/>
        <v>1</v>
      </c>
    </row>
    <row r="42" s="13" customFormat="1" ht="18" customHeight="1" spans="1:19">
      <c r="A42" s="43"/>
      <c r="B42" s="43"/>
      <c r="C42" s="38">
        <f t="shared" si="2"/>
        <v>0.266</v>
      </c>
      <c r="D42" s="49">
        <v>0.0509575077475633</v>
      </c>
      <c r="E42" s="40">
        <v>38184</v>
      </c>
      <c r="F42" s="41">
        <f t="shared" si="0"/>
        <v>10.156944</v>
      </c>
      <c r="G42" s="41">
        <f t="shared" si="6"/>
        <v>487.533312</v>
      </c>
      <c r="H42" s="42">
        <f t="shared" si="4"/>
        <v>0.936405378544914</v>
      </c>
      <c r="I42" s="68">
        <f t="shared" si="7"/>
        <v>456.528815576616</v>
      </c>
      <c r="J42" s="68"/>
      <c r="K42" s="69">
        <f>(NORMSDIST((I42-$K$28)/B15)-NORMSDIST((I42-$L$28)/B15))</f>
        <v>0</v>
      </c>
      <c r="L42" s="69">
        <f>(NORMSDIST((I42-$L$28)/B15)-NORMSDIST((I42-$M$28)/B15))</f>
        <v>0</v>
      </c>
      <c r="M42" s="70">
        <f>(NORMSDIST((I42-$M$28)/B15)-NORMSDIST((I42-$N$28)/B15))</f>
        <v>3.3145930444789e-11</v>
      </c>
      <c r="N42" s="70">
        <f>(NORMSDIST((I42-$N$28)/B15)-NORMSDIST((I42-$O$28)/B15))</f>
        <v>0.0631550848394231</v>
      </c>
      <c r="O42" s="70">
        <f>(NORMSDIST((I42-$O$28)/B15)-NORMSDIST((I42-$P$28)/B15))</f>
        <v>0.936585831132415</v>
      </c>
      <c r="P42" s="70">
        <f>(NORMSDIST((I42-$P$28)/B15)-NORMSDIST((I42-$Q$28)/B15))</f>
        <v>0.00025908399501546</v>
      </c>
      <c r="Q42" s="70">
        <f>(NORMSDIST((I42-$Q$28)/B15)-NORMSDIST((I42-$R$28)/B15))</f>
        <v>1.21455146489149e-17</v>
      </c>
      <c r="R42" s="70"/>
      <c r="S42" s="90">
        <f t="shared" si="1"/>
        <v>1</v>
      </c>
    </row>
    <row r="43" s="13" customFormat="1" ht="18" customHeight="1" spans="1:19">
      <c r="A43" s="43"/>
      <c r="B43" s="43"/>
      <c r="C43" s="38">
        <f t="shared" si="2"/>
        <v>0.267</v>
      </c>
      <c r="D43" s="49">
        <v>0</v>
      </c>
      <c r="E43" s="40">
        <v>38184</v>
      </c>
      <c r="F43" s="41">
        <f t="shared" si="0"/>
        <v>10.195128</v>
      </c>
      <c r="G43" s="41">
        <f t="shared" si="6"/>
        <v>489.366144</v>
      </c>
      <c r="H43" s="42">
        <f t="shared" si="4"/>
        <v>0.934905378544914</v>
      </c>
      <c r="I43" s="68">
        <f t="shared" si="7"/>
        <v>457.511040103385</v>
      </c>
      <c r="J43" s="68"/>
      <c r="K43" s="69">
        <f>(NORMSDIST((I43-$K$28)/B15)-NORMSDIST((I43-$L$28)/B15))</f>
        <v>0</v>
      </c>
      <c r="L43" s="69">
        <f>(NORMSDIST((I43-$L$28)/B15)-NORMSDIST((I43-$M$28)/B15))</f>
        <v>0</v>
      </c>
      <c r="M43" s="70">
        <f>(NORMSDIST((I43-$M$28)/B15)-NORMSDIST((I43-$N$28)/B15))</f>
        <v>2.93098878501041e-14</v>
      </c>
      <c r="N43" s="70">
        <f>(NORMSDIST((I43-$N$28)/B15)-NORMSDIST((I43-$O$28)/B15))</f>
        <v>0.00601880104784935</v>
      </c>
      <c r="O43" s="70">
        <f>(NORMSDIST((I43-$O$28)/B15)-NORMSDIST((I43-$P$28)/B15))</f>
        <v>0.987575328128835</v>
      </c>
      <c r="P43" s="70">
        <f>(NORMSDIST((I43-$P$28)/B15)-NORMSDIST((I43-$Q$28)/B15))</f>
        <v>0.0064058708232514</v>
      </c>
      <c r="Q43" s="70">
        <f>(NORMSDIST((I43-$Q$28)/B15)-NORMSDIST((I43-$R$28)/B15))</f>
        <v>3.47107733866008e-14</v>
      </c>
      <c r="R43" s="70"/>
      <c r="S43" s="90">
        <f t="shared" si="1"/>
        <v>1</v>
      </c>
    </row>
    <row r="44" s="13" customFormat="1" ht="18" hidden="1" customHeight="1" spans="1:19">
      <c r="A44" s="43"/>
      <c r="B44" s="43"/>
      <c r="C44" s="38">
        <f t="shared" si="2"/>
        <v>0.268</v>
      </c>
      <c r="D44" s="49"/>
      <c r="E44" s="40">
        <v>38184</v>
      </c>
      <c r="F44" s="41">
        <f t="shared" si="0"/>
        <v>10.233312</v>
      </c>
      <c r="G44" s="41">
        <f t="shared" si="6"/>
        <v>491.198976</v>
      </c>
      <c r="H44" s="42">
        <f t="shared" si="4"/>
        <v>0.933405378544914</v>
      </c>
      <c r="I44" s="68">
        <f t="shared" si="7"/>
        <v>458.487766134154</v>
      </c>
      <c r="J44" s="68"/>
      <c r="K44" s="69">
        <f>(NORMSDIST((I44-$K$28)/B15)-NORMSDIST((I44-$L$28)/B15))</f>
        <v>0</v>
      </c>
      <c r="L44" s="69">
        <f>(NORMSDIST((I44-$L$28)/B15)-NORMSDIST((I44-$M$28)/B15))</f>
        <v>0</v>
      </c>
      <c r="M44" s="70">
        <f>(NORMSDIST((I44-$M$28)/B15)-NORMSDIST((I44-$N$28)/B15))</f>
        <v>0</v>
      </c>
      <c r="N44" s="70">
        <f>(NORMSDIST((I44-$N$28)/B15)-NORMSDIST((I44-$O$28)/B15))</f>
        <v>0.000243536956004764</v>
      </c>
      <c r="O44" s="70">
        <f>(NORMSDIST((I44-$O$28)/B15)-NORMSDIST((I44-$P$28)/B15))</f>
        <v>0.934519273776984</v>
      </c>
      <c r="P44" s="70">
        <f>(NORMSDIST((I44-$P$28)/B15)-NORMSDIST((I44-$Q$28)/B15))</f>
        <v>0.0652371892299911</v>
      </c>
      <c r="Q44" s="70">
        <f>(NORMSDIST((I44-$Q$28)/B15)-NORMSDIST((I44-$R$28)/B15))</f>
        <v>3.70206606225249e-11</v>
      </c>
      <c r="R44" s="70"/>
      <c r="S44" s="90">
        <f t="shared" si="1"/>
        <v>1</v>
      </c>
    </row>
    <row r="45" s="13" customFormat="1" ht="18" hidden="1" customHeight="1" spans="1:19">
      <c r="A45" s="43"/>
      <c r="B45" s="43"/>
      <c r="C45" s="38">
        <f t="shared" si="2"/>
        <v>0.269</v>
      </c>
      <c r="D45" s="55"/>
      <c r="E45" s="40">
        <v>38184</v>
      </c>
      <c r="F45" s="41">
        <f t="shared" si="0"/>
        <v>10.271496</v>
      </c>
      <c r="G45" s="41">
        <f t="shared" si="6"/>
        <v>493.031808</v>
      </c>
      <c r="H45" s="42">
        <f t="shared" si="4"/>
        <v>0.931905378544914</v>
      </c>
      <c r="I45" s="68">
        <f t="shared" si="7"/>
        <v>459.458993668923</v>
      </c>
      <c r="J45" s="68"/>
      <c r="K45" s="69">
        <f>(NORMSDIST((I45-$K$28)/B15)-NORMSDIST((I45-$L$28)/B15))</f>
        <v>0</v>
      </c>
      <c r="L45" s="69">
        <f>(NORMSDIST((I45-$L$28)/B15)-NORMSDIST((I45-$M$28)/B15))</f>
        <v>0</v>
      </c>
      <c r="M45" s="70">
        <f>(NORMSDIST((I45-$M$28)/B15)-NORMSDIST((I45-$N$28)/B15))</f>
        <v>0</v>
      </c>
      <c r="N45" s="70">
        <f>(NORMSDIST((I45-$N$28)/B15)-NORMSDIST((I45-$O$28)/B15))</f>
        <v>4.11726765325859e-6</v>
      </c>
      <c r="O45" s="70">
        <f>(NORMSDIST((I45-$O$28)/B15)-NORMSDIST((I45-$P$28)/B15))</f>
        <v>0.705744273262342</v>
      </c>
      <c r="P45" s="70">
        <f>(NORMSDIST((I45-$P$28)/B15)-NORMSDIST((I45-$Q$28)/B15))</f>
        <v>0.294251594433088</v>
      </c>
      <c r="Q45" s="70">
        <f>(NORMSDIST((I45-$Q$28)/B15)-NORMSDIST((I45-$R$28)/B15))</f>
        <v>1.50369171709868e-8</v>
      </c>
      <c r="R45" s="70"/>
      <c r="S45" s="90">
        <f t="shared" si="1"/>
        <v>1</v>
      </c>
    </row>
    <row r="46" s="13" customFormat="1" ht="18" hidden="1" customHeight="1" spans="1:19">
      <c r="A46" s="43"/>
      <c r="B46" s="43"/>
      <c r="C46" s="38">
        <f t="shared" si="2"/>
        <v>0.27</v>
      </c>
      <c r="D46" s="55"/>
      <c r="E46" s="40">
        <v>38184</v>
      </c>
      <c r="F46" s="41">
        <f t="shared" si="0"/>
        <v>10.30968</v>
      </c>
      <c r="G46" s="41">
        <f t="shared" si="6"/>
        <v>494.86464</v>
      </c>
      <c r="H46" s="42">
        <f t="shared" si="4"/>
        <v>0.930405378544914</v>
      </c>
      <c r="I46" s="68">
        <f t="shared" si="7"/>
        <v>460.424722707693</v>
      </c>
      <c r="J46" s="68"/>
      <c r="K46" s="69">
        <f>(NORMSDIST((I46-$K$28)/B15)-NORMSDIST((I46-$L$28)/B15))</f>
        <v>0</v>
      </c>
      <c r="L46" s="69">
        <f>(NORMSDIST((I46-$L$28)/B15)-NORMSDIST((I46-$M$28)/B15))</f>
        <v>0</v>
      </c>
      <c r="M46" s="70">
        <f>(NORMSDIST((I46-$M$28)/B15)-NORMSDIST((I46-$N$28)/B15))</f>
        <v>0</v>
      </c>
      <c r="N46" s="70">
        <f>(NORMSDIST((I46-$N$28)/B15)-NORMSDIST((I46-$O$28)/B15))</f>
        <v>2.90222890164671e-8</v>
      </c>
      <c r="O46" s="70">
        <f>(NORMSDIST((I46-$O$28)/B15)-NORMSDIST((I46-$P$28)/B15))</f>
        <v>0.335519385093954</v>
      </c>
      <c r="P46" s="70">
        <f>(NORMSDIST((I46-$P$28)/B15)-NORMSDIST((I46-$Q$28)/B15))</f>
        <v>0.664478207935525</v>
      </c>
      <c r="Q46" s="70">
        <f>(NORMSDIST((I46-$Q$28)/B15)-NORMSDIST((I46-$R$28)/B15))</f>
        <v>2.37794823212775e-6</v>
      </c>
      <c r="R46" s="70"/>
      <c r="S46" s="90">
        <f t="shared" si="1"/>
        <v>1</v>
      </c>
    </row>
    <row r="47" s="13" customFormat="1" ht="18" hidden="1" customHeight="1" spans="1:19">
      <c r="A47" s="43"/>
      <c r="B47" s="43"/>
      <c r="C47" s="38">
        <f t="shared" si="2"/>
        <v>0.271</v>
      </c>
      <c r="D47" s="55"/>
      <c r="E47" s="40">
        <v>38184</v>
      </c>
      <c r="F47" s="41">
        <f t="shared" si="0"/>
        <v>10.347864</v>
      </c>
      <c r="G47" s="41">
        <f t="shared" si="6"/>
        <v>496.697472</v>
      </c>
      <c r="H47" s="42">
        <f t="shared" si="4"/>
        <v>0.928905378544914</v>
      </c>
      <c r="I47" s="68">
        <f t="shared" si="7"/>
        <v>461.384953250462</v>
      </c>
      <c r="J47" s="68"/>
      <c r="K47" s="69">
        <f>(NORMSDIST((I47-$K$28)/B15)-NORMSDIST((I47-$L$28)/B15))</f>
        <v>0</v>
      </c>
      <c r="L47" s="69">
        <f>(NORMSDIST((I47-$L$28)/B15)-NORMSDIST((I47-$M$28)/B15))</f>
        <v>0</v>
      </c>
      <c r="M47" s="70">
        <f>(NORMSDIST((I47-$M$28)/B15)-NORMSDIST((I47-$N$28)/B15))</f>
        <v>0</v>
      </c>
      <c r="N47" s="70">
        <f>(NORMSDIST((I47-$N$28)/B15)-NORMSDIST((I47-$O$28)/B15))</f>
        <v>8.57248716457093e-11</v>
      </c>
      <c r="O47" s="70">
        <f>(NORMSDIST((I47-$O$28)/B15)-NORMSDIST((I47-$P$28)/B15))</f>
        <v>0.0830333812616346</v>
      </c>
      <c r="P47" s="70">
        <f>(NORMSDIST((I47-$P$28)/B15)-NORMSDIST((I47-$Q$28)/B15))</f>
        <v>0.916816471938832</v>
      </c>
      <c r="Q47" s="70">
        <f>(NORMSDIST((I47-$Q$28)/B15)-NORMSDIST((I47-$R$28)/B15))</f>
        <v>0.000150146713808851</v>
      </c>
      <c r="R47" s="70"/>
      <c r="S47" s="90">
        <f t="shared" si="1"/>
        <v>1</v>
      </c>
    </row>
    <row r="48" s="13" customFormat="1" ht="18" hidden="1" customHeight="1" spans="1:19">
      <c r="A48" s="43"/>
      <c r="B48" s="43"/>
      <c r="C48" s="38">
        <f t="shared" si="2"/>
        <v>0.272</v>
      </c>
      <c r="D48" s="55"/>
      <c r="E48" s="40">
        <v>38184</v>
      </c>
      <c r="F48" s="41">
        <f t="shared" si="0"/>
        <v>10.386048</v>
      </c>
      <c r="G48" s="41">
        <f t="shared" si="6"/>
        <v>498.530304</v>
      </c>
      <c r="H48" s="42">
        <f t="shared" si="4"/>
        <v>0.927405378544914</v>
      </c>
      <c r="I48" s="68">
        <f t="shared" si="7"/>
        <v>462.339685297231</v>
      </c>
      <c r="J48" s="68"/>
      <c r="K48" s="69">
        <f>(NORMSDIST((I48-$K$28)/B15)-NORMSDIST((I48-$L$28)/B15))</f>
        <v>0</v>
      </c>
      <c r="L48" s="69">
        <f>(NORMSDIST((I48-$L$28)/B15)-NORMSDIST((I48-$M$28)/B15))</f>
        <v>0</v>
      </c>
      <c r="M48" s="70">
        <f>(NORMSDIST((I48-$M$28)/B15)-NORMSDIST((I48-$N$28)/B15))</f>
        <v>0</v>
      </c>
      <c r="N48" s="70">
        <f>(NORMSDIST((I48-$N$28)/B15)-NORMSDIST((I48-$O$28)/B15))</f>
        <v>1.07025499573865e-13</v>
      </c>
      <c r="O48" s="70">
        <f>(NORMSDIST((I48-$O$28)/B15)-NORMSDIST((I48-$P$28)/B15))</f>
        <v>0.00964999748511308</v>
      </c>
      <c r="P48" s="70">
        <f>(NORMSDIST((I48-$P$28)/B15)-NORMSDIST((I48-$Q$28)/B15))</f>
        <v>0.98644661900696</v>
      </c>
      <c r="Q48" s="70">
        <f>(NORMSDIST((I48-$Q$28)/B15)-NORMSDIST((I48-$R$28)/B15))</f>
        <v>0.00390338350781087</v>
      </c>
      <c r="R48" s="70"/>
      <c r="S48" s="90">
        <f t="shared" si="1"/>
        <v>0.999999999999991</v>
      </c>
    </row>
    <row r="49" s="13" customFormat="1" ht="9.6" customHeight="1" spans="4:4">
      <c r="D49" s="56"/>
    </row>
    <row r="50" s="13" customFormat="1" ht="18" customHeight="1" spans="4:19">
      <c r="D50" s="57"/>
      <c r="I50" s="80" t="s">
        <v>90</v>
      </c>
      <c r="J50" s="80" t="s">
        <v>89</v>
      </c>
      <c r="K50" s="67">
        <f>K28</f>
        <v>435</v>
      </c>
      <c r="L50" s="67">
        <f t="shared" ref="L50:R50" si="8">L28</f>
        <v>440</v>
      </c>
      <c r="M50" s="67">
        <f t="shared" si="8"/>
        <v>445</v>
      </c>
      <c r="N50" s="67">
        <f t="shared" si="8"/>
        <v>450</v>
      </c>
      <c r="O50" s="67">
        <f t="shared" si="8"/>
        <v>455</v>
      </c>
      <c r="P50" s="67">
        <f t="shared" si="8"/>
        <v>460</v>
      </c>
      <c r="Q50" s="67">
        <f t="shared" si="8"/>
        <v>465</v>
      </c>
      <c r="R50" s="67">
        <f t="shared" si="8"/>
        <v>470</v>
      </c>
      <c r="S50" s="89" t="s">
        <v>96</v>
      </c>
    </row>
    <row r="51" s="13" customFormat="1" ht="18" customHeight="1" spans="9:19">
      <c r="I51" s="81">
        <f t="shared" ref="I51:I70" si="9">D29</f>
        <v>0</v>
      </c>
      <c r="J51" s="38">
        <f t="shared" ref="J51:J70" si="10">C29</f>
        <v>0.253</v>
      </c>
      <c r="K51" s="70">
        <f t="shared" ref="K51:K70" si="11">D29*K29</f>
        <v>0</v>
      </c>
      <c r="L51" s="70">
        <f t="shared" ref="L51:L70" si="12">D29*L29</f>
        <v>0</v>
      </c>
      <c r="M51" s="70">
        <f t="shared" ref="M51:M70" si="13">D29*M29</f>
        <v>0</v>
      </c>
      <c r="N51" s="70">
        <f t="shared" ref="N51:N70" si="14">D29*N29</f>
        <v>0</v>
      </c>
      <c r="O51" s="70">
        <f t="shared" ref="O51:O70" si="15">D29*O29</f>
        <v>0</v>
      </c>
      <c r="P51" s="70">
        <f t="shared" ref="P51:P70" si="16">D29*P29</f>
        <v>0</v>
      </c>
      <c r="Q51" s="70">
        <f t="shared" ref="Q51:Q70" si="17">D29*Q29</f>
        <v>0</v>
      </c>
      <c r="R51" s="70"/>
      <c r="S51" s="90"/>
    </row>
    <row r="52" s="13" customFormat="1" ht="18" customHeight="1" spans="9:19">
      <c r="I52" s="81">
        <f t="shared" si="9"/>
        <v>0</v>
      </c>
      <c r="J52" s="38">
        <f t="shared" si="10"/>
        <v>0.254</v>
      </c>
      <c r="K52" s="70">
        <f t="shared" si="11"/>
        <v>0</v>
      </c>
      <c r="L52" s="70">
        <f t="shared" si="12"/>
        <v>0</v>
      </c>
      <c r="M52" s="70">
        <f t="shared" si="13"/>
        <v>0</v>
      </c>
      <c r="N52" s="70">
        <f t="shared" si="14"/>
        <v>0</v>
      </c>
      <c r="O52" s="70">
        <f t="shared" si="15"/>
        <v>0</v>
      </c>
      <c r="P52" s="70">
        <f t="shared" si="16"/>
        <v>0</v>
      </c>
      <c r="Q52" s="70">
        <f t="shared" si="17"/>
        <v>0</v>
      </c>
      <c r="R52" s="70"/>
      <c r="S52" s="90"/>
    </row>
    <row r="53" s="13" customFormat="1" ht="18" customHeight="1" spans="9:19">
      <c r="I53" s="81">
        <f t="shared" si="9"/>
        <v>0</v>
      </c>
      <c r="J53" s="38">
        <f t="shared" si="10"/>
        <v>0.255</v>
      </c>
      <c r="K53" s="70">
        <f t="shared" si="11"/>
        <v>0</v>
      </c>
      <c r="L53" s="70">
        <f t="shared" si="12"/>
        <v>0</v>
      </c>
      <c r="M53" s="70">
        <f t="shared" si="13"/>
        <v>0</v>
      </c>
      <c r="N53" s="70">
        <f t="shared" si="14"/>
        <v>0</v>
      </c>
      <c r="O53" s="70">
        <f t="shared" si="15"/>
        <v>0</v>
      </c>
      <c r="P53" s="70">
        <f t="shared" si="16"/>
        <v>0</v>
      </c>
      <c r="Q53" s="70">
        <f t="shared" si="17"/>
        <v>0</v>
      </c>
      <c r="R53" s="70"/>
      <c r="S53" s="90"/>
    </row>
    <row r="54" s="13" customFormat="1" ht="18" customHeight="1" spans="9:19">
      <c r="I54" s="81">
        <f t="shared" si="9"/>
        <v>0</v>
      </c>
      <c r="J54" s="38">
        <f t="shared" si="10"/>
        <v>0.256</v>
      </c>
      <c r="K54" s="74">
        <f t="shared" si="11"/>
        <v>0</v>
      </c>
      <c r="L54" s="74">
        <f t="shared" si="12"/>
        <v>0</v>
      </c>
      <c r="M54" s="74">
        <f t="shared" si="13"/>
        <v>0</v>
      </c>
      <c r="N54" s="74">
        <f t="shared" si="14"/>
        <v>0</v>
      </c>
      <c r="O54" s="74">
        <f t="shared" si="15"/>
        <v>0</v>
      </c>
      <c r="P54" s="74">
        <f t="shared" si="16"/>
        <v>0</v>
      </c>
      <c r="Q54" s="74">
        <f t="shared" si="17"/>
        <v>0</v>
      </c>
      <c r="R54" s="74"/>
      <c r="S54" s="90"/>
    </row>
    <row r="55" s="13" customFormat="1" ht="18" customHeight="1" spans="9:19">
      <c r="I55" s="81">
        <f t="shared" si="9"/>
        <v>0</v>
      </c>
      <c r="J55" s="38">
        <f t="shared" si="10"/>
        <v>0.257</v>
      </c>
      <c r="K55" s="70">
        <f t="shared" si="11"/>
        <v>0</v>
      </c>
      <c r="L55" s="70">
        <f t="shared" si="12"/>
        <v>0</v>
      </c>
      <c r="M55" s="70">
        <f t="shared" si="13"/>
        <v>0</v>
      </c>
      <c r="N55" s="70">
        <f t="shared" si="14"/>
        <v>0</v>
      </c>
      <c r="O55" s="70">
        <f t="shared" si="15"/>
        <v>0</v>
      </c>
      <c r="P55" s="70">
        <f t="shared" si="16"/>
        <v>0</v>
      </c>
      <c r="Q55" s="70">
        <f t="shared" si="17"/>
        <v>0</v>
      </c>
      <c r="R55" s="70"/>
      <c r="S55" s="90"/>
    </row>
    <row r="56" s="13" customFormat="1" ht="18" customHeight="1" spans="9:19">
      <c r="I56" s="81">
        <f t="shared" si="9"/>
        <v>0</v>
      </c>
      <c r="J56" s="38">
        <f t="shared" si="10"/>
        <v>0.258</v>
      </c>
      <c r="K56" s="70">
        <f t="shared" si="11"/>
        <v>0</v>
      </c>
      <c r="L56" s="70">
        <f t="shared" si="12"/>
        <v>0</v>
      </c>
      <c r="M56" s="70">
        <f t="shared" si="13"/>
        <v>0</v>
      </c>
      <c r="N56" s="70">
        <f t="shared" si="14"/>
        <v>0</v>
      </c>
      <c r="O56" s="70">
        <f t="shared" si="15"/>
        <v>0</v>
      </c>
      <c r="P56" s="70">
        <f t="shared" si="16"/>
        <v>0</v>
      </c>
      <c r="Q56" s="70">
        <f t="shared" si="17"/>
        <v>0</v>
      </c>
      <c r="R56" s="70"/>
      <c r="S56" s="90"/>
    </row>
    <row r="57" s="13" customFormat="1" ht="18" customHeight="1" spans="9:19">
      <c r="I57" s="81">
        <f t="shared" si="9"/>
        <v>0</v>
      </c>
      <c r="J57" s="38">
        <f t="shared" si="10"/>
        <v>0.259</v>
      </c>
      <c r="K57" s="70">
        <f t="shared" si="11"/>
        <v>0</v>
      </c>
      <c r="L57" s="70">
        <f t="shared" si="12"/>
        <v>0</v>
      </c>
      <c r="M57" s="70">
        <f t="shared" si="13"/>
        <v>0</v>
      </c>
      <c r="N57" s="70">
        <f t="shared" si="14"/>
        <v>0</v>
      </c>
      <c r="O57" s="70">
        <f t="shared" si="15"/>
        <v>0</v>
      </c>
      <c r="P57" s="70">
        <f t="shared" si="16"/>
        <v>0</v>
      </c>
      <c r="Q57" s="70">
        <f t="shared" si="17"/>
        <v>0</v>
      </c>
      <c r="R57" s="70"/>
      <c r="S57" s="90"/>
    </row>
    <row r="58" s="13" customFormat="1" ht="18" customHeight="1" spans="9:19">
      <c r="I58" s="81">
        <f t="shared" si="9"/>
        <v>0.0341140293136703</v>
      </c>
      <c r="J58" s="38">
        <f t="shared" si="10"/>
        <v>0.26</v>
      </c>
      <c r="K58" s="70">
        <f t="shared" si="11"/>
        <v>0</v>
      </c>
      <c r="L58" s="70">
        <f t="shared" si="12"/>
        <v>5.78232219785924e-10</v>
      </c>
      <c r="M58" s="70">
        <f t="shared" si="13"/>
        <v>0.0102864636611486</v>
      </c>
      <c r="N58" s="70">
        <f t="shared" si="14"/>
        <v>0.0238274377555481</v>
      </c>
      <c r="O58" s="70">
        <f t="shared" si="15"/>
        <v>1.27318741384052e-7</v>
      </c>
      <c r="P58" s="70">
        <f t="shared" si="16"/>
        <v>4.33731009829519e-23</v>
      </c>
      <c r="Q58" s="70">
        <f t="shared" si="17"/>
        <v>2.76489388709604e-49</v>
      </c>
      <c r="R58" s="70"/>
      <c r="S58" s="90"/>
    </row>
    <row r="59" s="13" customFormat="1" ht="18" customHeight="1" spans="9:19">
      <c r="I59" s="81">
        <f t="shared" si="9"/>
        <v>0.0586334878828709</v>
      </c>
      <c r="J59" s="38">
        <f t="shared" si="10"/>
        <v>0.261</v>
      </c>
      <c r="K59" s="70">
        <f t="shared" si="11"/>
        <v>0</v>
      </c>
      <c r="L59" s="70">
        <f t="shared" si="12"/>
        <v>1.86214327777257e-12</v>
      </c>
      <c r="M59" s="70">
        <f t="shared" si="13"/>
        <v>0.00365670389958032</v>
      </c>
      <c r="N59" s="70">
        <f t="shared" si="14"/>
        <v>0.0549612268599395</v>
      </c>
      <c r="O59" s="70">
        <f t="shared" si="15"/>
        <v>1.55571214889784e-5</v>
      </c>
      <c r="P59" s="70">
        <f t="shared" si="16"/>
        <v>7.52346091516014e-19</v>
      </c>
      <c r="Q59" s="70">
        <f t="shared" si="17"/>
        <v>7.38935938406271e-43</v>
      </c>
      <c r="R59" s="70"/>
      <c r="S59" s="90"/>
    </row>
    <row r="60" s="13" customFormat="1" ht="18" customHeight="1" spans="9:19">
      <c r="I60" s="81">
        <f t="shared" si="9"/>
        <v>0.0841203302499458</v>
      </c>
      <c r="J60" s="38">
        <f t="shared" si="10"/>
        <v>0.262</v>
      </c>
      <c r="K60" s="70">
        <f t="shared" si="11"/>
        <v>0</v>
      </c>
      <c r="L60" s="70">
        <f t="shared" si="12"/>
        <v>1.90520348064426e-15</v>
      </c>
      <c r="M60" s="70">
        <f t="shared" si="13"/>
        <v>0.000459712814389212</v>
      </c>
      <c r="N60" s="70">
        <f t="shared" si="14"/>
        <v>0.0830681657716844</v>
      </c>
      <c r="O60" s="70">
        <f t="shared" si="15"/>
        <v>0.000592451663866461</v>
      </c>
      <c r="P60" s="70">
        <f t="shared" si="16"/>
        <v>3.77792138943778e-15</v>
      </c>
      <c r="Q60" s="70">
        <f t="shared" si="17"/>
        <v>5.51999363732139e-37</v>
      </c>
      <c r="R60" s="70"/>
      <c r="S60" s="90"/>
    </row>
    <row r="61" s="13" customFormat="1" ht="18" customHeight="1" spans="9:19">
      <c r="I61" s="81">
        <f t="shared" si="9"/>
        <v>0.231516943533095</v>
      </c>
      <c r="J61" s="38">
        <f t="shared" si="10"/>
        <v>0.263</v>
      </c>
      <c r="K61" s="70">
        <f t="shared" si="11"/>
        <v>0</v>
      </c>
      <c r="L61" s="70">
        <f t="shared" si="12"/>
        <v>0</v>
      </c>
      <c r="M61" s="70">
        <f t="shared" si="13"/>
        <v>4.47377972423715e-5</v>
      </c>
      <c r="N61" s="70">
        <f t="shared" si="14"/>
        <v>0.214476324947733</v>
      </c>
      <c r="O61" s="70">
        <f t="shared" si="15"/>
        <v>0.016995880775244</v>
      </c>
      <c r="P61" s="70">
        <f t="shared" si="16"/>
        <v>1.28752701082648e-11</v>
      </c>
      <c r="Q61" s="70">
        <f t="shared" si="17"/>
        <v>2.6954786839828e-31</v>
      </c>
      <c r="R61" s="70"/>
      <c r="S61" s="90"/>
    </row>
    <row r="62" s="13" customFormat="1" ht="18" hidden="1" customHeight="1" spans="9:19">
      <c r="I62" s="81">
        <f t="shared" si="9"/>
        <v>0.320133020125304</v>
      </c>
      <c r="J62" s="38">
        <f t="shared" si="10"/>
        <v>0.264</v>
      </c>
      <c r="K62" s="70">
        <f t="shared" si="11"/>
        <v>0</v>
      </c>
      <c r="L62" s="70">
        <f t="shared" si="12"/>
        <v>0</v>
      </c>
      <c r="M62" s="70">
        <f t="shared" si="13"/>
        <v>8.67421627173653e-7</v>
      </c>
      <c r="N62" s="70">
        <f t="shared" si="14"/>
        <v>0.215900670409968</v>
      </c>
      <c r="O62" s="70">
        <f t="shared" si="15"/>
        <v>0.104231474327144</v>
      </c>
      <c r="P62" s="70">
        <f t="shared" si="16"/>
        <v>7.96656452992854e-9</v>
      </c>
      <c r="Q62" s="70">
        <f t="shared" si="17"/>
        <v>2.29331089677751e-26</v>
      </c>
      <c r="R62" s="70">
        <f t="shared" ref="R62:R70" si="18">D40*R40</f>
        <v>0</v>
      </c>
      <c r="S62" s="90"/>
    </row>
    <row r="63" s="13" customFormat="1" ht="18" hidden="1" customHeight="1" spans="9:19">
      <c r="I63" s="81">
        <f t="shared" si="9"/>
        <v>0.22052468114755</v>
      </c>
      <c r="J63" s="38">
        <f t="shared" si="10"/>
        <v>0.265</v>
      </c>
      <c r="K63" s="70">
        <f t="shared" si="11"/>
        <v>0</v>
      </c>
      <c r="L63" s="70">
        <f t="shared" si="12"/>
        <v>0</v>
      </c>
      <c r="M63" s="70">
        <f t="shared" si="13"/>
        <v>3.31437879979283e-9</v>
      </c>
      <c r="N63" s="70">
        <f t="shared" si="14"/>
        <v>0.0648831863039715</v>
      </c>
      <c r="O63" s="70">
        <f t="shared" si="15"/>
        <v>0.155640583204792</v>
      </c>
      <c r="P63" s="70">
        <f t="shared" si="16"/>
        <v>9.08324407821029e-7</v>
      </c>
      <c r="Q63" s="70">
        <f t="shared" si="17"/>
        <v>3.43111558519927e-22</v>
      </c>
      <c r="R63" s="70">
        <f t="shared" si="18"/>
        <v>0</v>
      </c>
      <c r="S63" s="90"/>
    </row>
    <row r="64" s="13" customFormat="1" ht="18" hidden="1" customHeight="1" spans="9:19">
      <c r="I64" s="81">
        <f t="shared" si="9"/>
        <v>0.0509575077475633</v>
      </c>
      <c r="J64" s="38">
        <f t="shared" si="10"/>
        <v>0.266</v>
      </c>
      <c r="K64" s="70">
        <f t="shared" si="11"/>
        <v>0</v>
      </c>
      <c r="L64" s="70">
        <f t="shared" si="12"/>
        <v>0</v>
      </c>
      <c r="M64" s="70">
        <f t="shared" si="13"/>
        <v>1.68903400744053e-12</v>
      </c>
      <c r="N64" s="70">
        <f t="shared" si="14"/>
        <v>0.00321822572500292</v>
      </c>
      <c r="O64" s="70">
        <f t="shared" si="15"/>
        <v>0.0477260797461881</v>
      </c>
      <c r="P64" s="70">
        <f t="shared" si="16"/>
        <v>1.320227468327e-5</v>
      </c>
      <c r="Q64" s="70">
        <f t="shared" si="17"/>
        <v>6.18905156820225e-19</v>
      </c>
      <c r="R64" s="70">
        <f t="shared" si="18"/>
        <v>0</v>
      </c>
      <c r="S64" s="90"/>
    </row>
    <row r="65" s="13" customFormat="1" ht="18" hidden="1" customHeight="1" spans="9:19">
      <c r="I65" s="81">
        <f t="shared" si="9"/>
        <v>0</v>
      </c>
      <c r="J65" s="38">
        <f t="shared" si="10"/>
        <v>0.267</v>
      </c>
      <c r="K65" s="70">
        <f t="shared" si="11"/>
        <v>0</v>
      </c>
      <c r="L65" s="70">
        <f t="shared" si="12"/>
        <v>0</v>
      </c>
      <c r="M65" s="70">
        <f t="shared" si="13"/>
        <v>0</v>
      </c>
      <c r="N65" s="70">
        <f t="shared" si="14"/>
        <v>0</v>
      </c>
      <c r="O65" s="70">
        <f t="shared" si="15"/>
        <v>0</v>
      </c>
      <c r="P65" s="70">
        <f t="shared" si="16"/>
        <v>0</v>
      </c>
      <c r="Q65" s="70">
        <f t="shared" si="17"/>
        <v>0</v>
      </c>
      <c r="R65" s="70">
        <f t="shared" si="18"/>
        <v>0</v>
      </c>
      <c r="S65" s="90"/>
    </row>
    <row r="66" s="13" customFormat="1" ht="18" hidden="1" customHeight="1" spans="9:19">
      <c r="I66" s="81">
        <f t="shared" si="9"/>
        <v>0</v>
      </c>
      <c r="J66" s="38">
        <f t="shared" si="10"/>
        <v>0.268</v>
      </c>
      <c r="K66" s="70">
        <f t="shared" si="11"/>
        <v>0</v>
      </c>
      <c r="L66" s="70">
        <f t="shared" si="12"/>
        <v>0</v>
      </c>
      <c r="M66" s="70">
        <f t="shared" si="13"/>
        <v>0</v>
      </c>
      <c r="N66" s="70">
        <f t="shared" si="14"/>
        <v>0</v>
      </c>
      <c r="O66" s="70">
        <f t="shared" si="15"/>
        <v>0</v>
      </c>
      <c r="P66" s="70">
        <f t="shared" si="16"/>
        <v>0</v>
      </c>
      <c r="Q66" s="70">
        <f t="shared" si="17"/>
        <v>0</v>
      </c>
      <c r="R66" s="70">
        <f t="shared" si="18"/>
        <v>0</v>
      </c>
      <c r="S66" s="90"/>
    </row>
    <row r="67" s="13" customFormat="1" ht="18" hidden="1" customHeight="1" spans="9:19">
      <c r="I67" s="81">
        <f t="shared" si="9"/>
        <v>0</v>
      </c>
      <c r="J67" s="38">
        <f t="shared" si="10"/>
        <v>0.269</v>
      </c>
      <c r="K67" s="70">
        <f t="shared" si="11"/>
        <v>0</v>
      </c>
      <c r="L67" s="70">
        <f t="shared" si="12"/>
        <v>0</v>
      </c>
      <c r="M67" s="70">
        <f t="shared" si="13"/>
        <v>0</v>
      </c>
      <c r="N67" s="70">
        <f t="shared" si="14"/>
        <v>0</v>
      </c>
      <c r="O67" s="70">
        <f t="shared" si="15"/>
        <v>0</v>
      </c>
      <c r="P67" s="70">
        <f t="shared" si="16"/>
        <v>0</v>
      </c>
      <c r="Q67" s="70">
        <f t="shared" si="17"/>
        <v>0</v>
      </c>
      <c r="R67" s="70">
        <f t="shared" si="18"/>
        <v>0</v>
      </c>
      <c r="S67" s="90"/>
    </row>
    <row r="68" s="13" customFormat="1" ht="18" hidden="1" customHeight="1" spans="9:19">
      <c r="I68" s="81">
        <f t="shared" si="9"/>
        <v>0</v>
      </c>
      <c r="J68" s="38">
        <f t="shared" si="10"/>
        <v>0.27</v>
      </c>
      <c r="K68" s="70">
        <f t="shared" si="11"/>
        <v>0</v>
      </c>
      <c r="L68" s="70">
        <f t="shared" si="12"/>
        <v>0</v>
      </c>
      <c r="M68" s="70">
        <f t="shared" si="13"/>
        <v>0</v>
      </c>
      <c r="N68" s="70">
        <f t="shared" si="14"/>
        <v>0</v>
      </c>
      <c r="O68" s="70">
        <f t="shared" si="15"/>
        <v>0</v>
      </c>
      <c r="P68" s="70">
        <f t="shared" si="16"/>
        <v>0</v>
      </c>
      <c r="Q68" s="70">
        <f t="shared" si="17"/>
        <v>0</v>
      </c>
      <c r="R68" s="70">
        <f t="shared" si="18"/>
        <v>0</v>
      </c>
      <c r="S68" s="90"/>
    </row>
    <row r="69" s="13" customFormat="1" ht="18" hidden="1" customHeight="1" spans="9:19">
      <c r="I69" s="81">
        <f t="shared" si="9"/>
        <v>0</v>
      </c>
      <c r="J69" s="38">
        <f t="shared" si="10"/>
        <v>0.271</v>
      </c>
      <c r="K69" s="70">
        <f t="shared" si="11"/>
        <v>0</v>
      </c>
      <c r="L69" s="70">
        <f t="shared" si="12"/>
        <v>0</v>
      </c>
      <c r="M69" s="70">
        <f t="shared" si="13"/>
        <v>0</v>
      </c>
      <c r="N69" s="70">
        <f t="shared" si="14"/>
        <v>0</v>
      </c>
      <c r="O69" s="70">
        <f t="shared" si="15"/>
        <v>0</v>
      </c>
      <c r="P69" s="70">
        <f t="shared" si="16"/>
        <v>0</v>
      </c>
      <c r="Q69" s="70">
        <f t="shared" si="17"/>
        <v>0</v>
      </c>
      <c r="R69" s="70">
        <f t="shared" si="18"/>
        <v>0</v>
      </c>
      <c r="S69" s="90"/>
    </row>
    <row r="70" s="13" customFormat="1" ht="18" hidden="1" customHeight="1" spans="9:19">
      <c r="I70" s="81">
        <f t="shared" si="9"/>
        <v>0</v>
      </c>
      <c r="J70" s="38">
        <f t="shared" si="10"/>
        <v>0.272</v>
      </c>
      <c r="K70" s="70">
        <f t="shared" si="11"/>
        <v>0</v>
      </c>
      <c r="L70" s="70">
        <f t="shared" si="12"/>
        <v>0</v>
      </c>
      <c r="M70" s="70">
        <f t="shared" si="13"/>
        <v>0</v>
      </c>
      <c r="N70" s="70">
        <f t="shared" si="14"/>
        <v>0</v>
      </c>
      <c r="O70" s="70">
        <f t="shared" si="15"/>
        <v>0</v>
      </c>
      <c r="P70" s="70">
        <f t="shared" si="16"/>
        <v>0</v>
      </c>
      <c r="Q70" s="70">
        <f t="shared" si="17"/>
        <v>0</v>
      </c>
      <c r="R70" s="70">
        <f t="shared" si="18"/>
        <v>0</v>
      </c>
      <c r="S70" s="90"/>
    </row>
    <row r="71" s="13" customFormat="1" ht="18" customHeight="1" spans="9:19">
      <c r="I71" s="97" t="s">
        <v>100</v>
      </c>
      <c r="J71" s="98"/>
      <c r="K71" s="99">
        <f t="shared" ref="K71:Q71" si="19">SUM(K51:K70)</f>
        <v>0</v>
      </c>
      <c r="L71" s="99">
        <f t="shared" si="19"/>
        <v>5.80096268267178e-10</v>
      </c>
      <c r="M71" s="99">
        <f t="shared" si="19"/>
        <v>0.0144484889100555</v>
      </c>
      <c r="N71" s="99">
        <f t="shared" si="19"/>
        <v>0.660335237773848</v>
      </c>
      <c r="O71" s="99">
        <f t="shared" si="19"/>
        <v>0.325202154157465</v>
      </c>
      <c r="P71" s="99">
        <f t="shared" si="19"/>
        <v>1.41185785346697e-5</v>
      </c>
      <c r="Q71" s="99">
        <f t="shared" si="19"/>
        <v>6.19248291312123e-19</v>
      </c>
      <c r="R71" s="99"/>
      <c r="S71" s="101">
        <f>SUM(K71:R71)</f>
        <v>0.999999999999999</v>
      </c>
    </row>
    <row r="72" ht="18" customHeight="1" spans="11:18">
      <c r="K72" s="67">
        <f>K50</f>
        <v>435</v>
      </c>
      <c r="L72" s="67">
        <f t="shared" ref="L72:R72" si="20">L50</f>
        <v>440</v>
      </c>
      <c r="M72" s="67">
        <f t="shared" si="20"/>
        <v>445</v>
      </c>
      <c r="N72" s="67">
        <f t="shared" si="20"/>
        <v>450</v>
      </c>
      <c r="O72" s="67">
        <f t="shared" si="20"/>
        <v>455</v>
      </c>
      <c r="P72" s="67">
        <f t="shared" si="20"/>
        <v>460</v>
      </c>
      <c r="Q72" s="67">
        <f t="shared" si="20"/>
        <v>465</v>
      </c>
      <c r="R72" s="67">
        <f t="shared" si="20"/>
        <v>470</v>
      </c>
    </row>
    <row r="73" ht="4.8" customHeight="1" spans="9:9">
      <c r="I73" s="100"/>
    </row>
    <row r="74" ht="4.8" customHeight="1" spans="9:9">
      <c r="I74" s="100"/>
    </row>
    <row r="75" ht="4.8" customHeight="1" spans="9:9">
      <c r="I75" s="100"/>
    </row>
    <row r="76" ht="26.4" customHeight="1" spans="1:15">
      <c r="A76" s="92" t="s">
        <v>101</v>
      </c>
      <c r="B76" s="93" t="s">
        <v>89</v>
      </c>
      <c r="C76" s="93" t="str">
        <f>C9</f>
        <v>芜湖（80mg）</v>
      </c>
      <c r="D76" s="93" t="str">
        <f t="shared" ref="D76:O76" si="21">D9</f>
        <v>芜湖（105mg）</v>
      </c>
      <c r="E76" s="93" t="str">
        <f t="shared" si="21"/>
        <v>芜湖（125mg）</v>
      </c>
      <c r="F76" s="93" t="str">
        <f t="shared" si="21"/>
        <v>英发</v>
      </c>
      <c r="G76" s="93" t="str">
        <f t="shared" si="21"/>
        <v>厂家5</v>
      </c>
      <c r="H76" s="93" t="str">
        <f t="shared" si="21"/>
        <v>厂家6</v>
      </c>
      <c r="I76" s="93" t="str">
        <f t="shared" si="21"/>
        <v>厂家7</v>
      </c>
      <c r="J76" s="93" t="str">
        <f t="shared" si="21"/>
        <v>厂家8</v>
      </c>
      <c r="K76" s="93" t="str">
        <f t="shared" si="21"/>
        <v>厂家9</v>
      </c>
      <c r="L76" s="93" t="str">
        <f t="shared" si="21"/>
        <v>厂家10</v>
      </c>
      <c r="M76" s="93" t="str">
        <f t="shared" si="21"/>
        <v>厂家11</v>
      </c>
      <c r="N76" s="93" t="str">
        <f t="shared" si="21"/>
        <v>厂家12</v>
      </c>
      <c r="O76" s="93" t="str">
        <f t="shared" si="21"/>
        <v>厂家13</v>
      </c>
    </row>
    <row r="77" ht="17.4" customHeight="1" spans="1:15">
      <c r="A77" s="92"/>
      <c r="B77" s="94">
        <f>C29</f>
        <v>0.253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</row>
    <row r="78" ht="17.4" customHeight="1" spans="1:15">
      <c r="A78" s="92"/>
      <c r="B78" s="94">
        <f t="shared" ref="B78:B96" si="22">C30</f>
        <v>0.254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</row>
    <row r="79" ht="17.4" customHeight="1" spans="1:15">
      <c r="A79" s="92"/>
      <c r="B79" s="94">
        <f t="shared" si="22"/>
        <v>0.255</v>
      </c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</row>
    <row r="80" ht="17.4" customHeight="1" spans="1:15">
      <c r="A80" s="92"/>
      <c r="B80" s="94">
        <f t="shared" si="22"/>
        <v>0.256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</row>
    <row r="81" ht="17.4" customHeight="1" spans="1:15">
      <c r="A81" s="92"/>
      <c r="B81" s="94">
        <f t="shared" si="22"/>
        <v>0.257</v>
      </c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</row>
    <row r="82" ht="17.4" customHeight="1" spans="1:15">
      <c r="A82" s="92"/>
      <c r="B82" s="94">
        <f t="shared" si="22"/>
        <v>0.258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</row>
    <row r="83" ht="17.4" customHeight="1" spans="1:15">
      <c r="A83" s="92"/>
      <c r="B83" s="94">
        <f t="shared" si="22"/>
        <v>0.259</v>
      </c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</row>
    <row r="84" ht="17.4" customHeight="1" spans="1:15">
      <c r="A84" s="92"/>
      <c r="B84" s="94">
        <f t="shared" si="22"/>
        <v>0.26</v>
      </c>
      <c r="C84" s="95">
        <v>0.0341140293136703</v>
      </c>
      <c r="D84" s="95"/>
      <c r="E84" s="96"/>
      <c r="F84" s="95"/>
      <c r="G84" s="95"/>
      <c r="H84" s="95"/>
      <c r="I84" s="95"/>
      <c r="J84" s="95"/>
      <c r="K84" s="95"/>
      <c r="L84" s="95"/>
      <c r="M84" s="95"/>
      <c r="N84" s="95"/>
      <c r="O84" s="95"/>
    </row>
    <row r="85" ht="17.4" customHeight="1" spans="1:15">
      <c r="A85" s="92"/>
      <c r="B85" s="94">
        <f t="shared" si="22"/>
        <v>0.261</v>
      </c>
      <c r="C85" s="95">
        <v>0.0586334878828709</v>
      </c>
      <c r="D85" s="95"/>
      <c r="E85" s="96"/>
      <c r="F85" s="95"/>
      <c r="G85" s="95"/>
      <c r="H85" s="95"/>
      <c r="I85" s="95"/>
      <c r="J85" s="95"/>
      <c r="K85" s="95"/>
      <c r="L85" s="95"/>
      <c r="M85" s="95"/>
      <c r="N85" s="95"/>
      <c r="O85" s="95"/>
    </row>
    <row r="86" ht="17.4" customHeight="1" spans="1:15">
      <c r="A86" s="92"/>
      <c r="B86" s="94">
        <f t="shared" si="22"/>
        <v>0.262</v>
      </c>
      <c r="C86" s="95">
        <v>0.0841203302499458</v>
      </c>
      <c r="D86" s="95"/>
      <c r="E86" s="96"/>
      <c r="F86" s="95"/>
      <c r="G86" s="95"/>
      <c r="H86" s="95"/>
      <c r="I86" s="95"/>
      <c r="J86" s="95"/>
      <c r="K86" s="95"/>
      <c r="L86" s="95"/>
      <c r="M86" s="95"/>
      <c r="N86" s="95"/>
      <c r="O86" s="95"/>
    </row>
    <row r="87" ht="17.4" customHeight="1" spans="1:15">
      <c r="A87" s="92"/>
      <c r="B87" s="94">
        <f t="shared" si="22"/>
        <v>0.263</v>
      </c>
      <c r="C87" s="95">
        <v>0.231516943533095</v>
      </c>
      <c r="D87" s="95"/>
      <c r="E87" s="96"/>
      <c r="F87" s="95"/>
      <c r="G87" s="95"/>
      <c r="H87" s="95"/>
      <c r="I87" s="95"/>
      <c r="J87" s="95"/>
      <c r="K87" s="95"/>
      <c r="L87" s="95"/>
      <c r="M87" s="95"/>
      <c r="N87" s="95"/>
      <c r="O87" s="95"/>
    </row>
    <row r="88" ht="17.4" customHeight="1" spans="1:15">
      <c r="A88" s="92"/>
      <c r="B88" s="94">
        <f t="shared" si="22"/>
        <v>0.264</v>
      </c>
      <c r="C88" s="95">
        <v>0.320133020125304</v>
      </c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</row>
    <row r="89" ht="17.4" customHeight="1" spans="1:15">
      <c r="A89" s="92"/>
      <c r="B89" s="94">
        <f t="shared" si="22"/>
        <v>0.265</v>
      </c>
      <c r="C89" s="95">
        <v>0.22052468114755</v>
      </c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</row>
    <row r="90" ht="17.4" customHeight="1" spans="1:15">
      <c r="A90" s="92"/>
      <c r="B90" s="94">
        <f t="shared" si="22"/>
        <v>0.266</v>
      </c>
      <c r="C90" s="95">
        <v>0.0509575077475633</v>
      </c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</row>
    <row r="91" ht="17.4" customHeight="1" spans="1:15">
      <c r="A91" s="92"/>
      <c r="B91" s="94">
        <f t="shared" si="22"/>
        <v>0.267</v>
      </c>
      <c r="C91" s="95">
        <v>0</v>
      </c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</row>
    <row r="92" ht="17.4" customHeight="1" spans="1:15">
      <c r="A92" s="92"/>
      <c r="B92" s="94">
        <f t="shared" si="22"/>
        <v>0.268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</row>
    <row r="93" ht="17.4" customHeight="1" spans="1:15">
      <c r="A93" s="92"/>
      <c r="B93" s="94">
        <f t="shared" si="22"/>
        <v>0.269</v>
      </c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</row>
    <row r="94" ht="17.4" customHeight="1" spans="1:15">
      <c r="A94" s="92"/>
      <c r="B94" s="94">
        <f t="shared" si="22"/>
        <v>0.27</v>
      </c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</row>
    <row r="95" ht="17.4" customHeight="1" spans="1:15">
      <c r="A95" s="92"/>
      <c r="B95" s="94">
        <f t="shared" si="22"/>
        <v>0.271</v>
      </c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</row>
    <row r="96" ht="17.4" customHeight="1" spans="1:15">
      <c r="A96" s="92"/>
      <c r="B96" s="94">
        <f t="shared" si="22"/>
        <v>0.272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U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{79d68723-4bc2-4c04-a7c9-485fb81a8cdb}</x14:id>
        </ext>
      </extLst>
    </cfRule>
  </conditionalFormatting>
  <conditionalFormatting sqref="D30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{f63a9ba8-859d-463c-98a5-8994198630e6}</x14:id>
        </ext>
      </extLst>
    </cfRule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{9ae1d8dd-638a-4776-8cbf-665fdde22ea1}</x14:id>
        </ext>
      </extLst>
    </cfRule>
  </conditionalFormatting>
  <conditionalFormatting sqref="D33:D44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{c4538b45-81c5-4c83-a1b8-6620a7e99a1a}</x14:id>
        </ext>
      </extLst>
    </cfRule>
  </conditionalFormatting>
  <conditionalFormatting sqref="D45:D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{9f38da7b-5201-4b32-a07a-c5d32b3da03e}</x14:id>
        </ext>
      </extLst>
    </cfRule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{51f2246f-7f66-4d91-b2e4-03ffa9cbeea2}</x14:id>
        </ext>
      </extLst>
    </cfRule>
  </conditionalFormatting>
  <conditionalFormatting sqref="D49:D5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{cdd2c056-e1e3-4a11-ae6a-6ddafe0c5ad2}</x14:id>
        </ext>
      </extLst>
    </cfRule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{ec3b4a07-65c6-4422-ae14-e8890c4eae01}</x14:id>
        </ext>
      </extLst>
    </cfRule>
  </conditionalFormatting>
  <conditionalFormatting sqref="D29:D32 D45:D48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{1969db49-2387-4331-a377-d1393a4612f3}</x14:id>
        </ext>
      </extLst>
    </cfRule>
  </conditionalFormatting>
  <conditionalFormatting sqref="K29:R48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{d83347a3-fcb1-476b-b1a7-89d47761a2dd}</x14:id>
        </ext>
      </extLst>
    </cfRule>
  </conditionalFormatting>
  <conditionalFormatting sqref="K29:Q39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{76b5c526-f608-4391-ba25-704bf1c27d1d}</x14:id>
        </ext>
      </extLst>
    </cfRule>
  </conditionalFormatting>
  <conditionalFormatting sqref="M29:O30 O35 N31:O34 M31:M48">
    <cfRule type="dataBar" priority="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{ac4fc8f4-6c9e-4cfc-a11c-648bf3305628}</x14:id>
        </ext>
      </extLst>
    </cfRule>
    <cfRule type="colorScale" priority="23">
      <colorScale>
        <cfvo type="percent" val="0"/>
        <cfvo type="percent" val="0"/>
        <color theme="0"/>
        <color theme="0"/>
      </colorScale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{1f95e5df-4275-4455-b593-f75da734c0a0}</x14:id>
        </ext>
      </extLst>
    </cfRule>
    <cfRule type="dataBar" priority="2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{a1fa8250-f61b-462b-80c2-5d44ff6fc512}</x14:id>
        </ext>
      </extLst>
    </cfRule>
    <cfRule type="dataBar" priority="2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{128238ff-ebbd-45f8-8113-e2945206f87b}</x14:id>
        </ext>
      </extLst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{1aa0c81a-5e84-408c-bcec-2274ff17890d}</x14:id>
        </ext>
      </extLst>
    </cfRule>
  </conditionalFormatting>
  <conditionalFormatting sqref="P29:R35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{578d1866-af65-4c67-94b0-5e437a72ac03}</x14:id>
        </ext>
      </extLst>
    </cfRule>
    <cfRule type="colorScale" priority="16">
      <colorScale>
        <cfvo type="percent" val="0"/>
        <cfvo type="percent" val="0"/>
        <color theme="0"/>
        <color theme="0"/>
      </colorScale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{7252fbc1-4668-4bd4-9d88-c74cfc1829ea}</x14:id>
        </ext>
      </extLst>
    </cfRule>
    <cfRule type="dataBar" priority="1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{16a5a701-3c2c-4027-a049-7e5ab205e681}</x14:id>
        </ext>
      </extLst>
    </cfRule>
    <cfRule type="dataBar" priority="1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{3ecc048b-5dea-466d-a1d5-7606a86a0160}</x14:id>
        </ext>
      </extLst>
    </cfRule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{032f52ea-0f5f-4376-a941-0b9b5349858a}</x14:id>
        </ext>
      </extLst>
    </cfRule>
  </conditionalFormatting>
  <conditionalFormatting sqref="P36:R48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{f53927db-4f37-41ba-bcf8-f9b164d9acd3}</x14:id>
        </ext>
      </extLst>
    </cfRule>
    <cfRule type="colorScale" priority="29">
      <colorScale>
        <cfvo type="percent" val="0"/>
        <cfvo type="percent" val="0"/>
        <color theme="0"/>
        <color theme="0"/>
      </colorScale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{57348095-e860-49ae-a44d-a4fd1556198a}</x14:id>
        </ext>
      </extLst>
    </cfRule>
    <cfRule type="dataBar" priority="3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{05eec89c-0c5f-4216-8e3e-1149bb6e6865}</x14:id>
        </ext>
      </extLst>
    </cfRule>
    <cfRule type="dataBar" priority="3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{7a6659ad-a1cd-4379-a32a-56aa7eb3b0e7}</x14:id>
        </ext>
      </extLst>
    </cfRule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{2a1ba717-1849-4c1f-bed6-7b8698a0c360}</x14:id>
        </ext>
      </extLst>
    </cfRule>
  </conditionalFormatting>
  <conditionalFormatting sqref="C84:E9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{ac0ee2a0-9418-4d59-99b0-2fc1622fe434}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9d68723-4bc2-4c04-a7c9-485fb81a8cd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f63a9ba8-859d-463c-98a5-8994198630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ae1d8dd-638a-4776-8cbf-665fdde22e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c4538b45-81c5-4c83-a1b8-6620a7e99a1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9f38da7b-5201-4b32-a07a-c5d32b3da03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f2246f-7f66-4d91-b2e4-03ffa9cbeea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cdd2c056-e1e3-4a11-ae6a-6ddafe0c5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c3b4a07-65c6-4422-ae14-e8890c4eae0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1969db49-2387-4331-a377-d1393a4612f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d83347a3-fcb1-476b-b1a7-89d47761a2d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76b5c526-f608-4391-ba25-704bf1c27d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K29:Q39</xm:sqref>
        </x14:conditionalFormatting>
        <x14:conditionalFormatting xmlns:xm="http://schemas.microsoft.com/office/excel/2006/main">
          <x14:cfRule type="dataBar" id="{ac4fc8f4-6c9e-4cfc-a11c-648bf330562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1f95e5df-4275-4455-b593-f75da734c0a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1fa8250-f61b-462b-80c2-5d44ff6fc51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28238ff-ebbd-45f8-8113-e2945206f87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aa0c81a-5e84-408c-bcec-2274ff17890d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578d1866-af65-4c67-94b0-5e437a72ac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7252fbc1-4668-4bd4-9d88-c74cfc1829e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6a5a701-3c2c-4027-a049-7e5ab205e68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3ecc048b-5dea-466d-a1d5-7606a86a016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32f52ea-0f5f-4376-a941-0b9b5349858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f53927db-4f37-41ba-bcf8-f9b164d9acd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57348095-e860-49ae-a44d-a4fd1556198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5eec89c-0c5f-4216-8e3e-1149bb6e686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7a6659ad-a1cd-4379-a32a-56aa7eb3b0e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2a1ba717-1849-4c1f-bed6-7b8698a0c360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ac0ee2a0-9418-4d59-99b0-2fc1622fe43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C84:E92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tabColor theme="8" tint="0.799951170384838"/>
  </sheetPr>
  <dimension ref="A1:Y96"/>
  <sheetViews>
    <sheetView showGridLines="0" zoomScale="70" zoomScaleNormal="70" topLeftCell="A43" workbookViewId="0">
      <selection activeCell="C84" sqref="C84:C92"/>
    </sheetView>
  </sheetViews>
  <sheetFormatPr defaultColWidth="8.44444444444444" defaultRowHeight="13.2"/>
  <cols>
    <col min="1" max="17" width="10.5555555555556" style="16" customWidth="1"/>
    <col min="18" max="18" width="10.5555555555556" style="16" hidden="1" customWidth="1"/>
    <col min="19" max="19" width="10.5555555555556" style="16" customWidth="1"/>
    <col min="20" max="16384" width="8.44444444444444" style="16"/>
  </cols>
  <sheetData>
    <row r="1" s="12" customFormat="1" ht="40.8" customHeight="1" spans="1:19">
      <c r="A1" s="17" t="s">
        <v>172</v>
      </c>
      <c r="B1" s="17"/>
      <c r="C1" s="17"/>
      <c r="D1" s="17"/>
      <c r="E1" s="17"/>
      <c r="F1" s="17"/>
      <c r="G1" s="18" t="s">
        <v>151</v>
      </c>
      <c r="H1" s="18"/>
      <c r="I1" s="18"/>
      <c r="J1" s="18">
        <v>517.73</v>
      </c>
      <c r="K1" s="58" t="s">
        <v>2</v>
      </c>
      <c r="L1" s="58" t="s">
        <v>3</v>
      </c>
      <c r="M1" s="58"/>
      <c r="N1" s="58"/>
      <c r="O1" s="58"/>
      <c r="Q1" s="82"/>
      <c r="R1" s="82"/>
      <c r="S1" s="82"/>
    </row>
    <row r="2" ht="1.95" customHeight="1" spans="8:19">
      <c r="H2" s="19"/>
      <c r="P2" s="12"/>
      <c r="Q2" s="82"/>
      <c r="R2" s="82"/>
      <c r="S2" s="82"/>
    </row>
    <row r="3" s="13" customFormat="1" ht="21.9" customHeight="1" spans="1:25">
      <c r="A3" s="20" t="s">
        <v>4</v>
      </c>
      <c r="B3" s="20">
        <v>0</v>
      </c>
      <c r="C3" s="24">
        <v>0.26</v>
      </c>
      <c r="D3" s="10" t="s">
        <v>152</v>
      </c>
      <c r="E3" s="10" t="s">
        <v>115</v>
      </c>
      <c r="F3" s="10" t="s">
        <v>46</v>
      </c>
      <c r="G3" s="10" t="s">
        <v>5</v>
      </c>
      <c r="H3" s="10" t="s">
        <v>6</v>
      </c>
      <c r="I3" s="10" t="s">
        <v>7</v>
      </c>
      <c r="J3" s="10" t="s">
        <v>8</v>
      </c>
      <c r="K3" s="10" t="s">
        <v>9</v>
      </c>
      <c r="L3" s="10" t="s">
        <v>10</v>
      </c>
      <c r="M3" s="10" t="s">
        <v>11</v>
      </c>
      <c r="N3" s="10" t="s">
        <v>12</v>
      </c>
      <c r="O3" s="10" t="s">
        <v>13</v>
      </c>
      <c r="P3" s="59"/>
      <c r="Q3" s="83"/>
      <c r="R3" s="83"/>
      <c r="S3" s="83"/>
      <c r="T3" s="84"/>
      <c r="U3" s="84"/>
      <c r="V3" s="84"/>
      <c r="W3" s="84"/>
      <c r="X3" s="84"/>
      <c r="Y3" s="84"/>
    </row>
    <row r="4" s="13" customFormat="1" ht="21.9" customHeight="1" spans="1:25">
      <c r="A4" s="20"/>
      <c r="B4" s="20"/>
      <c r="C4" s="24">
        <v>0</v>
      </c>
      <c r="D4" s="11">
        <v>-1.6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59"/>
      <c r="Q4" s="83"/>
      <c r="R4" s="83"/>
      <c r="S4" s="83"/>
      <c r="T4" s="84"/>
      <c r="U4" s="84"/>
      <c r="V4" s="84"/>
      <c r="W4" s="84"/>
      <c r="X4" s="84"/>
      <c r="Y4" s="84"/>
    </row>
    <row r="5" ht="1.95" customHeight="1" spans="16:19">
      <c r="P5" s="12"/>
      <c r="Q5" s="82"/>
      <c r="R5" s="82"/>
      <c r="S5" s="82"/>
    </row>
    <row r="6" s="13" customFormat="1" ht="24.6" customHeight="1" spans="1:25">
      <c r="A6" s="20" t="s">
        <v>15</v>
      </c>
      <c r="B6" s="20">
        <v>0</v>
      </c>
      <c r="C6" s="32" t="s">
        <v>18</v>
      </c>
      <c r="D6" s="23" t="s">
        <v>16</v>
      </c>
      <c r="E6" s="23" t="s">
        <v>154</v>
      </c>
      <c r="F6" s="23" t="s">
        <v>155</v>
      </c>
      <c r="G6" s="23" t="s">
        <v>120</v>
      </c>
      <c r="H6" s="23" t="s">
        <v>121</v>
      </c>
      <c r="I6" s="23" t="s">
        <v>122</v>
      </c>
      <c r="J6" s="23" t="s">
        <v>22</v>
      </c>
      <c r="K6" s="23" t="s">
        <v>23</v>
      </c>
      <c r="L6" s="23" t="s">
        <v>24</v>
      </c>
      <c r="M6" s="23" t="s">
        <v>25</v>
      </c>
      <c r="N6" s="23" t="s">
        <v>26</v>
      </c>
      <c r="O6" s="23" t="s">
        <v>27</v>
      </c>
      <c r="P6" s="59"/>
      <c r="Q6" s="83"/>
      <c r="R6" s="83"/>
      <c r="S6" s="83"/>
      <c r="T6" s="84"/>
      <c r="U6" s="84"/>
      <c r="V6" s="84"/>
      <c r="W6" s="84"/>
      <c r="X6" s="84"/>
      <c r="Y6" s="84"/>
    </row>
    <row r="7" s="13" customFormat="1" ht="24.6" customHeight="1" spans="1:25">
      <c r="A7" s="20"/>
      <c r="B7" s="20"/>
      <c r="C7" s="24">
        <v>0</v>
      </c>
      <c r="D7" s="10">
        <v>-1.2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59"/>
      <c r="Q7" s="83"/>
      <c r="R7" s="83"/>
      <c r="S7" s="83"/>
      <c r="T7" s="84"/>
      <c r="U7" s="84"/>
      <c r="V7" s="84"/>
      <c r="W7" s="84"/>
      <c r="X7" s="84"/>
      <c r="Y7" s="84"/>
    </row>
    <row r="8" ht="1.95" customHeight="1" spans="16:19">
      <c r="P8" s="12"/>
      <c r="Q8" s="82"/>
      <c r="R8" s="82"/>
      <c r="S8" s="82"/>
    </row>
    <row r="9" s="13" customFormat="1" ht="22.2" customHeight="1" spans="1:25">
      <c r="A9" s="20" t="s">
        <v>29</v>
      </c>
      <c r="B9" s="20">
        <v>0</v>
      </c>
      <c r="C9" s="24" t="s">
        <v>123</v>
      </c>
      <c r="D9" s="10" t="s">
        <v>124</v>
      </c>
      <c r="E9" s="10" t="s">
        <v>125</v>
      </c>
      <c r="F9" s="10" t="s">
        <v>140</v>
      </c>
      <c r="G9" s="10" t="s">
        <v>141</v>
      </c>
      <c r="H9" s="10" t="s">
        <v>142</v>
      </c>
      <c r="I9" s="10" t="s">
        <v>143</v>
      </c>
      <c r="J9" s="10" t="s">
        <v>144</v>
      </c>
      <c r="K9" s="10" t="s">
        <v>145</v>
      </c>
      <c r="L9" s="10" t="s">
        <v>128</v>
      </c>
      <c r="M9" s="10" t="s">
        <v>129</v>
      </c>
      <c r="N9" s="10" t="s">
        <v>40</v>
      </c>
      <c r="O9" s="10" t="s">
        <v>41</v>
      </c>
      <c r="P9" s="60"/>
      <c r="Q9" s="84"/>
      <c r="R9" s="84"/>
      <c r="S9" s="84"/>
      <c r="T9" s="84"/>
      <c r="U9" s="84"/>
      <c r="V9" s="84"/>
      <c r="W9" s="84"/>
      <c r="X9" s="84"/>
      <c r="Y9" s="84"/>
    </row>
    <row r="10" s="13" customFormat="1" ht="22.2" customHeight="1" spans="1:25">
      <c r="A10" s="20"/>
      <c r="B10" s="20"/>
      <c r="C10" s="24">
        <v>0</v>
      </c>
      <c r="D10" s="10">
        <v>0</v>
      </c>
      <c r="E10" s="10">
        <v>0</v>
      </c>
      <c r="F10" s="25"/>
      <c r="G10" s="25"/>
      <c r="H10" s="25"/>
      <c r="I10" s="25"/>
      <c r="J10" s="25"/>
      <c r="K10" s="61"/>
      <c r="L10" s="25"/>
      <c r="M10" s="25"/>
      <c r="N10" s="25"/>
      <c r="O10" s="25"/>
      <c r="P10" s="59"/>
      <c r="Q10" s="85"/>
      <c r="R10" s="85"/>
      <c r="S10" s="85"/>
      <c r="T10" s="85"/>
      <c r="U10" s="85"/>
      <c r="V10" s="84"/>
      <c r="W10" s="84"/>
      <c r="X10" s="84"/>
      <c r="Y10" s="84"/>
    </row>
    <row r="11" ht="1.95" customHeight="1" spans="16:19">
      <c r="P11" s="12"/>
      <c r="Q11" s="82"/>
      <c r="R11" s="82"/>
      <c r="S11" s="82"/>
    </row>
    <row r="12" s="13" customFormat="1" ht="25.2" customHeight="1" spans="1:25">
      <c r="A12" s="20" t="s">
        <v>43</v>
      </c>
      <c r="B12" s="20">
        <v>0</v>
      </c>
      <c r="C12" s="21" t="s">
        <v>114</v>
      </c>
      <c r="D12" s="26" t="s">
        <v>152</v>
      </c>
      <c r="E12" s="26" t="s">
        <v>115</v>
      </c>
      <c r="F12" s="10" t="s">
        <v>46</v>
      </c>
      <c r="G12" s="10" t="s">
        <v>5</v>
      </c>
      <c r="H12" s="10" t="s">
        <v>6</v>
      </c>
      <c r="I12" s="10" t="s">
        <v>7</v>
      </c>
      <c r="J12" s="10" t="s">
        <v>8</v>
      </c>
      <c r="K12" s="10" t="s">
        <v>9</v>
      </c>
      <c r="L12" s="10" t="s">
        <v>10</v>
      </c>
      <c r="M12" s="10" t="s">
        <v>11</v>
      </c>
      <c r="N12" s="10" t="s">
        <v>12</v>
      </c>
      <c r="O12" s="10" t="s">
        <v>13</v>
      </c>
      <c r="P12" s="62"/>
      <c r="Q12" s="83"/>
      <c r="R12" s="83"/>
      <c r="S12" s="83"/>
      <c r="T12" s="84"/>
      <c r="U12" s="84"/>
      <c r="V12" s="84"/>
      <c r="W12" s="84"/>
      <c r="X12" s="84"/>
      <c r="Y12" s="84"/>
    </row>
    <row r="13" s="13" customFormat="1" ht="21.9" customHeight="1" spans="1:25">
      <c r="A13" s="20"/>
      <c r="B13" s="20"/>
      <c r="C13" s="21">
        <v>0</v>
      </c>
      <c r="D13" s="26"/>
      <c r="E13" s="26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59"/>
      <c r="Q13" s="83"/>
      <c r="R13" s="83"/>
      <c r="S13" s="83"/>
      <c r="T13" s="84"/>
      <c r="U13" s="84"/>
      <c r="V13" s="84"/>
      <c r="W13" s="84"/>
      <c r="X13" s="84"/>
      <c r="Y13" s="84"/>
    </row>
    <row r="14" s="13" customFormat="1" ht="21.9" customHeight="1" spans="1:25">
      <c r="A14" s="20" t="s">
        <v>47</v>
      </c>
      <c r="B14" s="20">
        <v>38184</v>
      </c>
      <c r="C14" s="21">
        <v>38184</v>
      </c>
      <c r="D14" s="26"/>
      <c r="E14" s="26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59"/>
      <c r="Q14" s="83"/>
      <c r="R14" s="83"/>
      <c r="S14" s="83"/>
      <c r="T14" s="84"/>
      <c r="U14" s="84"/>
      <c r="V14" s="84"/>
      <c r="W14" s="84"/>
      <c r="X14" s="84"/>
      <c r="Y14" s="84"/>
    </row>
    <row r="15" s="13" customFormat="1" ht="21.9" customHeight="1" spans="1:25">
      <c r="A15" s="20" t="s">
        <v>48</v>
      </c>
      <c r="B15" s="20">
        <v>1.2</v>
      </c>
      <c r="C15" s="21">
        <v>1.2</v>
      </c>
      <c r="D15" s="26"/>
      <c r="E15" s="26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9"/>
      <c r="Q15" s="83"/>
      <c r="R15" s="83"/>
      <c r="S15" s="83"/>
      <c r="T15" s="84"/>
      <c r="U15" s="84"/>
      <c r="V15" s="84"/>
      <c r="W15" s="84"/>
      <c r="X15" s="84"/>
      <c r="Y15" s="84"/>
    </row>
    <row r="16" ht="1.95" customHeight="1" spans="16:19">
      <c r="P16" s="12"/>
      <c r="Q16" s="82"/>
      <c r="R16" s="82"/>
      <c r="S16" s="82"/>
    </row>
    <row r="17" s="13" customFormat="1" ht="36" customHeight="1" spans="1:25">
      <c r="A17" s="20" t="s">
        <v>49</v>
      </c>
      <c r="B17" s="27">
        <v>0</v>
      </c>
      <c r="C17" s="102" t="s">
        <v>50</v>
      </c>
      <c r="D17" s="29" t="s">
        <v>51</v>
      </c>
      <c r="E17" s="29" t="s">
        <v>52</v>
      </c>
      <c r="F17" s="29" t="s">
        <v>53</v>
      </c>
      <c r="G17" s="29" t="s">
        <v>54</v>
      </c>
      <c r="H17" s="29" t="s">
        <v>55</v>
      </c>
      <c r="I17" s="29" t="s">
        <v>56</v>
      </c>
      <c r="J17" s="29" t="s">
        <v>57</v>
      </c>
      <c r="K17" s="29" t="s">
        <v>9</v>
      </c>
      <c r="L17" s="29" t="s">
        <v>10</v>
      </c>
      <c r="M17" s="29" t="s">
        <v>11</v>
      </c>
      <c r="N17" s="29" t="s">
        <v>12</v>
      </c>
      <c r="O17" s="29" t="s">
        <v>13</v>
      </c>
      <c r="P17" s="59"/>
      <c r="Q17" s="83"/>
      <c r="R17" s="83"/>
      <c r="S17" s="83"/>
      <c r="T17" s="84"/>
      <c r="U17" s="84"/>
      <c r="V17" s="84"/>
      <c r="W17" s="84"/>
      <c r="X17" s="84"/>
      <c r="Y17" s="84"/>
    </row>
    <row r="18" s="13" customFormat="1" ht="21.9" customHeight="1" spans="1:25">
      <c r="A18" s="20"/>
      <c r="B18" s="30"/>
      <c r="C18" s="21">
        <v>0</v>
      </c>
      <c r="D18" s="10">
        <v>-0.2</v>
      </c>
      <c r="E18" s="10">
        <v>-2.2</v>
      </c>
      <c r="F18" s="10">
        <v>-2.8</v>
      </c>
      <c r="G18" s="10">
        <v>0.2</v>
      </c>
      <c r="H18" s="10">
        <v>0.15</v>
      </c>
      <c r="I18" s="10">
        <v>-1.4</v>
      </c>
      <c r="J18" s="10">
        <v>-1.8</v>
      </c>
      <c r="K18" s="10"/>
      <c r="L18" s="10"/>
      <c r="M18" s="10"/>
      <c r="N18" s="10"/>
      <c r="O18" s="10"/>
      <c r="P18" s="59"/>
      <c r="Q18" s="83"/>
      <c r="R18" s="83"/>
      <c r="S18" s="83"/>
      <c r="T18" s="84"/>
      <c r="U18" s="84"/>
      <c r="V18" s="84"/>
      <c r="W18" s="84"/>
      <c r="X18" s="84"/>
      <c r="Y18" s="84"/>
    </row>
    <row r="19" ht="2.1" customHeight="1" spans="16:19">
      <c r="P19" s="12"/>
      <c r="Q19" s="82"/>
      <c r="R19" s="82"/>
      <c r="S19" s="82"/>
    </row>
    <row r="20" s="13" customFormat="1" ht="34.8" customHeight="1" spans="1:25">
      <c r="A20" s="20" t="s">
        <v>58</v>
      </c>
      <c r="B20" s="20">
        <v>0</v>
      </c>
      <c r="C20" s="22" t="s">
        <v>60</v>
      </c>
      <c r="D20" s="23" t="s">
        <v>173</v>
      </c>
      <c r="E20" s="10" t="s">
        <v>174</v>
      </c>
      <c r="F20" s="10" t="s">
        <v>167</v>
      </c>
      <c r="G20" s="10" t="s">
        <v>168</v>
      </c>
      <c r="H20" s="10" t="s">
        <v>169</v>
      </c>
      <c r="I20" s="10" t="s">
        <v>170</v>
      </c>
      <c r="J20" s="10" t="s">
        <v>157</v>
      </c>
      <c r="K20" s="10" t="s">
        <v>66</v>
      </c>
      <c r="L20" s="10" t="s">
        <v>67</v>
      </c>
      <c r="M20" s="10" t="s">
        <v>68</v>
      </c>
      <c r="N20" s="10" t="s">
        <v>69</v>
      </c>
      <c r="O20" s="10" t="s">
        <v>70</v>
      </c>
      <c r="P20" s="60"/>
      <c r="Q20" s="83"/>
      <c r="R20" s="83"/>
      <c r="S20" s="83"/>
      <c r="T20" s="84"/>
      <c r="U20" s="84"/>
      <c r="V20" s="84"/>
      <c r="W20" s="84"/>
      <c r="X20" s="84"/>
      <c r="Y20" s="84"/>
    </row>
    <row r="21" s="13" customFormat="1" ht="21.6" customHeight="1" spans="1:25">
      <c r="A21" s="20"/>
      <c r="B21" s="20"/>
      <c r="C21" s="21">
        <v>0</v>
      </c>
      <c r="D21" s="10">
        <v>-0.5</v>
      </c>
      <c r="E21" s="10"/>
      <c r="F21" s="10"/>
      <c r="G21" s="10"/>
      <c r="H21" s="31"/>
      <c r="I21" s="10"/>
      <c r="J21" s="10"/>
      <c r="K21" s="10"/>
      <c r="L21" s="10"/>
      <c r="M21" s="10"/>
      <c r="N21" s="10"/>
      <c r="O21" s="10"/>
      <c r="P21" s="63"/>
      <c r="Q21" s="86"/>
      <c r="R21" s="86"/>
      <c r="S21" s="86"/>
      <c r="T21" s="87"/>
      <c r="U21" s="84"/>
      <c r="V21" s="84"/>
      <c r="W21" s="84"/>
      <c r="X21" s="84"/>
      <c r="Y21" s="84"/>
    </row>
    <row r="22" ht="2.1" customHeight="1" spans="16:19">
      <c r="P22" s="12"/>
      <c r="Q22" s="82"/>
      <c r="R22" s="82"/>
      <c r="S22" s="82"/>
    </row>
    <row r="23" s="13" customFormat="1" ht="21.6" hidden="1" customHeight="1" spans="1:23">
      <c r="A23" s="20" t="s">
        <v>105</v>
      </c>
      <c r="B23" s="20">
        <v>0</v>
      </c>
      <c r="C23" s="22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60"/>
      <c r="Q23" s="83"/>
      <c r="R23" s="83"/>
      <c r="S23" s="83"/>
      <c r="T23" s="84"/>
      <c r="U23" s="84"/>
      <c r="V23" s="84"/>
      <c r="W23" s="84"/>
    </row>
    <row r="24" s="13" customFormat="1" ht="21.6" hidden="1" customHeight="1" spans="1:23">
      <c r="A24" s="20"/>
      <c r="B24" s="20"/>
      <c r="C24" s="21"/>
      <c r="D24" s="10"/>
      <c r="E24" s="10"/>
      <c r="F24" s="10"/>
      <c r="G24" s="31"/>
      <c r="H24" s="31"/>
      <c r="I24" s="10"/>
      <c r="J24" s="10"/>
      <c r="K24" s="10"/>
      <c r="L24" s="10"/>
      <c r="M24" s="10"/>
      <c r="N24" s="10"/>
      <c r="O24" s="10"/>
      <c r="P24" s="64"/>
      <c r="Q24" s="88"/>
      <c r="R24" s="88"/>
      <c r="S24" s="88"/>
      <c r="T24" s="84"/>
      <c r="U24" s="84"/>
      <c r="V24" s="84"/>
      <c r="W24" s="84"/>
    </row>
    <row r="25" ht="2.1" hidden="1" customHeight="1" spans="16:19">
      <c r="P25" s="12"/>
      <c r="Q25" s="82"/>
      <c r="R25" s="82"/>
      <c r="S25" s="82"/>
    </row>
    <row r="26" s="13" customFormat="1" ht="21.6" customHeight="1" spans="1:25">
      <c r="A26" s="20" t="s">
        <v>73</v>
      </c>
      <c r="B26" s="20">
        <v>-3.7</v>
      </c>
      <c r="C26" s="32" t="s">
        <v>74</v>
      </c>
      <c r="D26" s="23" t="s">
        <v>75</v>
      </c>
      <c r="E26" s="23" t="s">
        <v>158</v>
      </c>
      <c r="F26" s="23" t="s">
        <v>159</v>
      </c>
      <c r="G26" s="23" t="s">
        <v>77</v>
      </c>
      <c r="H26" s="23" t="s">
        <v>78</v>
      </c>
      <c r="I26" s="23" t="s">
        <v>79</v>
      </c>
      <c r="J26" s="23" t="s">
        <v>80</v>
      </c>
      <c r="K26" s="23" t="s">
        <v>81</v>
      </c>
      <c r="L26" s="23" t="s">
        <v>82</v>
      </c>
      <c r="M26" s="23" t="s">
        <v>83</v>
      </c>
      <c r="N26" s="23" t="s">
        <v>84</v>
      </c>
      <c r="O26" s="23" t="s">
        <v>85</v>
      </c>
      <c r="P26" s="65"/>
      <c r="Q26" s="83"/>
      <c r="R26" s="83"/>
      <c r="S26" s="83"/>
      <c r="T26" s="84"/>
      <c r="U26" s="84"/>
      <c r="V26" s="84"/>
      <c r="W26" s="84"/>
      <c r="X26" s="84"/>
      <c r="Y26" s="84"/>
    </row>
    <row r="27" s="13" customFormat="1" ht="21.6" customHeight="1" spans="1:25">
      <c r="A27" s="20"/>
      <c r="B27" s="20"/>
      <c r="C27" s="33">
        <v>-3.7</v>
      </c>
      <c r="D27" s="34">
        <v>-4.4</v>
      </c>
      <c r="E27" s="34"/>
      <c r="F27" s="34"/>
      <c r="G27" s="35"/>
      <c r="H27" s="35"/>
      <c r="I27" s="34"/>
      <c r="J27" s="34"/>
      <c r="K27" s="34"/>
      <c r="L27" s="34"/>
      <c r="M27" s="34"/>
      <c r="N27" s="34"/>
      <c r="O27" s="34"/>
      <c r="P27" s="64"/>
      <c r="Q27" s="88"/>
      <c r="R27" s="88"/>
      <c r="S27" s="88"/>
      <c r="T27" s="84"/>
      <c r="U27" s="84"/>
      <c r="V27" s="84"/>
      <c r="W27" s="84"/>
      <c r="X27" s="84"/>
      <c r="Y27" s="84"/>
    </row>
    <row r="28" s="14" customFormat="1" ht="22.2" customHeight="1" spans="1:19">
      <c r="A28" s="36" t="s">
        <v>87</v>
      </c>
      <c r="B28" s="36" t="s">
        <v>88</v>
      </c>
      <c r="C28" s="36" t="s">
        <v>89</v>
      </c>
      <c r="D28" s="36" t="s">
        <v>90</v>
      </c>
      <c r="E28" s="36">
        <v>33081</v>
      </c>
      <c r="F28" s="36" t="s">
        <v>91</v>
      </c>
      <c r="G28" s="36" t="s">
        <v>92</v>
      </c>
      <c r="H28" s="36" t="s">
        <v>93</v>
      </c>
      <c r="I28" s="36" t="s">
        <v>94</v>
      </c>
      <c r="J28" s="66" t="s">
        <v>95</v>
      </c>
      <c r="K28" s="67">
        <v>495</v>
      </c>
      <c r="L28" s="67">
        <v>500</v>
      </c>
      <c r="M28" s="67">
        <v>505</v>
      </c>
      <c r="N28" s="67">
        <v>510</v>
      </c>
      <c r="O28" s="67">
        <v>515</v>
      </c>
      <c r="P28" s="67">
        <v>520</v>
      </c>
      <c r="Q28" s="67">
        <v>525</v>
      </c>
      <c r="R28" s="67">
        <v>530</v>
      </c>
      <c r="S28" s="89" t="s">
        <v>96</v>
      </c>
    </row>
    <row r="29" s="13" customFormat="1" ht="18" customHeight="1" spans="1:19">
      <c r="A29" s="37" t="s">
        <v>175</v>
      </c>
      <c r="B29" s="37" t="s">
        <v>98</v>
      </c>
      <c r="C29" s="38">
        <v>0.253</v>
      </c>
      <c r="D29" s="39"/>
      <c r="E29" s="40">
        <v>38184</v>
      </c>
      <c r="F29" s="41">
        <f t="shared" ref="F29:F48" si="0">C29*E29/1000</f>
        <v>9.660552</v>
      </c>
      <c r="G29" s="41">
        <f>F29*54</f>
        <v>521.669808</v>
      </c>
      <c r="H29" s="42">
        <f>I29/G29</f>
        <v>0.969326297973584</v>
      </c>
      <c r="I29" s="68">
        <f>G29*(H30+0.15%)</f>
        <v>505.668263753231</v>
      </c>
      <c r="J29" s="68"/>
      <c r="K29" s="69">
        <f>(NORMSDIST((I29-$K$28)/B15)-NORMSDIST((I29-$L$28)/B15))</f>
        <v>1.15879689122078e-6</v>
      </c>
      <c r="L29" s="69">
        <f>(NORMSDIST((I29-$L$28)/B15)-NORMSDIST((I29-$M$28)/B15))</f>
        <v>0.28880134394685</v>
      </c>
      <c r="M29" s="70">
        <f>(NORMSDIST((I29-$M$28)/B15)-NORMSDIST((I29-$N$28)/B15))</f>
        <v>0.711044268971717</v>
      </c>
      <c r="N29" s="70">
        <f>(NORMSDIST((I29-$N$28)/B15)-NORMSDIST((I29-$O$28)/B15))</f>
        <v>0.000153228284537523</v>
      </c>
      <c r="O29" s="70">
        <f>(NORMSDIST((I29-$O$28)/B15)-NORMSDIST((I29-$P$28)/B15))</f>
        <v>3.72949439793163e-15</v>
      </c>
      <c r="P29" s="70">
        <f>(NORMSDIST((I29-$P$28)/B15)-NORMSDIST((I29-$Q$28)/B15))</f>
        <v>3.52662832105773e-33</v>
      </c>
      <c r="Q29" s="70">
        <f>(NORMSDIST((I29-$Q$28)/B15)-NORMSDIST((I29-$R$28)/B15))</f>
        <v>1.08898318990352e-58</v>
      </c>
      <c r="R29" s="70"/>
      <c r="S29" s="90">
        <f t="shared" ref="S29:S48" si="1">SUM(K29:R29)</f>
        <v>1</v>
      </c>
    </row>
    <row r="30" s="13" customFormat="1" ht="18" customHeight="1" spans="1:19">
      <c r="A30" s="43"/>
      <c r="B30" s="43"/>
      <c r="C30" s="38">
        <f t="shared" ref="C30:C48" si="2">C29+0.1%</f>
        <v>0.254</v>
      </c>
      <c r="D30" s="44"/>
      <c r="E30" s="40">
        <v>38184</v>
      </c>
      <c r="F30" s="41">
        <f t="shared" si="0"/>
        <v>9.698736</v>
      </c>
      <c r="G30" s="41">
        <f t="shared" ref="G30:G48" si="3">F30*54</f>
        <v>523.731744</v>
      </c>
      <c r="H30" s="42">
        <f t="shared" ref="H30:H48" si="4">I30/G30</f>
        <v>0.967826297973585</v>
      </c>
      <c r="I30" s="68">
        <f t="shared" ref="I30:I35" si="5">G30*(H31+0.15%)</f>
        <v>506.881354926769</v>
      </c>
      <c r="J30" s="68"/>
      <c r="K30" s="69">
        <f>(NORMSDIST((I30-$K$28)/B15)-NORMSDIST((I30-$L$28)/B15))</f>
        <v>4.89110496548761e-9</v>
      </c>
      <c r="L30" s="69">
        <f>(NORMSDIST((I30-$L$28)/B15)-NORMSDIST((I30-$M$28)/B15))</f>
        <v>0.0584643960447673</v>
      </c>
      <c r="M30" s="70">
        <f>(NORMSDIST((I30-$M$28)/B15)-NORMSDIST((I30-$N$28)/B15))</f>
        <v>0.936859051902802</v>
      </c>
      <c r="N30" s="70">
        <f>(NORMSDIST((I30-$N$28)/B15)-NORMSDIST((I30-$O$28)/B15))</f>
        <v>0.00467654715468483</v>
      </c>
      <c r="O30" s="70">
        <f>(NORMSDIST((I30-$O$28)/B15)-NORMSDIST((I30-$P$28)/B15))</f>
        <v>6.64075659356987e-12</v>
      </c>
      <c r="P30" s="70">
        <f>(NORMSDIST((I30-$P$28)/B15)-NORMSDIST((I30-$Q$28)/B15))</f>
        <v>4.04300167272129e-28</v>
      </c>
      <c r="Q30" s="70">
        <f>(NORMSDIST((I30-$Q$28)/B15)-NORMSDIST((I30-$R$28)/B15))</f>
        <v>8.23650298050458e-52</v>
      </c>
      <c r="R30" s="70"/>
      <c r="S30" s="90">
        <f t="shared" si="1"/>
        <v>1</v>
      </c>
    </row>
    <row r="31" s="13" customFormat="1" ht="18" customHeight="1" spans="1:19">
      <c r="A31" s="43"/>
      <c r="B31" s="43"/>
      <c r="C31" s="38">
        <f t="shared" si="2"/>
        <v>0.255</v>
      </c>
      <c r="D31" s="45"/>
      <c r="E31" s="40">
        <v>38184</v>
      </c>
      <c r="F31" s="41">
        <f t="shared" si="0"/>
        <v>9.73692</v>
      </c>
      <c r="G31" s="41">
        <f t="shared" si="3"/>
        <v>525.79368</v>
      </c>
      <c r="H31" s="42">
        <f t="shared" si="4"/>
        <v>0.966326297973585</v>
      </c>
      <c r="I31" s="68">
        <f t="shared" si="5"/>
        <v>508.088260292308</v>
      </c>
      <c r="J31" s="71"/>
      <c r="K31" s="69">
        <f>(NORMSDIST((I31-$K$28)/B15)-NORMSDIST((I31-$L$28)/B15))</f>
        <v>7.90756349289268e-12</v>
      </c>
      <c r="L31" s="69">
        <f>(NORMSDIST((I31-$L$28)/B15)-NORMSDIST((I31-$M$28)/B15))</f>
        <v>0.00503305150390088</v>
      </c>
      <c r="M31" s="70">
        <f>(NORMSDIST((I31-$M$28)/B15)-NORMSDIST((I31-$N$28)/B15))</f>
        <v>0.939399910626078</v>
      </c>
      <c r="N31" s="72">
        <f>(NORMSDIST((I31-$N$28)/B15)-NORMSDIST((I31-$O$28)/B15))</f>
        <v>0.0555670336510084</v>
      </c>
      <c r="O31" s="72">
        <f>(NORMSDIST((I31-$O$28)/B15)-NORMSDIST((I31-$P$28)/B15))</f>
        <v>4.21110481072771e-9</v>
      </c>
      <c r="P31" s="70">
        <f>(NORMSDIST((I31-$P$28)/B15)-NORMSDIST((I31-$Q$28)/B15))</f>
        <v>1.59713285071262e-23</v>
      </c>
      <c r="Q31" s="70">
        <f>(NORMSDIST((I31-$Q$28)/B15)-NORMSDIST((I31-$R$28)/B15))</f>
        <v>2.09335056701139e-45</v>
      </c>
      <c r="R31" s="70"/>
      <c r="S31" s="90">
        <f t="shared" si="1"/>
        <v>1</v>
      </c>
    </row>
    <row r="32" s="15" customFormat="1" ht="18" customHeight="1" spans="1:19">
      <c r="A32" s="43"/>
      <c r="B32" s="43"/>
      <c r="C32" s="38">
        <f t="shared" si="2"/>
        <v>0.256</v>
      </c>
      <c r="D32" s="45"/>
      <c r="E32" s="40">
        <v>38184</v>
      </c>
      <c r="F32" s="46">
        <f t="shared" si="0"/>
        <v>9.775104</v>
      </c>
      <c r="G32" s="41">
        <f t="shared" si="3"/>
        <v>527.855616</v>
      </c>
      <c r="H32" s="47">
        <f t="shared" si="4"/>
        <v>0.964826297973585</v>
      </c>
      <c r="I32" s="68">
        <f t="shared" si="5"/>
        <v>509.288979849846</v>
      </c>
      <c r="J32" s="73"/>
      <c r="K32" s="74">
        <f>(NORMSDIST((I32-$K$28)/B15)-NORMSDIST((I32-$L$28)/B15))</f>
        <v>4.88498130835069e-15</v>
      </c>
      <c r="L32" s="74">
        <f>(NORMSDIST((I32-$L$28)/B15)-NORMSDIST((I32-$M$28)/B15))</f>
        <v>0.000175683817709493</v>
      </c>
      <c r="M32" s="74">
        <f>(NORMSDIST((I32-$M$28)/B15)-NORMSDIST((I32-$N$28)/B15))</f>
        <v>0.723072026299364</v>
      </c>
      <c r="N32" s="74">
        <f>(NORMSDIST((I32-$N$28)/B15)-NORMSDIST((I32-$O$28)/B15))</f>
        <v>0.276751317994413</v>
      </c>
      <c r="O32" s="74">
        <f>(NORMSDIST((I32-$O$28)/B15)-NORMSDIST((I32-$P$28)/B15))</f>
        <v>9.71888509104267e-7</v>
      </c>
      <c r="P32" s="74">
        <f>(NORMSDIST((I32-$P$28)/B15)-NORMSDIST((I32-$Q$28)/B15))</f>
        <v>2.21144515650528e-19</v>
      </c>
      <c r="Q32" s="74">
        <f>(NORMSDIST((I32-$Q$28)/B15)-NORMSDIST((I32-$R$28)/B15))</f>
        <v>1.81682449641981e-39</v>
      </c>
      <c r="R32" s="74"/>
      <c r="S32" s="90">
        <f t="shared" si="1"/>
        <v>1</v>
      </c>
    </row>
    <row r="33" s="13" customFormat="1" ht="18" customHeight="1" spans="1:19">
      <c r="A33" s="43"/>
      <c r="B33" s="43"/>
      <c r="C33" s="38">
        <f t="shared" si="2"/>
        <v>0.257</v>
      </c>
      <c r="D33" s="49"/>
      <c r="E33" s="40">
        <v>38184</v>
      </c>
      <c r="F33" s="41">
        <f t="shared" si="0"/>
        <v>9.813288</v>
      </c>
      <c r="G33" s="41">
        <f t="shared" si="3"/>
        <v>529.917552</v>
      </c>
      <c r="H33" s="42">
        <f t="shared" si="4"/>
        <v>0.963326297973585</v>
      </c>
      <c r="I33" s="68">
        <f t="shared" si="5"/>
        <v>510.483513599385</v>
      </c>
      <c r="J33" s="73"/>
      <c r="K33" s="69">
        <f>(NORMSDIST((I33-$K$28)/B15)-NORMSDIST((I33-$L$28)/B15))</f>
        <v>0</v>
      </c>
      <c r="L33" s="69">
        <f>(NORMSDIST((I33-$L$28)/B15)-NORMSDIST((I33-$M$28)/B15))</f>
        <v>2.44334199561713e-6</v>
      </c>
      <c r="M33" s="70">
        <f>(NORMSDIST((I33-$M$28)/B15)-NORMSDIST((I33-$N$28)/B15))</f>
        <v>0.343498153007985</v>
      </c>
      <c r="N33" s="70">
        <f>(NORMSDIST((I33-$N$28)/B15)-NORMSDIST((I33-$O$28)/B15))</f>
        <v>0.656415707742149</v>
      </c>
      <c r="O33" s="70">
        <f>(NORMSDIST((I33-$O$28)/B15)-NORMSDIST((I33-$P$28)/B15))</f>
        <v>8.36959078700795e-5</v>
      </c>
      <c r="P33" s="70">
        <f>(NORMSDIST((I33-$P$28)/B15)-NORMSDIST((I33-$Q$28)/B15))</f>
        <v>1.09215881902969e-15</v>
      </c>
      <c r="Q33" s="70">
        <f>(NORMSDIST((I33-$Q$28)/B15)-NORMSDIST((I33-$R$28)/B15))</f>
        <v>5.47227940587067e-34</v>
      </c>
      <c r="R33" s="70"/>
      <c r="S33" s="90">
        <f t="shared" si="1"/>
        <v>1</v>
      </c>
    </row>
    <row r="34" s="13" customFormat="1" ht="18" customHeight="1" spans="1:19">
      <c r="A34" s="43"/>
      <c r="B34" s="43"/>
      <c r="C34" s="38">
        <f t="shared" si="2"/>
        <v>0.258</v>
      </c>
      <c r="D34" s="49"/>
      <c r="E34" s="40">
        <v>38184</v>
      </c>
      <c r="F34" s="41">
        <f t="shared" si="0"/>
        <v>9.851472</v>
      </c>
      <c r="G34" s="41">
        <f t="shared" si="3"/>
        <v>531.979488</v>
      </c>
      <c r="H34" s="42">
        <f t="shared" si="4"/>
        <v>0.961826297973585</v>
      </c>
      <c r="I34" s="68">
        <f t="shared" si="5"/>
        <v>511.671861540923</v>
      </c>
      <c r="J34" s="75"/>
      <c r="K34" s="69">
        <f>(NORMSDIST((I34-$K$28)/B15)-NORMSDIST((I34-$L$28)/B15))</f>
        <v>0</v>
      </c>
      <c r="L34" s="69">
        <f>(NORMSDIST((I34-$L$28)/B15)-NORMSDIST((I34-$M$28)/B15))</f>
        <v>1.34976529952979e-8</v>
      </c>
      <c r="M34" s="70">
        <f>(NORMSDIST((I34-$M$28)/B15)-NORMSDIST((I34-$N$28)/B15))</f>
        <v>0.0817769330583735</v>
      </c>
      <c r="N34" s="70">
        <f>(NORMSDIST((I34-$N$28)/B15)-NORMSDIST((I34-$O$28)/B15))</f>
        <v>0.915449774344513</v>
      </c>
      <c r="O34" s="70">
        <f>(NORMSDIST((I34-$O$28)/B15)-NORMSDIST((I34-$P$28)/B15))</f>
        <v>0.00277327909750164</v>
      </c>
      <c r="P34" s="70">
        <f>(NORMSDIST((I34-$P$28)/B15)-NORMSDIST((I34-$Q$28)/B15))</f>
        <v>1.95889910787818e-12</v>
      </c>
      <c r="Q34" s="70">
        <f>(NORMSDIST((I34-$Q$28)/B15)-NORMSDIST((I34-$R$28)/B15))</f>
        <v>5.81372355238427e-29</v>
      </c>
      <c r="R34" s="70"/>
      <c r="S34" s="90">
        <f t="shared" si="1"/>
        <v>1</v>
      </c>
    </row>
    <row r="35" s="13" customFormat="1" ht="18" customHeight="1" spans="1:19">
      <c r="A35" s="43"/>
      <c r="B35" s="43"/>
      <c r="C35" s="38">
        <f t="shared" si="2"/>
        <v>0.259</v>
      </c>
      <c r="D35" s="49"/>
      <c r="E35" s="40">
        <v>38184</v>
      </c>
      <c r="F35" s="41">
        <f t="shared" si="0"/>
        <v>9.889656</v>
      </c>
      <c r="G35" s="41">
        <f t="shared" si="3"/>
        <v>534.041424</v>
      </c>
      <c r="H35" s="42">
        <f t="shared" si="4"/>
        <v>0.960326297973585</v>
      </c>
      <c r="I35" s="68">
        <f t="shared" si="5"/>
        <v>512.854023674462</v>
      </c>
      <c r="J35" s="76"/>
      <c r="K35" s="69">
        <f>(NORMSDIST((I35-$K$28)/B15)-NORMSDIST((I35-$L$28)/B15))</f>
        <v>0</v>
      </c>
      <c r="L35" s="69">
        <f>(NORMSDIST((I35-$L$28)/B15)-NORMSDIST((I35-$M$28)/B15))</f>
        <v>2.97437630081276e-11</v>
      </c>
      <c r="M35" s="70">
        <f>(NORMSDIST((I35-$M$28)/B15)-NORMSDIST((I35-$N$28)/B15))</f>
        <v>0.00869508309593325</v>
      </c>
      <c r="N35" s="70">
        <f>(NORMSDIST((I35-$N$28)/B15)-NORMSDIST((I35-$O$28)/B15))</f>
        <v>0.9544422037962</v>
      </c>
      <c r="O35" s="70">
        <f>(NORMSDIST((I35-$O$28)/B15)-NORMSDIST((I35-$P$28)/B15))</f>
        <v>0.0368627117776073</v>
      </c>
      <c r="P35" s="70">
        <f>(NORMSDIST((I35-$P$28)/B15)-NORMSDIST((I35-$Q$28)/B15))</f>
        <v>1.30051602782055e-9</v>
      </c>
      <c r="Q35" s="70">
        <f>(NORMSDIST((I35-$Q$28)/B15)-NORMSDIST((I35-$R$28)/B15))</f>
        <v>2.21449708121116e-24</v>
      </c>
      <c r="R35" s="70"/>
      <c r="S35" s="90">
        <f t="shared" si="1"/>
        <v>1</v>
      </c>
    </row>
    <row r="36" s="15" customFormat="1" ht="18" customHeight="1" spans="1:19">
      <c r="A36" s="43"/>
      <c r="B36" s="43"/>
      <c r="C36" s="50">
        <f t="shared" si="2"/>
        <v>0.26</v>
      </c>
      <c r="D36" s="49">
        <v>0.0341140293136703</v>
      </c>
      <c r="E36" s="51">
        <v>38184</v>
      </c>
      <c r="F36" s="52">
        <f t="shared" si="0"/>
        <v>9.92784</v>
      </c>
      <c r="G36" s="52">
        <f t="shared" si="3"/>
        <v>536.10336</v>
      </c>
      <c r="H36" s="53">
        <f t="shared" si="4"/>
        <v>0.958826297973585</v>
      </c>
      <c r="I36" s="77">
        <v>514.03</v>
      </c>
      <c r="J36" s="77" t="s">
        <v>99</v>
      </c>
      <c r="K36" s="78">
        <f>(NORMSDIST((I36-$K$28)/B15)-NORMSDIST((I36-$L$28)/B15))</f>
        <v>0</v>
      </c>
      <c r="L36" s="78">
        <f>(NORMSDIST((I36-$L$28)/B15)-NORMSDIST((I36-$M$28)/B15))</f>
        <v>2.63122856836162e-14</v>
      </c>
      <c r="M36" s="79">
        <f>(NORMSDIST((I36-$M$28)/B15)-NORMSDIST((I36-$N$28)/B15))</f>
        <v>0.000392069960340025</v>
      </c>
      <c r="N36" s="79">
        <f>(NORMSDIST((I36-$N$28)/B15)-NORMSDIST((I36-$O$28)/B15))</f>
        <v>0.790158570792803</v>
      </c>
      <c r="O36" s="79">
        <f>(NORMSDIST((I36-$O$28)/B15)-NORMSDIST((I36-$P$28)/B15))</f>
        <v>0.209449033008631</v>
      </c>
      <c r="P36" s="79">
        <f>(NORMSDIST((I36-$P$28)/B15)-NORMSDIST((I36-$Q$28)/B15))</f>
        <v>3.26238199558326e-7</v>
      </c>
      <c r="Q36" s="79">
        <f>(NORMSDIST((I36-$Q$28)/B15)-NORMSDIST((I36-$R$28)/B15))</f>
        <v>3.07485684197738e-20</v>
      </c>
      <c r="R36" s="79"/>
      <c r="S36" s="91">
        <f t="shared" si="1"/>
        <v>1</v>
      </c>
    </row>
    <row r="37" s="13" customFormat="1" ht="18" customHeight="1" spans="1:19">
      <c r="A37" s="43"/>
      <c r="B37" s="43"/>
      <c r="C37" s="38">
        <f t="shared" si="2"/>
        <v>0.261</v>
      </c>
      <c r="D37" s="49">
        <v>0.0586334878828709</v>
      </c>
      <c r="E37" s="40">
        <v>38184</v>
      </c>
      <c r="F37" s="41">
        <f t="shared" si="0"/>
        <v>9.966024</v>
      </c>
      <c r="G37" s="41">
        <f t="shared" si="3"/>
        <v>538.165296</v>
      </c>
      <c r="H37" s="42">
        <f t="shared" si="4"/>
        <v>0.957326297973585</v>
      </c>
      <c r="I37" s="68">
        <f>G37*(H36-0.15%)</f>
        <v>515.199790517539</v>
      </c>
      <c r="J37" s="75"/>
      <c r="K37" s="69">
        <f>(NORMSDIST((I37-$K$28)/B15)-NORMSDIST((I37-$L$28)/B15))</f>
        <v>0</v>
      </c>
      <c r="L37" s="69">
        <f>(NORMSDIST((I37-$L$28)/B15)-NORMSDIST((I37-$M$28)/B15))</f>
        <v>0</v>
      </c>
      <c r="M37" s="70">
        <f>(NORMSDIST((I37-$M$28)/B15)-NORMSDIST((I37-$N$28)/B15))</f>
        <v>7.34925154943777e-6</v>
      </c>
      <c r="N37" s="70">
        <f>(NORMSDIST((I37-$N$28)/B15)-NORMSDIST((I37-$O$28)/B15))</f>
        <v>0.433877501403163</v>
      </c>
      <c r="O37" s="70">
        <f>(NORMSDIST((I37-$O$28)/B15)-NORMSDIST((I37-$P$28)/B15))</f>
        <v>0.566083501457871</v>
      </c>
      <c r="P37" s="70">
        <f>(NORMSDIST((I37-$P$28)/B15)-NORMSDIST((I37-$Q$28)/B15))</f>
        <v>3.16478874170033e-5</v>
      </c>
      <c r="Q37" s="70">
        <f>(NORMSDIST((I37-$Q$28)/B15)-NORMSDIST((I37-$R$28)/B15))</f>
        <v>1.58284538040886e-16</v>
      </c>
      <c r="R37" s="70"/>
      <c r="S37" s="90">
        <f t="shared" si="1"/>
        <v>1</v>
      </c>
    </row>
    <row r="38" s="13" customFormat="1" ht="18" customHeight="1" spans="1:19">
      <c r="A38" s="43"/>
      <c r="B38" s="43"/>
      <c r="C38" s="38">
        <f t="shared" si="2"/>
        <v>0.262</v>
      </c>
      <c r="D38" s="49">
        <v>0.0841203302499458</v>
      </c>
      <c r="E38" s="40">
        <v>38184</v>
      </c>
      <c r="F38" s="41">
        <f t="shared" si="0"/>
        <v>10.004208</v>
      </c>
      <c r="G38" s="41">
        <f t="shared" si="3"/>
        <v>540.227232</v>
      </c>
      <c r="H38" s="42">
        <f t="shared" si="4"/>
        <v>0.955826297973585</v>
      </c>
      <c r="I38" s="68">
        <f t="shared" ref="I38:I48" si="6">G38*(H37-0.15%)</f>
        <v>516.363395227077</v>
      </c>
      <c r="J38" s="68"/>
      <c r="K38" s="69">
        <f>(NORMSDIST((I38-$K$28)/B15)-NORMSDIST((I38-$L$28)/B15))</f>
        <v>0</v>
      </c>
      <c r="L38" s="69">
        <f>(NORMSDIST((I38-$L$28)/B15)-NORMSDIST((I38-$M$28)/B15))</f>
        <v>0</v>
      </c>
      <c r="M38" s="70">
        <f>(NORMSDIST((I38-$M$28)/B15)-NORMSDIST((I38-$N$28)/B15))</f>
        <v>5.70107482333881e-8</v>
      </c>
      <c r="N38" s="70">
        <f>(NORMSDIST((I38-$N$28)/B15)-NORMSDIST((I38-$O$28)/B15))</f>
        <v>0.127944184236059</v>
      </c>
      <c r="O38" s="70">
        <f>(NORMSDIST((I38-$O$28)/B15)-NORMSDIST((I38-$P$28)/B15))</f>
        <v>0.870835028896489</v>
      </c>
      <c r="P38" s="70">
        <f>(NORMSDIST((I38-$P$28)/B15)-NORMSDIST((I38-$Q$28)/B15))</f>
        <v>0.00122072985639617</v>
      </c>
      <c r="Q38" s="70">
        <f>(NORMSDIST((I38-$Q$28)/B15)-NORMSDIST((I38-$R$28)/B15))</f>
        <v>3.07374045251178e-13</v>
      </c>
      <c r="R38" s="70"/>
      <c r="S38" s="90">
        <f t="shared" si="1"/>
        <v>1</v>
      </c>
    </row>
    <row r="39" s="13" customFormat="1" ht="18" customHeight="1" spans="1:19">
      <c r="A39" s="43"/>
      <c r="B39" s="43"/>
      <c r="C39" s="38">
        <f t="shared" si="2"/>
        <v>0.263</v>
      </c>
      <c r="D39" s="49">
        <v>0.231516943533095</v>
      </c>
      <c r="E39" s="40">
        <v>38184</v>
      </c>
      <c r="F39" s="41">
        <f t="shared" si="0"/>
        <v>10.042392</v>
      </c>
      <c r="G39" s="41">
        <f t="shared" si="3"/>
        <v>542.289168</v>
      </c>
      <c r="H39" s="42">
        <f t="shared" si="4"/>
        <v>0.954326297973585</v>
      </c>
      <c r="I39" s="68">
        <f t="shared" si="6"/>
        <v>517.520814128616</v>
      </c>
      <c r="J39" s="68"/>
      <c r="K39" s="69">
        <f>(NORMSDIST((I39-$K$28)/B15)-NORMSDIST((I39-$L$28)/B15))</f>
        <v>0</v>
      </c>
      <c r="L39" s="69">
        <f>(NORMSDIST((I39-$L$28)/B15)-NORMSDIST((I39-$M$28)/B15))</f>
        <v>0</v>
      </c>
      <c r="M39" s="70">
        <f>(NORMSDIST((I39-$M$28)/B15)-NORMSDIST((I39-$N$28)/B15))</f>
        <v>1.83627779648532e-10</v>
      </c>
      <c r="N39" s="70">
        <f>(NORMSDIST((I39-$N$28)/B15)-NORMSDIST((I39-$O$28)/B15))</f>
        <v>0.0178346013750421</v>
      </c>
      <c r="O39" s="70">
        <f>(NORMSDIST((I39-$O$28)/B15)-NORMSDIST((I39-$P$28)/B15))</f>
        <v>0.962750602779525</v>
      </c>
      <c r="P39" s="70">
        <f>(NORMSDIST((I39-$P$28)/B15)-NORMSDIST((I39-$Q$28)/B15))</f>
        <v>0.0194147954325075</v>
      </c>
      <c r="Q39" s="70">
        <f>(NORMSDIST((I39-$Q$28)/B15)-NORMSDIST((I39-$R$28)/B15))</f>
        <v>2.29297861100707e-10</v>
      </c>
      <c r="R39" s="70"/>
      <c r="S39" s="90">
        <f t="shared" si="1"/>
        <v>1</v>
      </c>
    </row>
    <row r="40" s="13" customFormat="1" ht="18" customHeight="1" spans="1:19">
      <c r="A40" s="43"/>
      <c r="B40" s="43"/>
      <c r="C40" s="38">
        <f t="shared" si="2"/>
        <v>0.264</v>
      </c>
      <c r="D40" s="49">
        <v>0.320133020125304</v>
      </c>
      <c r="E40" s="40">
        <v>38184</v>
      </c>
      <c r="F40" s="41">
        <f t="shared" si="0"/>
        <v>10.080576</v>
      </c>
      <c r="G40" s="41">
        <f t="shared" si="3"/>
        <v>544.351104</v>
      </c>
      <c r="H40" s="42">
        <f t="shared" si="4"/>
        <v>0.952826297973585</v>
      </c>
      <c r="I40" s="68">
        <f t="shared" si="6"/>
        <v>518.672047222154</v>
      </c>
      <c r="J40" s="68"/>
      <c r="K40" s="69">
        <f>(NORMSDIST((I40-$K$28)/B15)-NORMSDIST((I40-$L$28)/B15))</f>
        <v>0</v>
      </c>
      <c r="L40" s="69">
        <f>(NORMSDIST((I40-$L$28)/B15)-NORMSDIST((I40-$M$28)/B15))</f>
        <v>0</v>
      </c>
      <c r="M40" s="70">
        <f>(NORMSDIST((I40-$M$28)/B15)-NORMSDIST((I40-$N$28)/B15))</f>
        <v>2.47468712188947e-13</v>
      </c>
      <c r="N40" s="70">
        <f>(NORMSDIST((I40-$N$28)/B15)-NORMSDIST((I40-$O$28)/B15))</f>
        <v>0.001106539555771</v>
      </c>
      <c r="O40" s="70">
        <f>(NORMSDIST((I40-$O$28)/B15)-NORMSDIST((I40-$P$28)/B15))</f>
        <v>0.864665914130861</v>
      </c>
      <c r="P40" s="70">
        <f>(NORMSDIST((I40-$P$28)/B15)-NORMSDIST((I40-$Q$28)/B15))</f>
        <v>0.134227479314791</v>
      </c>
      <c r="Q40" s="70">
        <f>(NORMSDIST((I40-$Q$28)/B15)-NORMSDIST((I40-$R$28)/B15))</f>
        <v>6.69983291479448e-8</v>
      </c>
      <c r="R40" s="70"/>
      <c r="S40" s="90">
        <f t="shared" si="1"/>
        <v>1</v>
      </c>
    </row>
    <row r="41" s="13" customFormat="1" ht="18" customHeight="1" spans="1:19">
      <c r="A41" s="43"/>
      <c r="B41" s="43"/>
      <c r="C41" s="38">
        <f t="shared" si="2"/>
        <v>0.265</v>
      </c>
      <c r="D41" s="49">
        <v>0.22052468114755</v>
      </c>
      <c r="E41" s="40">
        <v>38184</v>
      </c>
      <c r="F41" s="41">
        <f t="shared" si="0"/>
        <v>10.11876</v>
      </c>
      <c r="G41" s="41">
        <f t="shared" si="3"/>
        <v>546.41304</v>
      </c>
      <c r="H41" s="42">
        <f t="shared" si="4"/>
        <v>0.951326297973585</v>
      </c>
      <c r="I41" s="68">
        <f t="shared" si="6"/>
        <v>519.817094507693</v>
      </c>
      <c r="J41" s="68"/>
      <c r="K41" s="69">
        <f>(NORMSDIST((I41-$K$28)/B15)-NORMSDIST((I41-$L$28)/B15))</f>
        <v>0</v>
      </c>
      <c r="L41" s="69">
        <f>(NORMSDIST((I41-$L$28)/B15)-NORMSDIST((I41-$M$28)/B15))</f>
        <v>0</v>
      </c>
      <c r="M41" s="70">
        <f>(NORMSDIST((I41-$M$28)/B15)-NORMSDIST((I41-$N$28)/B15))</f>
        <v>0</v>
      </c>
      <c r="N41" s="70">
        <f>(NORMSDIST((I41-$N$28)/B15)-NORMSDIST((I41-$O$28)/B15))</f>
        <v>2.9818135164672e-5</v>
      </c>
      <c r="O41" s="70">
        <f>(NORMSDIST((I41-$O$28)/B15)-NORMSDIST((I41-$P$28)/B15))</f>
        <v>0.560542830428984</v>
      </c>
      <c r="P41" s="70">
        <f>(NORMSDIST((I41-$P$28)/B15)-NORMSDIST((I41-$Q$28)/B15))</f>
        <v>0.439419517667462</v>
      </c>
      <c r="Q41" s="70">
        <f>(NORMSDIST((I41-$Q$28)/B15)-NORMSDIST((I41-$R$28)/B15))</f>
        <v>7.83376838956058e-6</v>
      </c>
      <c r="R41" s="70"/>
      <c r="S41" s="90">
        <f t="shared" si="1"/>
        <v>1</v>
      </c>
    </row>
    <row r="42" s="13" customFormat="1" ht="18" customHeight="1" spans="1:19">
      <c r="A42" s="43"/>
      <c r="B42" s="43"/>
      <c r="C42" s="38">
        <f t="shared" si="2"/>
        <v>0.266</v>
      </c>
      <c r="D42" s="49">
        <v>0.0509575077475633</v>
      </c>
      <c r="E42" s="40">
        <v>38184</v>
      </c>
      <c r="F42" s="41">
        <f t="shared" si="0"/>
        <v>10.156944</v>
      </c>
      <c r="G42" s="41">
        <f t="shared" si="3"/>
        <v>548.474976</v>
      </c>
      <c r="H42" s="42">
        <f t="shared" si="4"/>
        <v>0.949826297973585</v>
      </c>
      <c r="I42" s="68">
        <f t="shared" si="6"/>
        <v>520.955955985231</v>
      </c>
      <c r="J42" s="68"/>
      <c r="K42" s="69">
        <f>(NORMSDIST((I42-$K$28)/B15)-NORMSDIST((I42-$L$28)/B15))</f>
        <v>0</v>
      </c>
      <c r="L42" s="69">
        <f>(NORMSDIST((I42-$L$28)/B15)-NORMSDIST((I42-$M$28)/B15))</f>
        <v>0</v>
      </c>
      <c r="M42" s="70">
        <f>(NORMSDIST((I42-$M$28)/B15)-NORMSDIST((I42-$N$28)/B15))</f>
        <v>0</v>
      </c>
      <c r="N42" s="70">
        <f>(NORMSDIST((I42-$N$28)/B15)-NORMSDIST((I42-$O$28)/B15))</f>
        <v>3.46532994299764e-7</v>
      </c>
      <c r="O42" s="70">
        <f>(NORMSDIST((I42-$O$28)/B15)-NORMSDIST((I42-$P$28)/B15))</f>
        <v>0.212832631489168</v>
      </c>
      <c r="P42" s="70">
        <f>(NORMSDIST((I42-$P$28)/B15)-NORMSDIST((I42-$Q$28)/B15))</f>
        <v>0.786791231083724</v>
      </c>
      <c r="Q42" s="70">
        <f>(NORMSDIST((I42-$Q$28)/B15)-NORMSDIST((I42-$R$28)/B15))</f>
        <v>0.000375790894089467</v>
      </c>
      <c r="R42" s="70"/>
      <c r="S42" s="90">
        <f t="shared" si="1"/>
        <v>0.999999999999976</v>
      </c>
    </row>
    <row r="43" s="13" customFormat="1" ht="18" customHeight="1" spans="1:19">
      <c r="A43" s="43"/>
      <c r="B43" s="43"/>
      <c r="C43" s="38">
        <f t="shared" si="2"/>
        <v>0.267</v>
      </c>
      <c r="D43" s="49">
        <v>0</v>
      </c>
      <c r="E43" s="40">
        <v>38184</v>
      </c>
      <c r="F43" s="41">
        <f t="shared" si="0"/>
        <v>10.195128</v>
      </c>
      <c r="G43" s="41">
        <f t="shared" si="3"/>
        <v>550.536912</v>
      </c>
      <c r="H43" s="42">
        <f t="shared" si="4"/>
        <v>0.948326297973585</v>
      </c>
      <c r="I43" s="68">
        <f t="shared" si="6"/>
        <v>522.08863165477</v>
      </c>
      <c r="J43" s="68"/>
      <c r="K43" s="69">
        <f>(NORMSDIST((I43-$K$28)/B15)-NORMSDIST((I43-$L$28)/B15))</f>
        <v>0</v>
      </c>
      <c r="L43" s="69">
        <f>(NORMSDIST((I43-$L$28)/B15)-NORMSDIST((I43-$M$28)/B15))</f>
        <v>0</v>
      </c>
      <c r="M43" s="70">
        <f>(NORMSDIST((I43-$M$28)/B15)-NORMSDIST((I43-$N$28)/B15))</f>
        <v>0</v>
      </c>
      <c r="N43" s="70">
        <f>(NORMSDIST((I43-$N$28)/B15)-NORMSDIST((I43-$O$28)/B15))</f>
        <v>1.73992942276158e-9</v>
      </c>
      <c r="O43" s="70">
        <f>(NORMSDIST((I43-$O$28)/B15)-NORMSDIST((I43-$P$28)/B15))</f>
        <v>0.0408833143926102</v>
      </c>
      <c r="P43" s="70">
        <f>(NORMSDIST((I43-$P$28)/B15)-NORMSDIST((I43-$Q$28)/B15))</f>
        <v>0.951486498855799</v>
      </c>
      <c r="Q43" s="70">
        <f>(NORMSDIST((I43-$Q$28)/B15)-NORMSDIST((I43-$R$28)/B15))</f>
        <v>0.0076301849900823</v>
      </c>
      <c r="R43" s="70"/>
      <c r="S43" s="90">
        <f t="shared" si="1"/>
        <v>0.999999999978421</v>
      </c>
    </row>
    <row r="44" s="13" customFormat="1" ht="18" hidden="1" customHeight="1" spans="1:19">
      <c r="A44" s="43"/>
      <c r="B44" s="43"/>
      <c r="C44" s="38">
        <f t="shared" si="2"/>
        <v>0.268</v>
      </c>
      <c r="D44" s="49"/>
      <c r="E44" s="40">
        <v>38184</v>
      </c>
      <c r="F44" s="41">
        <f t="shared" si="0"/>
        <v>10.233312</v>
      </c>
      <c r="G44" s="41">
        <f t="shared" si="3"/>
        <v>552.598848</v>
      </c>
      <c r="H44" s="42">
        <f t="shared" si="4"/>
        <v>0.946826297973586</v>
      </c>
      <c r="I44" s="68">
        <f t="shared" si="6"/>
        <v>523.215121516308</v>
      </c>
      <c r="J44" s="68"/>
      <c r="K44" s="69">
        <f>(NORMSDIST((I44-$K$28)/B15)-NORMSDIST((I44-$L$28)/B15))</f>
        <v>0</v>
      </c>
      <c r="L44" s="69">
        <f>(NORMSDIST((I44-$L$28)/B15)-NORMSDIST((I44-$M$28)/B15))</f>
        <v>0</v>
      </c>
      <c r="M44" s="70">
        <f>(NORMSDIST((I44-$M$28)/B15)-NORMSDIST((I44-$N$28)/B15))</f>
        <v>0</v>
      </c>
      <c r="N44" s="70">
        <f>(NORMSDIST((I44-$N$28)/B15)-NORMSDIST((I44-$O$28)/B15))</f>
        <v>3.79896114566236e-12</v>
      </c>
      <c r="O44" s="70">
        <f>(NORMSDIST((I44-$O$28)/B15)-NORMSDIST((I44-$P$28)/B15))</f>
        <v>0.00368916643174944</v>
      </c>
      <c r="P44" s="70">
        <f>(NORMSDIST((I44-$P$28)/B15)-NORMSDIST((I44-$Q$28)/B15))</f>
        <v>0.927856068342568</v>
      </c>
      <c r="Q44" s="70">
        <f>(NORMSDIST((I44-$Q$28)/B15)-NORMSDIST((I44-$R$28)/B15))</f>
        <v>0.0684547573870567</v>
      </c>
      <c r="R44" s="70"/>
      <c r="S44" s="90">
        <f t="shared" si="1"/>
        <v>0.999999992165173</v>
      </c>
    </row>
    <row r="45" s="13" customFormat="1" ht="18" hidden="1" customHeight="1" spans="1:19">
      <c r="A45" s="43"/>
      <c r="B45" s="43"/>
      <c r="C45" s="38">
        <f t="shared" si="2"/>
        <v>0.269</v>
      </c>
      <c r="D45" s="55"/>
      <c r="E45" s="40">
        <v>38184</v>
      </c>
      <c r="F45" s="41">
        <f t="shared" si="0"/>
        <v>10.271496</v>
      </c>
      <c r="G45" s="41">
        <f t="shared" si="3"/>
        <v>554.660784</v>
      </c>
      <c r="H45" s="42">
        <f t="shared" si="4"/>
        <v>0.945326297973586</v>
      </c>
      <c r="I45" s="68">
        <f t="shared" si="6"/>
        <v>524.335425569847</v>
      </c>
      <c r="J45" s="68"/>
      <c r="K45" s="69">
        <f>(NORMSDIST((I45-$K$28)/B15)-NORMSDIST((I45-$L$28)/B15))</f>
        <v>0</v>
      </c>
      <c r="L45" s="69">
        <f>(NORMSDIST((I45-$L$28)/B15)-NORMSDIST((I45-$M$28)/B15))</f>
        <v>0</v>
      </c>
      <c r="M45" s="70">
        <f>(NORMSDIST((I45-$M$28)/B15)-NORMSDIST((I45-$N$28)/B15))</f>
        <v>0</v>
      </c>
      <c r="N45" s="70">
        <f>(NORMSDIST((I45-$N$28)/B15)-NORMSDIST((I45-$O$28)/B15))</f>
        <v>3.66373598126302e-15</v>
      </c>
      <c r="O45" s="70">
        <f>(NORMSDIST((I45-$O$28)/B15)-NORMSDIST((I45-$P$28)/B15))</f>
        <v>0.000151422245341926</v>
      </c>
      <c r="P45" s="70">
        <f>(NORMSDIST((I45-$P$28)/B15)-NORMSDIST((I45-$Q$28)/B15))</f>
        <v>0.709994828892396</v>
      </c>
      <c r="Q45" s="70">
        <f>(NORMSDIST((I45-$Q$28)/B15)-NORMSDIST((I45-$R$28)/B15))</f>
        <v>0.289852572410973</v>
      </c>
      <c r="R45" s="70"/>
      <c r="S45" s="90">
        <f t="shared" si="1"/>
        <v>0.999998823548714</v>
      </c>
    </row>
    <row r="46" s="13" customFormat="1" ht="18" hidden="1" customHeight="1" spans="1:19">
      <c r="A46" s="43"/>
      <c r="B46" s="43"/>
      <c r="C46" s="38">
        <f t="shared" si="2"/>
        <v>0.27</v>
      </c>
      <c r="D46" s="55"/>
      <c r="E46" s="40">
        <v>38184</v>
      </c>
      <c r="F46" s="41">
        <f t="shared" si="0"/>
        <v>10.30968</v>
      </c>
      <c r="G46" s="41">
        <f t="shared" si="3"/>
        <v>556.72272</v>
      </c>
      <c r="H46" s="42">
        <f t="shared" si="4"/>
        <v>0.943826297973586</v>
      </c>
      <c r="I46" s="68">
        <f t="shared" si="6"/>
        <v>525.449543815385</v>
      </c>
      <c r="J46" s="68"/>
      <c r="K46" s="69">
        <f>(NORMSDIST((I46-$K$28)/B15)-NORMSDIST((I46-$L$28)/B15))</f>
        <v>0</v>
      </c>
      <c r="L46" s="69">
        <f>(NORMSDIST((I46-$L$28)/B15)-NORMSDIST((I46-$M$28)/B15))</f>
        <v>0</v>
      </c>
      <c r="M46" s="70">
        <f>(NORMSDIST((I46-$M$28)/B15)-NORMSDIST((I46-$N$28)/B15))</f>
        <v>0</v>
      </c>
      <c r="N46" s="70">
        <f>(NORMSDIST((I46-$N$28)/B15)-NORMSDIST((I46-$O$28)/B15))</f>
        <v>0</v>
      </c>
      <c r="O46" s="70">
        <f>(NORMSDIST((I46-$O$28)/B15)-NORMSDIST((I46-$P$28)/B15))</f>
        <v>2.79559927252038e-6</v>
      </c>
      <c r="P46" s="70">
        <f>(NORMSDIST((I46-$P$28)/B15)-NORMSDIST((I46-$Q$28)/B15))</f>
        <v>0.353968809945227</v>
      </c>
      <c r="Q46" s="70">
        <f>(NORMSDIST((I46-$Q$28)/B15)-NORMSDIST((I46-$R$28)/B15))</f>
        <v>0.645953689087744</v>
      </c>
      <c r="R46" s="70"/>
      <c r="S46" s="90">
        <f t="shared" si="1"/>
        <v>0.999925294632243</v>
      </c>
    </row>
    <row r="47" s="13" customFormat="1" ht="18" hidden="1" customHeight="1" spans="1:19">
      <c r="A47" s="43"/>
      <c r="B47" s="43"/>
      <c r="C47" s="38">
        <f t="shared" si="2"/>
        <v>0.271</v>
      </c>
      <c r="D47" s="55"/>
      <c r="E47" s="40">
        <v>38184</v>
      </c>
      <c r="F47" s="41">
        <f t="shared" si="0"/>
        <v>10.347864</v>
      </c>
      <c r="G47" s="41">
        <f t="shared" si="3"/>
        <v>558.784656</v>
      </c>
      <c r="H47" s="42">
        <f t="shared" si="4"/>
        <v>0.942326297973586</v>
      </c>
      <c r="I47" s="68">
        <f t="shared" si="6"/>
        <v>526.557476252924</v>
      </c>
      <c r="J47" s="68"/>
      <c r="K47" s="69">
        <f>(NORMSDIST((I47-$K$28)/B15)-NORMSDIST((I47-$L$28)/B15))</f>
        <v>0</v>
      </c>
      <c r="L47" s="69">
        <f>(NORMSDIST((I47-$L$28)/B15)-NORMSDIST((I47-$M$28)/B15))</f>
        <v>0</v>
      </c>
      <c r="M47" s="70">
        <f>(NORMSDIST((I47-$M$28)/B15)-NORMSDIST((I47-$N$28)/B15))</f>
        <v>0</v>
      </c>
      <c r="N47" s="70">
        <f>(NORMSDIST((I47-$N$28)/B15)-NORMSDIST((I47-$O$28)/B15))</f>
        <v>0</v>
      </c>
      <c r="O47" s="70">
        <f>(NORMSDIST((I47-$O$28)/B15)-NORMSDIST((I47-$P$28)/B15))</f>
        <v>2.32023565915895e-8</v>
      </c>
      <c r="P47" s="70">
        <f>(NORMSDIST((I47-$P$28)/B15)-NORMSDIST((I47-$Q$28)/B15))</f>
        <v>0.0971613634089833</v>
      </c>
      <c r="Q47" s="70">
        <f>(NORMSDIST((I47-$Q$28)/B15)-NORMSDIST((I47-$R$28)/B15))</f>
        <v>0.900778255382974</v>
      </c>
      <c r="R47" s="70"/>
      <c r="S47" s="90">
        <f t="shared" si="1"/>
        <v>0.997939641994314</v>
      </c>
    </row>
    <row r="48" s="13" customFormat="1" ht="18" hidden="1" customHeight="1" spans="1:19">
      <c r="A48" s="43"/>
      <c r="B48" s="43"/>
      <c r="C48" s="38">
        <f t="shared" si="2"/>
        <v>0.272</v>
      </c>
      <c r="D48" s="55"/>
      <c r="E48" s="40">
        <v>38184</v>
      </c>
      <c r="F48" s="41">
        <f t="shared" si="0"/>
        <v>10.386048</v>
      </c>
      <c r="G48" s="41">
        <f t="shared" si="3"/>
        <v>560.846592</v>
      </c>
      <c r="H48" s="42">
        <f t="shared" si="4"/>
        <v>0.940826297973586</v>
      </c>
      <c r="I48" s="68">
        <f t="shared" si="6"/>
        <v>527.659222882462</v>
      </c>
      <c r="J48" s="68"/>
      <c r="K48" s="69">
        <f>(NORMSDIST((I48-$K$28)/B15)-NORMSDIST((I48-$L$28)/B15))</f>
        <v>0</v>
      </c>
      <c r="L48" s="69">
        <f>(NORMSDIST((I48-$L$28)/B15)-NORMSDIST((I48-$M$28)/B15))</f>
        <v>0</v>
      </c>
      <c r="M48" s="70">
        <f>(NORMSDIST((I48-$M$28)/B15)-NORMSDIST((I48-$N$28)/B15))</f>
        <v>0</v>
      </c>
      <c r="N48" s="70">
        <f>(NORMSDIST((I48-$N$28)/B15)-NORMSDIST((I48-$O$28)/B15))</f>
        <v>0</v>
      </c>
      <c r="O48" s="70">
        <f>(NORMSDIST((I48-$O$28)/B15)-NORMSDIST((I48-$P$28)/B15))</f>
        <v>8.70044036815898e-11</v>
      </c>
      <c r="P48" s="70">
        <f>(NORMSDIST((I48-$P$28)/B15)-NORMSDIST((I48-$Q$28)/B15))</f>
        <v>0.0133450980240786</v>
      </c>
      <c r="Q48" s="70">
        <f>(NORMSDIST((I48-$Q$28)/B15)-NORMSDIST((I48-$R$28)/B15))</f>
        <v>0.961105411416031</v>
      </c>
      <c r="R48" s="70"/>
      <c r="S48" s="90">
        <f t="shared" si="1"/>
        <v>0.974450509527114</v>
      </c>
    </row>
    <row r="49" s="13" customFormat="1" ht="9.6" customHeight="1" spans="4:4">
      <c r="D49" s="56"/>
    </row>
    <row r="50" s="13" customFormat="1" ht="18" customHeight="1" spans="4:19">
      <c r="D50" s="57"/>
      <c r="I50" s="80" t="s">
        <v>90</v>
      </c>
      <c r="J50" s="80" t="s">
        <v>89</v>
      </c>
      <c r="K50" s="67">
        <f>K28</f>
        <v>495</v>
      </c>
      <c r="L50" s="67">
        <f t="shared" ref="L50:R50" si="7">L28</f>
        <v>500</v>
      </c>
      <c r="M50" s="67">
        <f t="shared" si="7"/>
        <v>505</v>
      </c>
      <c r="N50" s="67">
        <f t="shared" si="7"/>
        <v>510</v>
      </c>
      <c r="O50" s="67">
        <f t="shared" si="7"/>
        <v>515</v>
      </c>
      <c r="P50" s="67">
        <f t="shared" si="7"/>
        <v>520</v>
      </c>
      <c r="Q50" s="67">
        <f t="shared" si="7"/>
        <v>525</v>
      </c>
      <c r="R50" s="67">
        <f t="shared" si="7"/>
        <v>530</v>
      </c>
      <c r="S50" s="89" t="s">
        <v>96</v>
      </c>
    </row>
    <row r="51" s="13" customFormat="1" ht="18" customHeight="1" spans="9:19">
      <c r="I51" s="81">
        <f t="shared" ref="I51:I70" si="8">D29</f>
        <v>0</v>
      </c>
      <c r="J51" s="38">
        <f t="shared" ref="J51:J70" si="9">C29</f>
        <v>0.253</v>
      </c>
      <c r="K51" s="70">
        <f t="shared" ref="K51:K70" si="10">D29*K29</f>
        <v>0</v>
      </c>
      <c r="L51" s="70">
        <f t="shared" ref="L51:L70" si="11">D29*L29</f>
        <v>0</v>
      </c>
      <c r="M51" s="70">
        <f t="shared" ref="M51:M70" si="12">D29*M29</f>
        <v>0</v>
      </c>
      <c r="N51" s="70">
        <f t="shared" ref="N51:N70" si="13">D29*N29</f>
        <v>0</v>
      </c>
      <c r="O51" s="70">
        <f t="shared" ref="O51:O70" si="14">D29*O29</f>
        <v>0</v>
      </c>
      <c r="P51" s="70">
        <f t="shared" ref="P51:P70" si="15">D29*P29</f>
        <v>0</v>
      </c>
      <c r="Q51" s="70">
        <f t="shared" ref="Q51:Q70" si="16">D29*Q29</f>
        <v>0</v>
      </c>
      <c r="R51" s="70"/>
      <c r="S51" s="90"/>
    </row>
    <row r="52" s="13" customFormat="1" ht="18" customHeight="1" spans="9:19">
      <c r="I52" s="81">
        <f t="shared" si="8"/>
        <v>0</v>
      </c>
      <c r="J52" s="38">
        <f t="shared" si="9"/>
        <v>0.254</v>
      </c>
      <c r="K52" s="70">
        <f t="shared" si="10"/>
        <v>0</v>
      </c>
      <c r="L52" s="70">
        <f t="shared" si="11"/>
        <v>0</v>
      </c>
      <c r="M52" s="70">
        <f t="shared" si="12"/>
        <v>0</v>
      </c>
      <c r="N52" s="70">
        <f t="shared" si="13"/>
        <v>0</v>
      </c>
      <c r="O52" s="70">
        <f t="shared" si="14"/>
        <v>0</v>
      </c>
      <c r="P52" s="70">
        <f t="shared" si="15"/>
        <v>0</v>
      </c>
      <c r="Q52" s="70">
        <f t="shared" si="16"/>
        <v>0</v>
      </c>
      <c r="R52" s="70"/>
      <c r="S52" s="90"/>
    </row>
    <row r="53" s="13" customFormat="1" ht="18" customHeight="1" spans="9:19">
      <c r="I53" s="81">
        <f t="shared" si="8"/>
        <v>0</v>
      </c>
      <c r="J53" s="38">
        <f t="shared" si="9"/>
        <v>0.255</v>
      </c>
      <c r="K53" s="70">
        <f t="shared" si="10"/>
        <v>0</v>
      </c>
      <c r="L53" s="70">
        <f t="shared" si="11"/>
        <v>0</v>
      </c>
      <c r="M53" s="70">
        <f t="shared" si="12"/>
        <v>0</v>
      </c>
      <c r="N53" s="70">
        <f t="shared" si="13"/>
        <v>0</v>
      </c>
      <c r="O53" s="70">
        <f t="shared" si="14"/>
        <v>0</v>
      </c>
      <c r="P53" s="70">
        <f t="shared" si="15"/>
        <v>0</v>
      </c>
      <c r="Q53" s="70">
        <f t="shared" si="16"/>
        <v>0</v>
      </c>
      <c r="R53" s="70"/>
      <c r="S53" s="90"/>
    </row>
    <row r="54" s="13" customFormat="1" ht="18" customHeight="1" spans="9:19">
      <c r="I54" s="81">
        <f t="shared" si="8"/>
        <v>0</v>
      </c>
      <c r="J54" s="38">
        <f t="shared" si="9"/>
        <v>0.256</v>
      </c>
      <c r="K54" s="74">
        <f t="shared" si="10"/>
        <v>0</v>
      </c>
      <c r="L54" s="74">
        <f t="shared" si="11"/>
        <v>0</v>
      </c>
      <c r="M54" s="74">
        <f t="shared" si="12"/>
        <v>0</v>
      </c>
      <c r="N54" s="74">
        <f t="shared" si="13"/>
        <v>0</v>
      </c>
      <c r="O54" s="74">
        <f t="shared" si="14"/>
        <v>0</v>
      </c>
      <c r="P54" s="74">
        <f t="shared" si="15"/>
        <v>0</v>
      </c>
      <c r="Q54" s="74">
        <f t="shared" si="16"/>
        <v>0</v>
      </c>
      <c r="R54" s="74"/>
      <c r="S54" s="90"/>
    </row>
    <row r="55" s="13" customFormat="1" ht="18" customHeight="1" spans="9:19">
      <c r="I55" s="81">
        <f t="shared" si="8"/>
        <v>0</v>
      </c>
      <c r="J55" s="38">
        <f t="shared" si="9"/>
        <v>0.257</v>
      </c>
      <c r="K55" s="70">
        <f t="shared" si="10"/>
        <v>0</v>
      </c>
      <c r="L55" s="70">
        <f t="shared" si="11"/>
        <v>0</v>
      </c>
      <c r="M55" s="70">
        <f t="shared" si="12"/>
        <v>0</v>
      </c>
      <c r="N55" s="70">
        <f t="shared" si="13"/>
        <v>0</v>
      </c>
      <c r="O55" s="70">
        <f t="shared" si="14"/>
        <v>0</v>
      </c>
      <c r="P55" s="70">
        <f t="shared" si="15"/>
        <v>0</v>
      </c>
      <c r="Q55" s="70">
        <f t="shared" si="16"/>
        <v>0</v>
      </c>
      <c r="R55" s="70"/>
      <c r="S55" s="90"/>
    </row>
    <row r="56" s="13" customFormat="1" ht="18" customHeight="1" spans="9:19">
      <c r="I56" s="81">
        <f t="shared" si="8"/>
        <v>0</v>
      </c>
      <c r="J56" s="38">
        <f t="shared" si="9"/>
        <v>0.258</v>
      </c>
      <c r="K56" s="70">
        <f t="shared" si="10"/>
        <v>0</v>
      </c>
      <c r="L56" s="70">
        <f t="shared" si="11"/>
        <v>0</v>
      </c>
      <c r="M56" s="70">
        <f t="shared" si="12"/>
        <v>0</v>
      </c>
      <c r="N56" s="70">
        <f t="shared" si="13"/>
        <v>0</v>
      </c>
      <c r="O56" s="70">
        <f t="shared" si="14"/>
        <v>0</v>
      </c>
      <c r="P56" s="70">
        <f t="shared" si="15"/>
        <v>0</v>
      </c>
      <c r="Q56" s="70">
        <f t="shared" si="16"/>
        <v>0</v>
      </c>
      <c r="R56" s="70"/>
      <c r="S56" s="90"/>
    </row>
    <row r="57" s="13" customFormat="1" ht="18" customHeight="1" spans="9:19">
      <c r="I57" s="81">
        <f t="shared" si="8"/>
        <v>0</v>
      </c>
      <c r="J57" s="38">
        <f t="shared" si="9"/>
        <v>0.259</v>
      </c>
      <c r="K57" s="70">
        <f t="shared" si="10"/>
        <v>0</v>
      </c>
      <c r="L57" s="70">
        <f t="shared" si="11"/>
        <v>0</v>
      </c>
      <c r="M57" s="70">
        <f t="shared" si="12"/>
        <v>0</v>
      </c>
      <c r="N57" s="70">
        <f t="shared" si="13"/>
        <v>0</v>
      </c>
      <c r="O57" s="70">
        <f t="shared" si="14"/>
        <v>0</v>
      </c>
      <c r="P57" s="70">
        <f t="shared" si="15"/>
        <v>0</v>
      </c>
      <c r="Q57" s="70">
        <f t="shared" si="16"/>
        <v>0</v>
      </c>
      <c r="R57" s="70"/>
      <c r="S57" s="90"/>
    </row>
    <row r="58" s="13" customFormat="1" ht="18" customHeight="1" spans="9:19">
      <c r="I58" s="81">
        <f t="shared" si="8"/>
        <v>0.0341140293136703</v>
      </c>
      <c r="J58" s="38">
        <f t="shared" si="9"/>
        <v>0.26</v>
      </c>
      <c r="K58" s="70">
        <f t="shared" si="10"/>
        <v>0</v>
      </c>
      <c r="L58" s="70">
        <f t="shared" si="11"/>
        <v>8.97618085120551e-16</v>
      </c>
      <c r="M58" s="70">
        <f t="shared" si="12"/>
        <v>1.33750861200492e-5</v>
      </c>
      <c r="N58" s="70">
        <f t="shared" si="13"/>
        <v>0.0269554926464735</v>
      </c>
      <c r="O58" s="70">
        <f t="shared" si="14"/>
        <v>0.00714515045177634</v>
      </c>
      <c r="P58" s="70">
        <f t="shared" si="15"/>
        <v>1.11292995029717e-8</v>
      </c>
      <c r="Q58" s="70">
        <f t="shared" si="16"/>
        <v>1.04895756442556e-21</v>
      </c>
      <c r="R58" s="70"/>
      <c r="S58" s="90"/>
    </row>
    <row r="59" s="13" customFormat="1" ht="18" customHeight="1" spans="9:19">
      <c r="I59" s="81">
        <f t="shared" si="8"/>
        <v>0.0586334878828709</v>
      </c>
      <c r="J59" s="38">
        <f t="shared" si="9"/>
        <v>0.261</v>
      </c>
      <c r="K59" s="70">
        <f t="shared" si="10"/>
        <v>0</v>
      </c>
      <c r="L59" s="70">
        <f t="shared" si="11"/>
        <v>0</v>
      </c>
      <c r="M59" s="70">
        <f t="shared" si="12"/>
        <v>4.3091225167213e-7</v>
      </c>
      <c r="N59" s="70">
        <f t="shared" si="13"/>
        <v>0.0254397512211726</v>
      </c>
      <c r="O59" s="70">
        <f t="shared" si="14"/>
        <v>0.0331914501234232</v>
      </c>
      <c r="P59" s="70">
        <f t="shared" si="15"/>
        <v>1.85562602338333e-6</v>
      </c>
      <c r="Q59" s="70">
        <f t="shared" si="16"/>
        <v>9.28077454326613e-18</v>
      </c>
      <c r="R59" s="70"/>
      <c r="S59" s="90"/>
    </row>
    <row r="60" s="13" customFormat="1" ht="18" customHeight="1" spans="9:19">
      <c r="I60" s="81">
        <f t="shared" si="8"/>
        <v>0.0841203302499458</v>
      </c>
      <c r="J60" s="38">
        <f t="shared" si="9"/>
        <v>0.262</v>
      </c>
      <c r="K60" s="70">
        <f t="shared" si="10"/>
        <v>0</v>
      </c>
      <c r="L60" s="70">
        <f t="shared" si="11"/>
        <v>0</v>
      </c>
      <c r="M60" s="70">
        <f t="shared" si="12"/>
        <v>4.79576296918912e-9</v>
      </c>
      <c r="N60" s="70">
        <f t="shared" si="13"/>
        <v>0.0107627070314972</v>
      </c>
      <c r="O60" s="70">
        <f t="shared" si="14"/>
        <v>0.0732549302239938</v>
      </c>
      <c r="P60" s="70">
        <f t="shared" si="15"/>
        <v>0.000102688198666015</v>
      </c>
      <c r="Q60" s="70">
        <f t="shared" si="16"/>
        <v>2.58564061967909e-14</v>
      </c>
      <c r="R60" s="70"/>
      <c r="S60" s="90"/>
    </row>
    <row r="61" s="13" customFormat="1" ht="18" customHeight="1" spans="9:19">
      <c r="I61" s="81">
        <f t="shared" si="8"/>
        <v>0.231516943533095</v>
      </c>
      <c r="J61" s="38">
        <f t="shared" si="9"/>
        <v>0.263</v>
      </c>
      <c r="K61" s="70">
        <f t="shared" si="10"/>
        <v>0</v>
      </c>
      <c r="L61" s="70">
        <f t="shared" si="11"/>
        <v>0</v>
      </c>
      <c r="M61" s="70">
        <f t="shared" si="12"/>
        <v>4.25129422919968e-11</v>
      </c>
      <c r="N61" s="70">
        <f t="shared" si="13"/>
        <v>0.00412901239948088</v>
      </c>
      <c r="O61" s="70">
        <f t="shared" si="14"/>
        <v>0.22289307694016</v>
      </c>
      <c r="P61" s="70">
        <f t="shared" si="15"/>
        <v>0.00449485409785443</v>
      </c>
      <c r="Q61" s="70">
        <f t="shared" si="16"/>
        <v>5.30863399607119e-11</v>
      </c>
      <c r="R61" s="70"/>
      <c r="S61" s="90"/>
    </row>
    <row r="62" s="13" customFormat="1" ht="18" hidden="1" customHeight="1" spans="9:19">
      <c r="I62" s="81">
        <f t="shared" si="8"/>
        <v>0.320133020125304</v>
      </c>
      <c r="J62" s="38">
        <f t="shared" si="9"/>
        <v>0.264</v>
      </c>
      <c r="K62" s="70">
        <f t="shared" si="10"/>
        <v>0</v>
      </c>
      <c r="L62" s="70">
        <f t="shared" si="11"/>
        <v>0</v>
      </c>
      <c r="M62" s="70">
        <f t="shared" si="12"/>
        <v>7.92229062195674e-14</v>
      </c>
      <c r="N62" s="70">
        <f t="shared" si="13"/>
        <v>0.000354239849877083</v>
      </c>
      <c r="O62" s="70">
        <f t="shared" si="14"/>
        <v>0.276808110490119</v>
      </c>
      <c r="P62" s="70">
        <f t="shared" si="15"/>
        <v>0.0429706483368508</v>
      </c>
      <c r="Q62" s="70">
        <f t="shared" si="16"/>
        <v>2.14483774534807e-8</v>
      </c>
      <c r="R62" s="70">
        <f t="shared" ref="R62:R70" si="17">D40*R40</f>
        <v>0</v>
      </c>
      <c r="S62" s="90"/>
    </row>
    <row r="63" s="13" customFormat="1" ht="18" hidden="1" customHeight="1" spans="9:19">
      <c r="I63" s="81">
        <f t="shared" si="8"/>
        <v>0.22052468114755</v>
      </c>
      <c r="J63" s="38">
        <f t="shared" si="9"/>
        <v>0.265</v>
      </c>
      <c r="K63" s="70">
        <f t="shared" si="10"/>
        <v>0</v>
      </c>
      <c r="L63" s="70">
        <f t="shared" si="11"/>
        <v>0</v>
      </c>
      <c r="M63" s="70">
        <f t="shared" si="12"/>
        <v>0</v>
      </c>
      <c r="N63" s="70">
        <f t="shared" si="13"/>
        <v>6.57563474960385e-6</v>
      </c>
      <c r="O63" s="70">
        <f t="shared" si="14"/>
        <v>0.123613528949897</v>
      </c>
      <c r="P63" s="70">
        <f t="shared" si="15"/>
        <v>0.0969028490236272</v>
      </c>
      <c r="Q63" s="70">
        <f t="shared" si="16"/>
        <v>1.7275392762916e-6</v>
      </c>
      <c r="R63" s="70">
        <f t="shared" si="17"/>
        <v>0</v>
      </c>
      <c r="S63" s="90"/>
    </row>
    <row r="64" s="13" customFormat="1" ht="18" hidden="1" customHeight="1" spans="9:19">
      <c r="I64" s="81">
        <f t="shared" si="8"/>
        <v>0.0509575077475633</v>
      </c>
      <c r="J64" s="38">
        <f t="shared" si="9"/>
        <v>0.266</v>
      </c>
      <c r="K64" s="70">
        <f t="shared" si="10"/>
        <v>0</v>
      </c>
      <c r="L64" s="70">
        <f t="shared" si="11"/>
        <v>0</v>
      </c>
      <c r="M64" s="70">
        <f t="shared" si="12"/>
        <v>0</v>
      </c>
      <c r="N64" s="70">
        <f t="shared" si="13"/>
        <v>1.76584577418165e-8</v>
      </c>
      <c r="O64" s="70">
        <f t="shared" si="14"/>
        <v>0.0108454204680436</v>
      </c>
      <c r="P64" s="70">
        <f t="shared" si="15"/>
        <v>0.0400929202536637</v>
      </c>
      <c r="Q64" s="70">
        <f t="shared" si="16"/>
        <v>1.91493673970278e-5</v>
      </c>
      <c r="R64" s="70">
        <f t="shared" si="17"/>
        <v>0</v>
      </c>
      <c r="S64" s="90"/>
    </row>
    <row r="65" s="13" customFormat="1" ht="18" hidden="1" customHeight="1" spans="9:19">
      <c r="I65" s="81">
        <f t="shared" si="8"/>
        <v>0</v>
      </c>
      <c r="J65" s="38">
        <f t="shared" si="9"/>
        <v>0.267</v>
      </c>
      <c r="K65" s="70">
        <f t="shared" si="10"/>
        <v>0</v>
      </c>
      <c r="L65" s="70">
        <f t="shared" si="11"/>
        <v>0</v>
      </c>
      <c r="M65" s="70">
        <f t="shared" si="12"/>
        <v>0</v>
      </c>
      <c r="N65" s="70">
        <f t="shared" si="13"/>
        <v>0</v>
      </c>
      <c r="O65" s="70">
        <f t="shared" si="14"/>
        <v>0</v>
      </c>
      <c r="P65" s="70">
        <f t="shared" si="15"/>
        <v>0</v>
      </c>
      <c r="Q65" s="70">
        <f t="shared" si="16"/>
        <v>0</v>
      </c>
      <c r="R65" s="70">
        <f t="shared" si="17"/>
        <v>0</v>
      </c>
      <c r="S65" s="90"/>
    </row>
    <row r="66" s="13" customFormat="1" ht="18" hidden="1" customHeight="1" spans="9:19">
      <c r="I66" s="81">
        <f t="shared" si="8"/>
        <v>0</v>
      </c>
      <c r="J66" s="38">
        <f t="shared" si="9"/>
        <v>0.268</v>
      </c>
      <c r="K66" s="70">
        <f t="shared" si="10"/>
        <v>0</v>
      </c>
      <c r="L66" s="70">
        <f t="shared" si="11"/>
        <v>0</v>
      </c>
      <c r="M66" s="70">
        <f t="shared" si="12"/>
        <v>0</v>
      </c>
      <c r="N66" s="70">
        <f t="shared" si="13"/>
        <v>0</v>
      </c>
      <c r="O66" s="70">
        <f t="shared" si="14"/>
        <v>0</v>
      </c>
      <c r="P66" s="70">
        <f t="shared" si="15"/>
        <v>0</v>
      </c>
      <c r="Q66" s="70">
        <f t="shared" si="16"/>
        <v>0</v>
      </c>
      <c r="R66" s="70">
        <f t="shared" si="17"/>
        <v>0</v>
      </c>
      <c r="S66" s="90"/>
    </row>
    <row r="67" s="13" customFormat="1" ht="18" hidden="1" customHeight="1" spans="9:19">
      <c r="I67" s="81">
        <f t="shared" si="8"/>
        <v>0</v>
      </c>
      <c r="J67" s="38">
        <f t="shared" si="9"/>
        <v>0.269</v>
      </c>
      <c r="K67" s="70">
        <f t="shared" si="10"/>
        <v>0</v>
      </c>
      <c r="L67" s="70">
        <f t="shared" si="11"/>
        <v>0</v>
      </c>
      <c r="M67" s="70">
        <f t="shared" si="12"/>
        <v>0</v>
      </c>
      <c r="N67" s="70">
        <f t="shared" si="13"/>
        <v>0</v>
      </c>
      <c r="O67" s="70">
        <f t="shared" si="14"/>
        <v>0</v>
      </c>
      <c r="P67" s="70">
        <f t="shared" si="15"/>
        <v>0</v>
      </c>
      <c r="Q67" s="70">
        <f t="shared" si="16"/>
        <v>0</v>
      </c>
      <c r="R67" s="70">
        <f t="shared" si="17"/>
        <v>0</v>
      </c>
      <c r="S67" s="90"/>
    </row>
    <row r="68" s="13" customFormat="1" ht="18" hidden="1" customHeight="1" spans="9:19">
      <c r="I68" s="81">
        <f t="shared" si="8"/>
        <v>0</v>
      </c>
      <c r="J68" s="38">
        <f t="shared" si="9"/>
        <v>0.27</v>
      </c>
      <c r="K68" s="70">
        <f t="shared" si="10"/>
        <v>0</v>
      </c>
      <c r="L68" s="70">
        <f t="shared" si="11"/>
        <v>0</v>
      </c>
      <c r="M68" s="70">
        <f t="shared" si="12"/>
        <v>0</v>
      </c>
      <c r="N68" s="70">
        <f t="shared" si="13"/>
        <v>0</v>
      </c>
      <c r="O68" s="70">
        <f t="shared" si="14"/>
        <v>0</v>
      </c>
      <c r="P68" s="70">
        <f t="shared" si="15"/>
        <v>0</v>
      </c>
      <c r="Q68" s="70">
        <f t="shared" si="16"/>
        <v>0</v>
      </c>
      <c r="R68" s="70">
        <f t="shared" si="17"/>
        <v>0</v>
      </c>
      <c r="S68" s="90"/>
    </row>
    <row r="69" s="13" customFormat="1" ht="18" hidden="1" customHeight="1" spans="9:19">
      <c r="I69" s="81">
        <f t="shared" si="8"/>
        <v>0</v>
      </c>
      <c r="J69" s="38">
        <f t="shared" si="9"/>
        <v>0.271</v>
      </c>
      <c r="K69" s="70">
        <f t="shared" si="10"/>
        <v>0</v>
      </c>
      <c r="L69" s="70">
        <f t="shared" si="11"/>
        <v>0</v>
      </c>
      <c r="M69" s="70">
        <f t="shared" si="12"/>
        <v>0</v>
      </c>
      <c r="N69" s="70">
        <f t="shared" si="13"/>
        <v>0</v>
      </c>
      <c r="O69" s="70">
        <f t="shared" si="14"/>
        <v>0</v>
      </c>
      <c r="P69" s="70">
        <f t="shared" si="15"/>
        <v>0</v>
      </c>
      <c r="Q69" s="70">
        <f t="shared" si="16"/>
        <v>0</v>
      </c>
      <c r="R69" s="70">
        <f t="shared" si="17"/>
        <v>0</v>
      </c>
      <c r="S69" s="90"/>
    </row>
    <row r="70" s="13" customFormat="1" ht="18" hidden="1" customHeight="1" spans="9:19">
      <c r="I70" s="81">
        <f t="shared" si="8"/>
        <v>0</v>
      </c>
      <c r="J70" s="38">
        <f t="shared" si="9"/>
        <v>0.272</v>
      </c>
      <c r="K70" s="70">
        <f t="shared" si="10"/>
        <v>0</v>
      </c>
      <c r="L70" s="70">
        <f t="shared" si="11"/>
        <v>0</v>
      </c>
      <c r="M70" s="70">
        <f t="shared" si="12"/>
        <v>0</v>
      </c>
      <c r="N70" s="70">
        <f t="shared" si="13"/>
        <v>0</v>
      </c>
      <c r="O70" s="70">
        <f t="shared" si="14"/>
        <v>0</v>
      </c>
      <c r="P70" s="70">
        <f t="shared" si="15"/>
        <v>0</v>
      </c>
      <c r="Q70" s="70">
        <f t="shared" si="16"/>
        <v>0</v>
      </c>
      <c r="R70" s="70">
        <f t="shared" si="17"/>
        <v>0</v>
      </c>
      <c r="S70" s="90"/>
    </row>
    <row r="71" s="13" customFormat="1" ht="18" customHeight="1" spans="9:19">
      <c r="I71" s="97" t="s">
        <v>100</v>
      </c>
      <c r="J71" s="98"/>
      <c r="K71" s="99">
        <f t="shared" ref="K71:Q71" si="18">SUM(K51:K70)</f>
        <v>0</v>
      </c>
      <c r="L71" s="99">
        <f t="shared" si="18"/>
        <v>8.97618085120551e-16</v>
      </c>
      <c r="M71" s="99">
        <f t="shared" si="18"/>
        <v>1.38108367268557e-5</v>
      </c>
      <c r="N71" s="99">
        <f t="shared" si="18"/>
        <v>0.0676477964417087</v>
      </c>
      <c r="O71" s="99">
        <f t="shared" si="18"/>
        <v>0.747751667647414</v>
      </c>
      <c r="P71" s="99">
        <f t="shared" si="18"/>
        <v>0.184565826665985</v>
      </c>
      <c r="Q71" s="99">
        <f t="shared" si="18"/>
        <v>2.08984081629785e-5</v>
      </c>
      <c r="R71" s="99"/>
      <c r="S71" s="101">
        <f>SUM(K71:R71)</f>
        <v>0.999999999999998</v>
      </c>
    </row>
    <row r="72" ht="18" customHeight="1" spans="11:18">
      <c r="K72" s="67">
        <f>K50</f>
        <v>495</v>
      </c>
      <c r="L72" s="67">
        <f t="shared" ref="L72:R72" si="19">L50</f>
        <v>500</v>
      </c>
      <c r="M72" s="67">
        <f t="shared" si="19"/>
        <v>505</v>
      </c>
      <c r="N72" s="67">
        <f t="shared" si="19"/>
        <v>510</v>
      </c>
      <c r="O72" s="67">
        <f t="shared" si="19"/>
        <v>515</v>
      </c>
      <c r="P72" s="67">
        <f t="shared" si="19"/>
        <v>520</v>
      </c>
      <c r="Q72" s="67">
        <f t="shared" si="19"/>
        <v>525</v>
      </c>
      <c r="R72" s="67">
        <f t="shared" si="19"/>
        <v>530</v>
      </c>
    </row>
    <row r="73" ht="4.8" customHeight="1" spans="9:9">
      <c r="I73" s="100"/>
    </row>
    <row r="74" ht="4.8" customHeight="1" spans="9:9">
      <c r="I74" s="100"/>
    </row>
    <row r="75" ht="4.8" customHeight="1" spans="9:9">
      <c r="I75" s="100"/>
    </row>
    <row r="76" ht="26.4" customHeight="1" spans="1:15">
      <c r="A76" s="92" t="s">
        <v>101</v>
      </c>
      <c r="B76" s="93" t="s">
        <v>89</v>
      </c>
      <c r="C76" s="93" t="str">
        <f>C9</f>
        <v>芜湖（80mg）</v>
      </c>
      <c r="D76" s="93" t="str">
        <f t="shared" ref="D76:O76" si="20">D9</f>
        <v>芜湖（105mg）</v>
      </c>
      <c r="E76" s="93" t="str">
        <f t="shared" si="20"/>
        <v>芜湖（125mg）</v>
      </c>
      <c r="F76" s="93" t="str">
        <f t="shared" si="20"/>
        <v>厂家3</v>
      </c>
      <c r="G76" s="93" t="str">
        <f t="shared" si="20"/>
        <v>厂家4</v>
      </c>
      <c r="H76" s="93" t="str">
        <f t="shared" si="20"/>
        <v>厂家5</v>
      </c>
      <c r="I76" s="93" t="str">
        <f t="shared" si="20"/>
        <v>厂家6</v>
      </c>
      <c r="J76" s="93" t="str">
        <f t="shared" si="20"/>
        <v>厂家7</v>
      </c>
      <c r="K76" s="93" t="str">
        <f t="shared" si="20"/>
        <v>厂家8</v>
      </c>
      <c r="L76" s="93" t="str">
        <f t="shared" si="20"/>
        <v>厂家9</v>
      </c>
      <c r="M76" s="93" t="str">
        <f t="shared" si="20"/>
        <v>厂家10</v>
      </c>
      <c r="N76" s="93" t="str">
        <f t="shared" si="20"/>
        <v>厂家11</v>
      </c>
      <c r="O76" s="93" t="str">
        <f t="shared" si="20"/>
        <v>厂家12</v>
      </c>
    </row>
    <row r="77" ht="17.4" customHeight="1" spans="1:15">
      <c r="A77" s="92"/>
      <c r="B77" s="94">
        <f>C29</f>
        <v>0.253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</row>
    <row r="78" ht="17.4" customHeight="1" spans="1:15">
      <c r="A78" s="92"/>
      <c r="B78" s="94">
        <f t="shared" ref="B78:B96" si="21">C30</f>
        <v>0.254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</row>
    <row r="79" ht="17.4" customHeight="1" spans="1:15">
      <c r="A79" s="92"/>
      <c r="B79" s="94">
        <f t="shared" si="21"/>
        <v>0.255</v>
      </c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</row>
    <row r="80" ht="17.4" customHeight="1" spans="1:15">
      <c r="A80" s="92"/>
      <c r="B80" s="94">
        <f t="shared" si="21"/>
        <v>0.256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</row>
    <row r="81" ht="17.4" customHeight="1" spans="1:15">
      <c r="A81" s="92"/>
      <c r="B81" s="94">
        <f t="shared" si="21"/>
        <v>0.257</v>
      </c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</row>
    <row r="82" ht="17.4" customHeight="1" spans="1:15">
      <c r="A82" s="92"/>
      <c r="B82" s="94">
        <f t="shared" si="21"/>
        <v>0.258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</row>
    <row r="83" ht="17.4" customHeight="1" spans="1:15">
      <c r="A83" s="92"/>
      <c r="B83" s="94">
        <f t="shared" si="21"/>
        <v>0.259</v>
      </c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</row>
    <row r="84" ht="17.4" customHeight="1" spans="1:15">
      <c r="A84" s="92"/>
      <c r="B84" s="94">
        <f t="shared" si="21"/>
        <v>0.26</v>
      </c>
      <c r="C84" s="95">
        <v>0.0341140293136703</v>
      </c>
      <c r="D84" s="95"/>
      <c r="E84" s="96"/>
      <c r="F84" s="95"/>
      <c r="G84" s="95"/>
      <c r="H84" s="95"/>
      <c r="I84" s="95"/>
      <c r="J84" s="95"/>
      <c r="K84" s="95"/>
      <c r="L84" s="95"/>
      <c r="M84" s="95"/>
      <c r="N84" s="95"/>
      <c r="O84" s="95"/>
    </row>
    <row r="85" ht="17.4" customHeight="1" spans="1:15">
      <c r="A85" s="92"/>
      <c r="B85" s="94">
        <f t="shared" si="21"/>
        <v>0.261</v>
      </c>
      <c r="C85" s="95">
        <v>0.0586334878828709</v>
      </c>
      <c r="D85" s="95"/>
      <c r="E85" s="96"/>
      <c r="F85" s="95"/>
      <c r="G85" s="95"/>
      <c r="H85" s="95"/>
      <c r="I85" s="95"/>
      <c r="J85" s="95"/>
      <c r="K85" s="95"/>
      <c r="L85" s="95"/>
      <c r="M85" s="95"/>
      <c r="N85" s="95"/>
      <c r="O85" s="95"/>
    </row>
    <row r="86" ht="17.4" customHeight="1" spans="1:15">
      <c r="A86" s="92"/>
      <c r="B86" s="94">
        <f t="shared" si="21"/>
        <v>0.262</v>
      </c>
      <c r="C86" s="95">
        <v>0.0841203302499458</v>
      </c>
      <c r="D86" s="95"/>
      <c r="E86" s="96"/>
      <c r="F86" s="95"/>
      <c r="G86" s="95"/>
      <c r="H86" s="95"/>
      <c r="I86" s="95"/>
      <c r="J86" s="95"/>
      <c r="K86" s="95"/>
      <c r="L86" s="95"/>
      <c r="M86" s="95"/>
      <c r="N86" s="95"/>
      <c r="O86" s="95"/>
    </row>
    <row r="87" ht="17.4" customHeight="1" spans="1:15">
      <c r="A87" s="92"/>
      <c r="B87" s="94">
        <f t="shared" si="21"/>
        <v>0.263</v>
      </c>
      <c r="C87" s="95">
        <v>0.231516943533095</v>
      </c>
      <c r="D87" s="95"/>
      <c r="E87" s="96"/>
      <c r="F87" s="95"/>
      <c r="G87" s="95"/>
      <c r="H87" s="95"/>
      <c r="I87" s="95"/>
      <c r="J87" s="95"/>
      <c r="K87" s="95"/>
      <c r="L87" s="95"/>
      <c r="M87" s="95"/>
      <c r="N87" s="95"/>
      <c r="O87" s="95"/>
    </row>
    <row r="88" ht="17.4" customHeight="1" spans="1:15">
      <c r="A88" s="92"/>
      <c r="B88" s="94">
        <f t="shared" si="21"/>
        <v>0.264</v>
      </c>
      <c r="C88" s="95">
        <v>0.320133020125304</v>
      </c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</row>
    <row r="89" ht="17.4" customHeight="1" spans="1:15">
      <c r="A89" s="92"/>
      <c r="B89" s="94">
        <f t="shared" si="21"/>
        <v>0.265</v>
      </c>
      <c r="C89" s="95">
        <v>0.22052468114755</v>
      </c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</row>
    <row r="90" ht="17.4" customHeight="1" spans="1:15">
      <c r="A90" s="92"/>
      <c r="B90" s="94">
        <f t="shared" si="21"/>
        <v>0.266</v>
      </c>
      <c r="C90" s="95">
        <v>0.0509575077475633</v>
      </c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</row>
    <row r="91" ht="17.4" customHeight="1" spans="1:15">
      <c r="A91" s="92"/>
      <c r="B91" s="94">
        <f t="shared" si="21"/>
        <v>0.267</v>
      </c>
      <c r="C91" s="95">
        <v>0</v>
      </c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</row>
    <row r="92" ht="17.4" customHeight="1" spans="1:15">
      <c r="A92" s="92"/>
      <c r="B92" s="94">
        <f t="shared" si="21"/>
        <v>0.268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</row>
    <row r="93" ht="17.4" customHeight="1" spans="1:15">
      <c r="A93" s="92"/>
      <c r="B93" s="94">
        <f t="shared" si="21"/>
        <v>0.269</v>
      </c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</row>
    <row r="94" ht="17.4" customHeight="1" spans="1:15">
      <c r="A94" s="92"/>
      <c r="B94" s="94">
        <f t="shared" si="21"/>
        <v>0.27</v>
      </c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</row>
    <row r="95" ht="17.4" customHeight="1" spans="1:15">
      <c r="A95" s="92"/>
      <c r="B95" s="94">
        <f t="shared" si="21"/>
        <v>0.271</v>
      </c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</row>
    <row r="96" ht="17.4" customHeight="1" spans="1:15">
      <c r="A96" s="92"/>
      <c r="B96" s="94">
        <f t="shared" si="21"/>
        <v>0.272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U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{bf48cec5-b9df-4476-a549-3dd19c11f27f}</x14:id>
        </ext>
      </extLst>
    </cfRule>
  </conditionalFormatting>
  <conditionalFormatting sqref="D30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{0baa2b9b-8001-4e70-a3e5-11bfa2fcc0ab}</x14:id>
        </ext>
      </extLst>
    </cfRule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{86629f58-c352-4389-b124-6ac0de2216a0}</x14:id>
        </ext>
      </extLst>
    </cfRule>
  </conditionalFormatting>
  <conditionalFormatting sqref="D33:D44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{432a842f-8653-45fb-b581-e1fe2f00d6c4}</x14:id>
        </ext>
      </extLst>
    </cfRule>
  </conditionalFormatting>
  <conditionalFormatting sqref="D45:D48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{f78c8d16-6e98-41b8-a321-cdc1e6cfb3f4}</x14:id>
        </ext>
      </extLst>
    </cfRule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{80e91384-4c8e-41fb-8216-94833ca89b12}</x14:id>
        </ext>
      </extLst>
    </cfRule>
  </conditionalFormatting>
  <conditionalFormatting sqref="D49:D50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{6ca2a420-a944-4b6c-a5e1-6d0dc570bc99}</x14:id>
        </ext>
      </extLst>
    </cfRule>
    <cfRule type="dataBar" priority="1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{320538c5-7f0d-47c3-9210-d8b80a360d10}</x14:id>
        </ext>
      </extLst>
    </cfRule>
  </conditionalFormatting>
  <conditionalFormatting sqref="D29:D32 D45:D48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{e685ac59-281f-4674-a531-1342694d9f6f}</x14:id>
        </ext>
      </extLst>
    </cfRule>
  </conditionalFormatting>
  <conditionalFormatting sqref="K29:R4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{dbe9c4b7-fbd7-4e73-aadc-e3a1878e0c12}</x14:id>
        </ext>
      </extLst>
    </cfRule>
  </conditionalFormatting>
  <conditionalFormatting sqref="K29:Q39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{ea5a389e-31d1-44fa-be06-69fc73c44626}</x14:id>
        </ext>
      </extLst>
    </cfRule>
  </conditionalFormatting>
  <conditionalFormatting sqref="M29:O30 O35 N31:O34 M31:M48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{4e58e412-ef95-4cdc-b9d4-0748ae40bcb9}</x14:id>
        </ext>
      </extLst>
    </cfRule>
    <cfRule type="colorScale" priority="25">
      <colorScale>
        <cfvo type="percent" val="0"/>
        <cfvo type="percent" val="0"/>
        <color theme="0"/>
        <color theme="0"/>
      </colorScale>
    </cfRule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{2b6c06bd-3d5b-4333-83bd-11b4e4eeacc3}</x14:id>
        </ext>
      </extLst>
    </cfRule>
    <cfRule type="dataBar" priority="27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{c4015fcb-c5de-4d18-b513-2c9e5642ac22}</x14:id>
        </ext>
      </extLst>
    </cfRule>
    <cfRule type="dataBar" priority="2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{6bc1a655-b0ec-4b54-810a-4a61437cd08e}</x14:id>
        </ext>
      </extLst>
    </cfRule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{e2e2a8d3-ab52-4e3e-90ac-f2caf5c345da}</x14:id>
        </ext>
      </extLst>
    </cfRule>
  </conditionalFormatting>
  <conditionalFormatting sqref="P29:R35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{4ffe3fd1-6962-4403-84bd-d3636a109064}</x14:id>
        </ext>
      </extLst>
    </cfRule>
    <cfRule type="colorScale" priority="18">
      <colorScale>
        <cfvo type="percent" val="0"/>
        <cfvo type="percent" val="0"/>
        <color theme="0"/>
        <color theme="0"/>
      </colorScale>
    </cfRule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{22dd65a3-e685-45ff-91f5-73763dececeb}</x14:id>
        </ext>
      </extLst>
    </cfRule>
    <cfRule type="dataBar" priority="20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{49c13ef2-eaa3-434c-8afc-8a023d38ad64}</x14:id>
        </ext>
      </extLst>
    </cfRule>
    <cfRule type="dataBar" priority="2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{a0001a94-8fb2-4554-b270-6af151da98ab}</x14:id>
        </ext>
      </extLst>
    </cfRule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{a05fe4cf-260d-4adf-b1d8-c797e9fbf4fb}</x14:id>
        </ext>
      </extLst>
    </cfRule>
  </conditionalFormatting>
  <conditionalFormatting sqref="P36:R48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{22476890-b98a-4090-9510-78d3d5dd6f9b}</x14:id>
        </ext>
      </extLst>
    </cfRule>
    <cfRule type="colorScale" priority="31">
      <colorScale>
        <cfvo type="percent" val="0"/>
        <cfvo type="percent" val="0"/>
        <color theme="0"/>
        <color theme="0"/>
      </colorScale>
    </cfRule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{c0c36aa9-81a3-498a-bb06-215b7299b31b}</x14:id>
        </ext>
      </extLst>
    </cfRule>
    <cfRule type="dataBar" priority="33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{447bdcfb-26e0-469e-af97-0a5751d4e8c3}</x14:id>
        </ext>
      </extLst>
    </cfRule>
    <cfRule type="dataBar" priority="34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{4134486f-4df2-4920-b9e6-c73bc30eef44}</x14:id>
        </ext>
      </extLst>
    </cfRule>
    <cfRule type="dataBar" priority="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{03586108-e9de-4403-94a5-6468815e3aca}</x14:id>
        </ext>
      </extLst>
    </cfRule>
  </conditionalFormatting>
  <conditionalFormatting sqref="C84:E9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{ecf2f9e8-09df-4ee4-b5c2-67a2616bed66}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48cec5-b9df-4476-a549-3dd19c11f27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0baa2b9b-8001-4e70-a3e5-11bfa2fcc0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6629f58-c352-4389-b124-6ac0de2216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432a842f-8653-45fb-b581-e1fe2f00d6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f78c8d16-6e98-41b8-a321-cdc1e6cfb3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0e91384-4c8e-41fb-8216-94833ca89b1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D45:D48</xm:sqref>
        </x14:conditionalFormatting>
        <x14:conditionalFormatting xmlns:xm="http://schemas.microsoft.com/office/excel/2006/main">
          <x14:cfRule type="dataBar" id="{6ca2a420-a944-4b6c-a5e1-6d0dc570bc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20538c5-7f0d-47c3-9210-d8b80a360d1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e685ac59-281f-4674-a531-1342694d9f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D45:D48</xm:sqref>
        </x14:conditionalFormatting>
        <x14:conditionalFormatting xmlns:xm="http://schemas.microsoft.com/office/excel/2006/main">
          <x14:cfRule type="dataBar" id="{dbe9c4b7-fbd7-4e73-aadc-e3a1878e0c1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ea5a389e-31d1-44fa-be06-69fc73c446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K29:Q39</xm:sqref>
        </x14:conditionalFormatting>
        <x14:conditionalFormatting xmlns:xm="http://schemas.microsoft.com/office/excel/2006/main">
          <x14:cfRule type="dataBar" id="{4e58e412-ef95-4cdc-b9d4-0748ae40bc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2b6c06bd-3d5b-4333-83bd-11b4e4eeacc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c4015fcb-c5de-4d18-b513-2c9e5642ac22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6bc1a655-b0ec-4b54-810a-4a61437cd08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2e2a8d3-ab52-4e3e-90ac-f2caf5c345d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4ffe3fd1-6962-4403-84bd-d3636a10906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22dd65a3-e685-45ff-91f5-73763decece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9c13ef2-eaa3-434c-8afc-8a023d38ad6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0001a94-8fb2-4554-b270-6af151da98a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05fe4cf-260d-4adf-b1d8-c797e9fbf4f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22476890-b98a-4090-9510-78d3d5dd6f9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c0c36aa9-81a3-498a-bb06-215b7299b31b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47bdcfb-26e0-469e-af97-0a5751d4e8c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134486f-4df2-4920-b9e6-c73bc30eef44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03586108-e9de-4403-94a5-6468815e3ac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ecf2f9e8-09df-4ee4-b5c2-67a2616bed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C84:E92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tabColor rgb="FF00B0F0"/>
  </sheetPr>
  <dimension ref="A1:Y96"/>
  <sheetViews>
    <sheetView showGridLines="0" zoomScale="70" zoomScaleNormal="70" topLeftCell="A7" workbookViewId="0">
      <selection activeCell="Q31" sqref="Q31"/>
    </sheetView>
  </sheetViews>
  <sheetFormatPr defaultColWidth="8.44444444444444" defaultRowHeight="13.2"/>
  <cols>
    <col min="1" max="17" width="10.5555555555556" style="16" customWidth="1"/>
    <col min="18" max="18" width="10.5555555555556" style="16" hidden="1" customWidth="1"/>
    <col min="19" max="19" width="10.5555555555556" style="16" customWidth="1"/>
    <col min="20" max="16384" width="8.44444444444444" style="16"/>
  </cols>
  <sheetData>
    <row r="1" s="12" customFormat="1" ht="40.8" customHeight="1" spans="1:19">
      <c r="A1" s="17" t="s">
        <v>176</v>
      </c>
      <c r="B1" s="17"/>
      <c r="C1" s="17"/>
      <c r="D1" s="17"/>
      <c r="E1" s="17"/>
      <c r="F1" s="17"/>
      <c r="G1" s="18" t="s">
        <v>151</v>
      </c>
      <c r="H1" s="18"/>
      <c r="I1" s="18"/>
      <c r="J1" s="18">
        <v>509.39</v>
      </c>
      <c r="K1" s="58" t="s">
        <v>2</v>
      </c>
      <c r="L1" s="58" t="s">
        <v>3</v>
      </c>
      <c r="M1" s="58"/>
      <c r="N1" s="58"/>
      <c r="O1" s="58"/>
      <c r="Q1" s="82"/>
      <c r="R1" s="82"/>
      <c r="S1" s="82"/>
    </row>
    <row r="2" ht="1.95" customHeight="1" spans="8:19">
      <c r="H2" s="19"/>
      <c r="P2" s="12"/>
      <c r="Q2" s="82"/>
      <c r="R2" s="82"/>
      <c r="S2" s="82"/>
    </row>
    <row r="3" s="13" customFormat="1" ht="21.9" customHeight="1" spans="1:25">
      <c r="A3" s="20" t="s">
        <v>4</v>
      </c>
      <c r="B3" s="20">
        <v>0</v>
      </c>
      <c r="C3" s="21">
        <v>0.26</v>
      </c>
      <c r="D3" s="10">
        <v>0.24</v>
      </c>
      <c r="E3" s="10" t="s">
        <v>115</v>
      </c>
      <c r="F3" s="10" t="s">
        <v>46</v>
      </c>
      <c r="G3" s="10" t="s">
        <v>5</v>
      </c>
      <c r="H3" s="10" t="s">
        <v>6</v>
      </c>
      <c r="I3" s="10" t="s">
        <v>7</v>
      </c>
      <c r="J3" s="10" t="s">
        <v>8</v>
      </c>
      <c r="K3" s="10" t="s">
        <v>9</v>
      </c>
      <c r="L3" s="10" t="s">
        <v>10</v>
      </c>
      <c r="M3" s="10" t="s">
        <v>11</v>
      </c>
      <c r="N3" s="10" t="s">
        <v>12</v>
      </c>
      <c r="O3" s="10" t="s">
        <v>13</v>
      </c>
      <c r="P3" s="59"/>
      <c r="Q3" s="83"/>
      <c r="R3" s="83"/>
      <c r="S3" s="83"/>
      <c r="T3" s="84"/>
      <c r="U3" s="84"/>
      <c r="V3" s="84"/>
      <c r="W3" s="84"/>
      <c r="X3" s="84"/>
      <c r="Y3" s="84"/>
    </row>
    <row r="4" s="13" customFormat="1" ht="21.9" customHeight="1" spans="1:25">
      <c r="A4" s="20"/>
      <c r="B4" s="20"/>
      <c r="C4" s="21">
        <v>0</v>
      </c>
      <c r="D4" s="11">
        <v>-1.6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59"/>
      <c r="Q4" s="83"/>
      <c r="R4" s="83"/>
      <c r="S4" s="83"/>
      <c r="T4" s="84"/>
      <c r="U4" s="84"/>
      <c r="V4" s="84"/>
      <c r="W4" s="84"/>
      <c r="X4" s="84"/>
      <c r="Y4" s="84"/>
    </row>
    <row r="5" ht="1.95" customHeight="1" spans="16:19">
      <c r="P5" s="12"/>
      <c r="Q5" s="82"/>
      <c r="R5" s="82"/>
      <c r="S5" s="82"/>
    </row>
    <row r="6" s="13" customFormat="1" ht="24.6" customHeight="1" spans="1:25">
      <c r="A6" s="20" t="s">
        <v>15</v>
      </c>
      <c r="B6" s="20">
        <v>0</v>
      </c>
      <c r="C6" s="22" t="s">
        <v>163</v>
      </c>
      <c r="D6" s="23" t="s">
        <v>177</v>
      </c>
      <c r="E6" s="23" t="s">
        <v>154</v>
      </c>
      <c r="F6" s="23" t="s">
        <v>155</v>
      </c>
      <c r="G6" s="23" t="s">
        <v>120</v>
      </c>
      <c r="H6" s="23" t="s">
        <v>121</v>
      </c>
      <c r="I6" s="23" t="s">
        <v>122</v>
      </c>
      <c r="J6" s="23" t="s">
        <v>22</v>
      </c>
      <c r="K6" s="23" t="s">
        <v>23</v>
      </c>
      <c r="L6" s="23" t="s">
        <v>24</v>
      </c>
      <c r="M6" s="23" t="s">
        <v>25</v>
      </c>
      <c r="N6" s="23" t="s">
        <v>26</v>
      </c>
      <c r="O6" s="23" t="s">
        <v>27</v>
      </c>
      <c r="P6" s="59"/>
      <c r="Q6" s="83"/>
      <c r="R6" s="83"/>
      <c r="S6" s="83"/>
      <c r="T6" s="84"/>
      <c r="U6" s="84"/>
      <c r="V6" s="84"/>
      <c r="W6" s="84"/>
      <c r="X6" s="84"/>
      <c r="Y6" s="84"/>
    </row>
    <row r="7" s="13" customFormat="1" ht="24.6" customHeight="1" spans="1:25">
      <c r="A7" s="20"/>
      <c r="B7" s="20"/>
      <c r="C7" s="21">
        <v>0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59"/>
      <c r="Q7" s="83"/>
      <c r="R7" s="83"/>
      <c r="S7" s="83"/>
      <c r="T7" s="84"/>
      <c r="U7" s="84"/>
      <c r="V7" s="84"/>
      <c r="W7" s="84"/>
      <c r="X7" s="84"/>
      <c r="Y7" s="84"/>
    </row>
    <row r="8" ht="1.95" customHeight="1" spans="16:19">
      <c r="P8" s="12"/>
      <c r="Q8" s="82"/>
      <c r="R8" s="82"/>
      <c r="S8" s="82"/>
    </row>
    <row r="9" s="13" customFormat="1" ht="22.2" customHeight="1" spans="1:25">
      <c r="A9" s="20" t="s">
        <v>29</v>
      </c>
      <c r="B9" s="20">
        <v>0</v>
      </c>
      <c r="C9" s="24" t="s">
        <v>123</v>
      </c>
      <c r="D9" s="10" t="s">
        <v>124</v>
      </c>
      <c r="E9" s="10" t="s">
        <v>125</v>
      </c>
      <c r="F9" s="10" t="s">
        <v>140</v>
      </c>
      <c r="G9" s="10" t="s">
        <v>141</v>
      </c>
      <c r="H9" s="10" t="s">
        <v>142</v>
      </c>
      <c r="I9" s="10" t="s">
        <v>143</v>
      </c>
      <c r="J9" s="10" t="s">
        <v>144</v>
      </c>
      <c r="K9" s="10" t="s">
        <v>145</v>
      </c>
      <c r="L9" s="10" t="s">
        <v>128</v>
      </c>
      <c r="M9" s="10" t="s">
        <v>129</v>
      </c>
      <c r="N9" s="10" t="s">
        <v>40</v>
      </c>
      <c r="O9" s="10" t="s">
        <v>41</v>
      </c>
      <c r="P9" s="60"/>
      <c r="Q9" s="84"/>
      <c r="R9" s="84"/>
      <c r="S9" s="84"/>
      <c r="T9" s="84"/>
      <c r="U9" s="84"/>
      <c r="V9" s="84"/>
      <c r="W9" s="84"/>
      <c r="X9" s="84"/>
      <c r="Y9" s="84"/>
    </row>
    <row r="10" s="13" customFormat="1" ht="22.2" customHeight="1" spans="1:25">
      <c r="A10" s="20"/>
      <c r="B10" s="20"/>
      <c r="C10" s="24">
        <v>0</v>
      </c>
      <c r="D10" s="10">
        <v>0</v>
      </c>
      <c r="E10" s="10">
        <v>0</v>
      </c>
      <c r="F10" s="25"/>
      <c r="G10" s="25"/>
      <c r="H10" s="25"/>
      <c r="I10" s="25"/>
      <c r="J10" s="25"/>
      <c r="K10" s="61"/>
      <c r="L10" s="25"/>
      <c r="M10" s="25"/>
      <c r="N10" s="25"/>
      <c r="O10" s="25"/>
      <c r="P10" s="59"/>
      <c r="Q10" s="85"/>
      <c r="R10" s="85"/>
      <c r="S10" s="85"/>
      <c r="T10" s="85"/>
      <c r="U10" s="85"/>
      <c r="V10" s="84"/>
      <c r="W10" s="84"/>
      <c r="X10" s="84"/>
      <c r="Y10" s="84"/>
    </row>
    <row r="11" ht="1.95" customHeight="1" spans="16:19">
      <c r="P11" s="12"/>
      <c r="Q11" s="82"/>
      <c r="R11" s="82"/>
      <c r="S11" s="82"/>
    </row>
    <row r="12" s="13" customFormat="1" ht="25.2" customHeight="1" spans="1:25">
      <c r="A12" s="20" t="s">
        <v>43</v>
      </c>
      <c r="B12" s="20">
        <v>0</v>
      </c>
      <c r="C12" s="21" t="s">
        <v>114</v>
      </c>
      <c r="D12" s="26" t="s">
        <v>152</v>
      </c>
      <c r="E12" s="26" t="s">
        <v>115</v>
      </c>
      <c r="F12" s="10" t="s">
        <v>46</v>
      </c>
      <c r="G12" s="10" t="s">
        <v>5</v>
      </c>
      <c r="H12" s="10" t="s">
        <v>6</v>
      </c>
      <c r="I12" s="10" t="s">
        <v>7</v>
      </c>
      <c r="J12" s="10" t="s">
        <v>8</v>
      </c>
      <c r="K12" s="10" t="s">
        <v>9</v>
      </c>
      <c r="L12" s="10" t="s">
        <v>10</v>
      </c>
      <c r="M12" s="10" t="s">
        <v>11</v>
      </c>
      <c r="N12" s="10" t="s">
        <v>12</v>
      </c>
      <c r="O12" s="10" t="s">
        <v>13</v>
      </c>
      <c r="P12" s="62"/>
      <c r="Q12" s="83"/>
      <c r="R12" s="83"/>
      <c r="S12" s="83"/>
      <c r="T12" s="84"/>
      <c r="U12" s="84"/>
      <c r="V12" s="84"/>
      <c r="W12" s="84"/>
      <c r="X12" s="84"/>
      <c r="Y12" s="84"/>
    </row>
    <row r="13" s="13" customFormat="1" ht="21.9" customHeight="1" spans="1:25">
      <c r="A13" s="20"/>
      <c r="B13" s="20"/>
      <c r="C13" s="21">
        <v>0</v>
      </c>
      <c r="D13" s="26"/>
      <c r="E13" s="26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59"/>
      <c r="Q13" s="83"/>
      <c r="R13" s="83"/>
      <c r="S13" s="83"/>
      <c r="T13" s="84"/>
      <c r="U13" s="84"/>
      <c r="V13" s="84"/>
      <c r="W13" s="84"/>
      <c r="X13" s="84"/>
      <c r="Y13" s="84"/>
    </row>
    <row r="14" s="13" customFormat="1" ht="21.9" customHeight="1" spans="1:25">
      <c r="A14" s="20" t="s">
        <v>47</v>
      </c>
      <c r="B14" s="20">
        <v>38184</v>
      </c>
      <c r="C14" s="21">
        <v>38184</v>
      </c>
      <c r="D14" s="26"/>
      <c r="E14" s="26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59"/>
      <c r="Q14" s="83"/>
      <c r="R14" s="83"/>
      <c r="S14" s="83"/>
      <c r="T14" s="84"/>
      <c r="U14" s="84"/>
      <c r="V14" s="84"/>
      <c r="W14" s="84"/>
      <c r="X14" s="84"/>
      <c r="Y14" s="84"/>
    </row>
    <row r="15" s="13" customFormat="1" ht="21.9" customHeight="1" spans="1:25">
      <c r="A15" s="20" t="s">
        <v>48</v>
      </c>
      <c r="B15" s="20">
        <v>1.2</v>
      </c>
      <c r="C15" s="21">
        <v>1.2</v>
      </c>
      <c r="D15" s="26"/>
      <c r="E15" s="26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9"/>
      <c r="Q15" s="83"/>
      <c r="R15" s="83"/>
      <c r="S15" s="83"/>
      <c r="T15" s="84"/>
      <c r="U15" s="84"/>
      <c r="V15" s="84"/>
      <c r="W15" s="84"/>
      <c r="X15" s="84"/>
      <c r="Y15" s="84"/>
    </row>
    <row r="16" ht="1.95" customHeight="1" spans="16:19">
      <c r="P16" s="12"/>
      <c r="Q16" s="82"/>
      <c r="R16" s="82"/>
      <c r="S16" s="82"/>
    </row>
    <row r="17" s="13" customFormat="1" ht="36" customHeight="1" spans="1:25">
      <c r="A17" s="20" t="s">
        <v>49</v>
      </c>
      <c r="B17" s="27">
        <v>0</v>
      </c>
      <c r="C17" s="28" t="s">
        <v>50</v>
      </c>
      <c r="D17" s="29" t="s">
        <v>51</v>
      </c>
      <c r="E17" s="29" t="s">
        <v>52</v>
      </c>
      <c r="F17" s="29" t="s">
        <v>53</v>
      </c>
      <c r="G17" s="29" t="s">
        <v>54</v>
      </c>
      <c r="H17" s="29" t="s">
        <v>55</v>
      </c>
      <c r="I17" s="29" t="s">
        <v>56</v>
      </c>
      <c r="J17" s="29" t="s">
        <v>57</v>
      </c>
      <c r="K17" s="29" t="s">
        <v>9</v>
      </c>
      <c r="L17" s="29" t="s">
        <v>10</v>
      </c>
      <c r="M17" s="29" t="s">
        <v>11</v>
      </c>
      <c r="N17" s="29" t="s">
        <v>12</v>
      </c>
      <c r="O17" s="29" t="s">
        <v>13</v>
      </c>
      <c r="P17" s="59"/>
      <c r="Q17" s="83"/>
      <c r="R17" s="83"/>
      <c r="S17" s="83"/>
      <c r="T17" s="84"/>
      <c r="U17" s="84"/>
      <c r="V17" s="84"/>
      <c r="W17" s="84"/>
      <c r="X17" s="84"/>
      <c r="Y17" s="84"/>
    </row>
    <row r="18" s="13" customFormat="1" ht="21.9" customHeight="1" spans="1:25">
      <c r="A18" s="20"/>
      <c r="B18" s="30"/>
      <c r="C18" s="24">
        <v>0</v>
      </c>
      <c r="D18" s="10">
        <v>-0.2</v>
      </c>
      <c r="E18" s="10">
        <v>-2.2</v>
      </c>
      <c r="F18" s="10">
        <v>-2.8</v>
      </c>
      <c r="G18" s="10">
        <v>0.2</v>
      </c>
      <c r="H18" s="10">
        <v>0.15</v>
      </c>
      <c r="I18" s="10">
        <v>-1.4</v>
      </c>
      <c r="J18" s="10">
        <v>-1.8</v>
      </c>
      <c r="K18" s="10"/>
      <c r="L18" s="10"/>
      <c r="M18" s="10"/>
      <c r="N18" s="10"/>
      <c r="O18" s="10"/>
      <c r="P18" s="59"/>
      <c r="Q18" s="83"/>
      <c r="R18" s="83"/>
      <c r="S18" s="83"/>
      <c r="T18" s="84"/>
      <c r="U18" s="84"/>
      <c r="V18" s="84"/>
      <c r="W18" s="84"/>
      <c r="X18" s="84"/>
      <c r="Y18" s="84"/>
    </row>
    <row r="19" ht="2.1" customHeight="1" spans="16:19">
      <c r="P19" s="12"/>
      <c r="Q19" s="82"/>
      <c r="R19" s="82"/>
      <c r="S19" s="82"/>
    </row>
    <row r="20" s="13" customFormat="1" ht="34.8" customHeight="1" spans="1:25">
      <c r="A20" s="20" t="s">
        <v>58</v>
      </c>
      <c r="B20" s="20">
        <v>0</v>
      </c>
      <c r="C20" s="22" t="s">
        <v>165</v>
      </c>
      <c r="D20" s="10" t="s">
        <v>178</v>
      </c>
      <c r="E20" s="10" t="s">
        <v>174</v>
      </c>
      <c r="F20" s="10" t="s">
        <v>167</v>
      </c>
      <c r="G20" s="10" t="s">
        <v>168</v>
      </c>
      <c r="H20" s="10" t="s">
        <v>169</v>
      </c>
      <c r="I20" s="10" t="s">
        <v>170</v>
      </c>
      <c r="J20" s="10" t="s">
        <v>157</v>
      </c>
      <c r="K20" s="10" t="s">
        <v>66</v>
      </c>
      <c r="L20" s="10" t="s">
        <v>67</v>
      </c>
      <c r="M20" s="10" t="s">
        <v>68</v>
      </c>
      <c r="N20" s="10" t="s">
        <v>69</v>
      </c>
      <c r="O20" s="10" t="s">
        <v>70</v>
      </c>
      <c r="P20" s="60"/>
      <c r="Q20" s="83"/>
      <c r="R20" s="83"/>
      <c r="S20" s="83"/>
      <c r="T20" s="84"/>
      <c r="U20" s="84"/>
      <c r="V20" s="84"/>
      <c r="W20" s="84"/>
      <c r="X20" s="84"/>
      <c r="Y20" s="84"/>
    </row>
    <row r="21" s="13" customFormat="1" ht="21.6" customHeight="1" spans="1:25">
      <c r="A21" s="20"/>
      <c r="B21" s="20"/>
      <c r="C21" s="21">
        <v>0</v>
      </c>
      <c r="D21" s="10"/>
      <c r="E21" s="10"/>
      <c r="F21" s="10"/>
      <c r="G21" s="10"/>
      <c r="H21" s="31"/>
      <c r="I21" s="10"/>
      <c r="J21" s="10"/>
      <c r="K21" s="10"/>
      <c r="L21" s="10"/>
      <c r="M21" s="10"/>
      <c r="N21" s="10"/>
      <c r="O21" s="10"/>
      <c r="P21" s="63"/>
      <c r="Q21" s="86"/>
      <c r="R21" s="86"/>
      <c r="S21" s="86"/>
      <c r="T21" s="87"/>
      <c r="U21" s="84"/>
      <c r="V21" s="84"/>
      <c r="W21" s="84"/>
      <c r="X21" s="84"/>
      <c r="Y21" s="84"/>
    </row>
    <row r="22" ht="2.1" customHeight="1" spans="16:19">
      <c r="P22" s="12"/>
      <c r="Q22" s="82"/>
      <c r="R22" s="82"/>
      <c r="S22" s="82"/>
    </row>
    <row r="23" s="13" customFormat="1" ht="21.6" hidden="1" customHeight="1" spans="1:23">
      <c r="A23" s="20" t="s">
        <v>105</v>
      </c>
      <c r="B23" s="20">
        <v>0</v>
      </c>
      <c r="C23" s="22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60"/>
      <c r="Q23" s="83"/>
      <c r="R23" s="83"/>
      <c r="S23" s="83"/>
      <c r="T23" s="84"/>
      <c r="U23" s="84"/>
      <c r="V23" s="84"/>
      <c r="W23" s="84"/>
    </row>
    <row r="24" s="13" customFormat="1" ht="21.6" hidden="1" customHeight="1" spans="1:23">
      <c r="A24" s="20"/>
      <c r="B24" s="20"/>
      <c r="C24" s="21"/>
      <c r="D24" s="10"/>
      <c r="E24" s="10"/>
      <c r="F24" s="10"/>
      <c r="G24" s="31"/>
      <c r="H24" s="31"/>
      <c r="I24" s="10"/>
      <c r="J24" s="10"/>
      <c r="K24" s="10"/>
      <c r="L24" s="10"/>
      <c r="M24" s="10"/>
      <c r="N24" s="10"/>
      <c r="O24" s="10"/>
      <c r="P24" s="64"/>
      <c r="Q24" s="88"/>
      <c r="R24" s="88"/>
      <c r="S24" s="88"/>
      <c r="T24" s="84"/>
      <c r="U24" s="84"/>
      <c r="V24" s="84"/>
      <c r="W24" s="84"/>
    </row>
    <row r="25" ht="2.1" hidden="1" customHeight="1" spans="16:19">
      <c r="P25" s="12"/>
      <c r="Q25" s="82"/>
      <c r="R25" s="82"/>
      <c r="S25" s="82"/>
    </row>
    <row r="26" s="13" customFormat="1" ht="21.6" customHeight="1" spans="1:25">
      <c r="A26" s="20" t="s">
        <v>73</v>
      </c>
      <c r="B26" s="20">
        <v>-4.2</v>
      </c>
      <c r="C26" s="32" t="s">
        <v>74</v>
      </c>
      <c r="D26" s="23" t="s">
        <v>75</v>
      </c>
      <c r="E26" s="23" t="s">
        <v>158</v>
      </c>
      <c r="F26" s="23" t="s">
        <v>159</v>
      </c>
      <c r="G26" s="23" t="s">
        <v>77</v>
      </c>
      <c r="H26" s="23" t="s">
        <v>78</v>
      </c>
      <c r="I26" s="23" t="s">
        <v>79</v>
      </c>
      <c r="J26" s="23" t="s">
        <v>80</v>
      </c>
      <c r="K26" s="23" t="s">
        <v>81</v>
      </c>
      <c r="L26" s="23" t="s">
        <v>82</v>
      </c>
      <c r="M26" s="23" t="s">
        <v>83</v>
      </c>
      <c r="N26" s="23" t="s">
        <v>84</v>
      </c>
      <c r="O26" s="23" t="s">
        <v>85</v>
      </c>
      <c r="P26" s="65"/>
      <c r="Q26" s="83"/>
      <c r="R26" s="83"/>
      <c r="S26" s="83"/>
      <c r="T26" s="84"/>
      <c r="U26" s="84"/>
      <c r="V26" s="84"/>
      <c r="W26" s="84"/>
      <c r="X26" s="84"/>
      <c r="Y26" s="84"/>
    </row>
    <row r="27" s="13" customFormat="1" ht="21.6" customHeight="1" spans="1:25">
      <c r="A27" s="20"/>
      <c r="B27" s="20"/>
      <c r="C27" s="33">
        <v>-4.2</v>
      </c>
      <c r="D27" s="10">
        <v>-4.8</v>
      </c>
      <c r="E27" s="10"/>
      <c r="F27" s="34"/>
      <c r="G27" s="35"/>
      <c r="H27" s="35"/>
      <c r="I27" s="34"/>
      <c r="J27" s="34"/>
      <c r="K27" s="34"/>
      <c r="L27" s="34"/>
      <c r="M27" s="34"/>
      <c r="N27" s="34"/>
      <c r="O27" s="34"/>
      <c r="P27" s="64"/>
      <c r="Q27" s="88"/>
      <c r="R27" s="88"/>
      <c r="S27" s="88"/>
      <c r="T27" s="84"/>
      <c r="U27" s="84"/>
      <c r="V27" s="84"/>
      <c r="W27" s="84"/>
      <c r="X27" s="84"/>
      <c r="Y27" s="84"/>
    </row>
    <row r="28" s="14" customFormat="1" ht="22.2" customHeight="1" spans="1:19">
      <c r="A28" s="36" t="s">
        <v>87</v>
      </c>
      <c r="B28" s="36" t="s">
        <v>88</v>
      </c>
      <c r="C28" s="36" t="s">
        <v>89</v>
      </c>
      <c r="D28" s="36" t="s">
        <v>90</v>
      </c>
      <c r="E28" s="36">
        <v>33081</v>
      </c>
      <c r="F28" s="36" t="s">
        <v>91</v>
      </c>
      <c r="G28" s="36" t="s">
        <v>92</v>
      </c>
      <c r="H28" s="36" t="s">
        <v>93</v>
      </c>
      <c r="I28" s="36" t="s">
        <v>94</v>
      </c>
      <c r="J28" s="66" t="s">
        <v>95</v>
      </c>
      <c r="K28" s="67">
        <v>490</v>
      </c>
      <c r="L28" s="67">
        <v>495</v>
      </c>
      <c r="M28" s="67">
        <v>500</v>
      </c>
      <c r="N28" s="67">
        <v>505</v>
      </c>
      <c r="O28" s="67">
        <v>510</v>
      </c>
      <c r="P28" s="67">
        <v>515</v>
      </c>
      <c r="Q28" s="67">
        <v>520</v>
      </c>
      <c r="R28" s="67">
        <v>525</v>
      </c>
      <c r="S28" s="89" t="s">
        <v>96</v>
      </c>
    </row>
    <row r="29" s="13" customFormat="1" ht="18" customHeight="1" spans="1:19">
      <c r="A29" s="37" t="s">
        <v>179</v>
      </c>
      <c r="B29" s="37" t="s">
        <v>98</v>
      </c>
      <c r="C29" s="38">
        <v>0.253</v>
      </c>
      <c r="D29" s="39"/>
      <c r="E29" s="40">
        <v>38184</v>
      </c>
      <c r="F29" s="41">
        <f t="shared" ref="F29:F48" si="0">C29*E29/1000</f>
        <v>9.660552</v>
      </c>
      <c r="G29" s="41">
        <f>F29*54</f>
        <v>521.669808</v>
      </c>
      <c r="H29" s="42">
        <f>I29/G29</f>
        <v>0.952836940398956</v>
      </c>
      <c r="I29" s="68">
        <f>G29*(H30+0.15%)</f>
        <v>497.066263753231</v>
      </c>
      <c r="J29" s="68"/>
      <c r="K29" s="69">
        <f>(NORMSDIST((I29-$K$28)/B15)-NORMSDIST((I29-$L$28)/B15))</f>
        <v>0.0425450420612872</v>
      </c>
      <c r="L29" s="69">
        <f>(NORMSDIST((I29-$L$28)/B15)-NORMSDIST((I29-$M$28)/B15))</f>
        <v>0.950207933883556</v>
      </c>
      <c r="M29" s="70">
        <f>(NORMSDIST((I29-$M$28)/B15)-NORMSDIST((I29-$N$28)/B15))</f>
        <v>0.00724702208817139</v>
      </c>
      <c r="N29" s="70">
        <f>(NORMSDIST((I29-$N$28)/B15)-NORMSDIST((I29-$O$28)/B15))</f>
        <v>1.90290853853869e-11</v>
      </c>
      <c r="O29" s="70">
        <f>(NORMSDIST((I29-$O$28)/B15)-NORMSDIST((I29-$P$28)/B15))</f>
        <v>2.18375372570014e-27</v>
      </c>
      <c r="P29" s="70">
        <f>(NORMSDIST((I29-$P$28)/B15)-NORMSDIST((I29-$Q$28)/B15))</f>
        <v>8.42230141515412e-51</v>
      </c>
      <c r="Q29" s="70">
        <f>(NORMSDIST((I29-$Q$28)/B15)-NORMSDIST((I29-$R$28)/B15))</f>
        <v>1.01384129170044e-81</v>
      </c>
      <c r="R29" s="70"/>
      <c r="S29" s="90">
        <f t="shared" ref="S29:S48" si="1">SUM(K29:R29)</f>
        <v>0.999999998052043</v>
      </c>
    </row>
    <row r="30" s="13" customFormat="1" ht="18" customHeight="1" spans="1:19">
      <c r="A30" s="43"/>
      <c r="B30" s="43"/>
      <c r="C30" s="38">
        <f t="shared" ref="C30:C48" si="2">C29+0.1%</f>
        <v>0.254</v>
      </c>
      <c r="D30" s="44"/>
      <c r="E30" s="40">
        <v>38184</v>
      </c>
      <c r="F30" s="41">
        <f t="shared" si="0"/>
        <v>9.698736</v>
      </c>
      <c r="G30" s="41">
        <f t="shared" ref="G30:G48" si="3">F30*54</f>
        <v>523.731744</v>
      </c>
      <c r="H30" s="42">
        <f t="shared" ref="H30:H48" si="4">I30/G30</f>
        <v>0.951336940398956</v>
      </c>
      <c r="I30" s="68">
        <f t="shared" ref="I30:I35" si="5">G30*(H31+0.15%)</f>
        <v>498.245354926769</v>
      </c>
      <c r="J30" s="68"/>
      <c r="K30" s="69">
        <f>(NORMSDIST((I30-$K$28)/B15)-NORMSDIST((I30-$L$28)/B15))</f>
        <v>0.00342075019178745</v>
      </c>
      <c r="L30" s="69">
        <f>(NORMSDIST((I30-$L$28)/B15)-NORMSDIST((I30-$M$28)/B15))</f>
        <v>0.9247366230702</v>
      </c>
      <c r="M30" s="70">
        <f>(NORMSDIST((I30-$M$28)/B15)-NORMSDIST((I30-$N$28)/B15))</f>
        <v>0.0718426176651725</v>
      </c>
      <c r="N30" s="70">
        <f>(NORMSDIST((I30-$N$28)/B15)-NORMSDIST((I30-$O$28)/B15))</f>
        <v>9.06965512815562e-9</v>
      </c>
      <c r="O30" s="70">
        <f>(NORMSDIST((I30-$O$28)/B15)-NORMSDIST((I30-$P$28)/B15))</f>
        <v>5.88349120848141e-23</v>
      </c>
      <c r="P30" s="70">
        <f>(NORMSDIST((I30-$P$28)/B15)-NORMSDIST((I30-$Q$28)/B15))</f>
        <v>1.32553030193668e-44</v>
      </c>
      <c r="Q30" s="70">
        <f>(NORMSDIST((I30-$Q$28)/B15)-NORMSDIST((I30-$R$28)/B15))</f>
        <v>9.42959135484347e-74</v>
      </c>
      <c r="R30" s="70"/>
      <c r="S30" s="90">
        <f t="shared" si="1"/>
        <v>0.999999999996815</v>
      </c>
    </row>
    <row r="31" s="13" customFormat="1" ht="18" customHeight="1" spans="1:19">
      <c r="A31" s="43"/>
      <c r="B31" s="43"/>
      <c r="C31" s="38">
        <f t="shared" si="2"/>
        <v>0.255</v>
      </c>
      <c r="D31" s="45"/>
      <c r="E31" s="40">
        <v>38184</v>
      </c>
      <c r="F31" s="41">
        <f t="shared" si="0"/>
        <v>9.73692</v>
      </c>
      <c r="G31" s="41">
        <f t="shared" si="3"/>
        <v>525.79368</v>
      </c>
      <c r="H31" s="42">
        <f t="shared" si="4"/>
        <v>0.949836940398956</v>
      </c>
      <c r="I31" s="68">
        <f t="shared" si="5"/>
        <v>499.418260292308</v>
      </c>
      <c r="J31" s="71"/>
      <c r="K31" s="69">
        <f>(NORMSDIST((I31-$K$28)/B15)-NORMSDIST((I31-$L$28)/B15))</f>
        <v>0.000115758568185131</v>
      </c>
      <c r="L31" s="69">
        <f>(NORMSDIST((I31-$L$28)/B15)-NORMSDIST((I31-$M$28)/B15))</f>
        <v>0.685969131801255</v>
      </c>
      <c r="M31" s="70">
        <f>(NORMSDIST((I31-$M$28)/B15)-NORMSDIST((I31-$N$28)/B15))</f>
        <v>0.313913461582628</v>
      </c>
      <c r="N31" s="72">
        <f>(NORMSDIST((I31-$N$28)/B15)-NORMSDIST((I31-$O$28)/B15))</f>
        <v>1.64804792979558e-6</v>
      </c>
      <c r="O31" s="72">
        <f>(NORMSDIST((I31-$O$28)/B15)-NORMSDIST((I31-$P$28)/B15))</f>
        <v>5.82005955144984e-19</v>
      </c>
      <c r="P31" s="70">
        <f>(NORMSDIST((I31-$P$28)/B15)-NORMSDIST((I31-$Q$28)/B15))</f>
        <v>7.46302215083247e-39</v>
      </c>
      <c r="Q31" s="70">
        <f>(NORMSDIST((I31-$Q$28)/B15)-NORMSDIST((I31-$R$28)/B15))</f>
        <v>3.06519005063815e-66</v>
      </c>
      <c r="R31" s="70"/>
      <c r="S31" s="90">
        <f t="shared" si="1"/>
        <v>0.999999999999998</v>
      </c>
    </row>
    <row r="32" s="15" customFormat="1" ht="18" customHeight="1" spans="1:19">
      <c r="A32" s="43"/>
      <c r="B32" s="43"/>
      <c r="C32" s="38">
        <f t="shared" si="2"/>
        <v>0.256</v>
      </c>
      <c r="D32" s="45"/>
      <c r="E32" s="40">
        <v>38184</v>
      </c>
      <c r="F32" s="46">
        <f t="shared" si="0"/>
        <v>9.775104</v>
      </c>
      <c r="G32" s="41">
        <f t="shared" si="3"/>
        <v>527.855616</v>
      </c>
      <c r="H32" s="47">
        <f t="shared" si="4"/>
        <v>0.948336940398956</v>
      </c>
      <c r="I32" s="68">
        <f t="shared" si="5"/>
        <v>500.584979849846</v>
      </c>
      <c r="J32" s="73"/>
      <c r="K32" s="74">
        <f>(NORMSDIST((I32-$K$28)/B15)-NORMSDIST((I32-$L$28)/B15))</f>
        <v>1.62660058433683e-6</v>
      </c>
      <c r="L32" s="74">
        <f>(NORMSDIST((I32-$L$28)/B15)-NORMSDIST((I32-$M$28)/B15))</f>
        <v>0.312956343250206</v>
      </c>
      <c r="M32" s="74">
        <f>(NORMSDIST((I32-$M$28)/B15)-NORMSDIST((I32-$N$28)/B15))</f>
        <v>0.686925039194297</v>
      </c>
      <c r="N32" s="74">
        <f>(NORMSDIST((I32-$N$28)/B15)-NORMSDIST((I32-$O$28)/B15))</f>
        <v>0.000116990954910402</v>
      </c>
      <c r="O32" s="74">
        <f>(NORMSDIST((I32-$O$28)/B15)-NORMSDIST((I32-$P$28)/B15))</f>
        <v>2.1501513878092e-15</v>
      </c>
      <c r="P32" s="74">
        <f>(NORMSDIST((I32-$P$28)/B15)-NORMSDIST((I32-$Q$28)/B15))</f>
        <v>1.52703308878178e-33</v>
      </c>
      <c r="Q32" s="74">
        <f>(NORMSDIST((I32-$Q$28)/B15)-NORMSDIST((I32-$R$28)/B15))</f>
        <v>3.53630864425156e-59</v>
      </c>
      <c r="R32" s="74"/>
      <c r="S32" s="90">
        <f t="shared" si="1"/>
        <v>1</v>
      </c>
    </row>
    <row r="33" s="13" customFormat="1" ht="18" customHeight="1" spans="1:19">
      <c r="A33" s="43"/>
      <c r="B33" s="43"/>
      <c r="C33" s="38">
        <f t="shared" si="2"/>
        <v>0.257</v>
      </c>
      <c r="D33" s="48"/>
      <c r="E33" s="40">
        <v>38184</v>
      </c>
      <c r="F33" s="41">
        <f t="shared" si="0"/>
        <v>9.813288</v>
      </c>
      <c r="G33" s="41">
        <f t="shared" si="3"/>
        <v>529.917552</v>
      </c>
      <c r="H33" s="42">
        <f t="shared" si="4"/>
        <v>0.946836940398956</v>
      </c>
      <c r="I33" s="68">
        <f t="shared" si="5"/>
        <v>501.745513599385</v>
      </c>
      <c r="J33" s="73"/>
      <c r="K33" s="69">
        <f>(NORMSDIST((I33-$K$28)/B15)-NORMSDIST((I33-$L$28)/B15))</f>
        <v>9.47841272136429e-9</v>
      </c>
      <c r="L33" s="69">
        <f>(NORMSDIST((I33-$L$28)/B15)-NORMSDIST((I33-$M$28)/B15))</f>
        <v>0.0728907447850125</v>
      </c>
      <c r="M33" s="70">
        <f>(NORMSDIST((I33-$M$28)/B15)-NORMSDIST((I33-$N$28)/B15))</f>
        <v>0.923766042364207</v>
      </c>
      <c r="N33" s="70">
        <f>(NORMSDIST((I33-$N$28)/B15)-NORMSDIST((I33-$O$28)/B15))</f>
        <v>0.00334320336934841</v>
      </c>
      <c r="O33" s="70">
        <f>(NORMSDIST((I33-$O$28)/B15)-NORMSDIST((I33-$P$28)/B15))</f>
        <v>3.01924086171142e-12</v>
      </c>
      <c r="P33" s="70">
        <f>(NORMSDIST((I33-$P$28)/B15)-NORMSDIST((I33-$Q$28)/B15))</f>
        <v>1.15362011913182e-28</v>
      </c>
      <c r="Q33" s="70">
        <f>(NORMSDIST((I33-$Q$28)/B15)-NORMSDIST((I33-$R$28)/B15))</f>
        <v>1.47042876812279e-52</v>
      </c>
      <c r="R33" s="70"/>
      <c r="S33" s="90">
        <f t="shared" si="1"/>
        <v>1</v>
      </c>
    </row>
    <row r="34" s="13" customFormat="1" ht="18" customHeight="1" spans="1:19">
      <c r="A34" s="43"/>
      <c r="B34" s="43"/>
      <c r="C34" s="38">
        <f t="shared" si="2"/>
        <v>0.258</v>
      </c>
      <c r="D34" s="48"/>
      <c r="E34" s="40">
        <v>38184</v>
      </c>
      <c r="F34" s="41">
        <f t="shared" si="0"/>
        <v>9.851472</v>
      </c>
      <c r="G34" s="41">
        <f t="shared" si="3"/>
        <v>531.979488</v>
      </c>
      <c r="H34" s="42">
        <f t="shared" si="4"/>
        <v>0.945336940398956</v>
      </c>
      <c r="I34" s="68">
        <f t="shared" si="5"/>
        <v>502.899861540923</v>
      </c>
      <c r="J34" s="75"/>
      <c r="K34" s="69">
        <f>(NORMSDIST((I34-$K$28)/B15)-NORMSDIST((I34-$L$28)/B15))</f>
        <v>2.30186980587632e-11</v>
      </c>
      <c r="L34" s="69">
        <f>(NORMSDIST((I34-$L$28)/B15)-NORMSDIST((I34-$M$28)/B15))</f>
        <v>0.00783415942040955</v>
      </c>
      <c r="M34" s="70">
        <f>(NORMSDIST((I34-$M$28)/B15)-NORMSDIST((I34-$N$28)/B15))</f>
        <v>0.952116637586029</v>
      </c>
      <c r="N34" s="70">
        <f>(NORMSDIST((I34-$N$28)/B15)-NORMSDIST((I34-$O$28)/B15))</f>
        <v>0.0400492013290365</v>
      </c>
      <c r="O34" s="70">
        <f>(NORMSDIST((I34-$O$28)/B15)-NORMSDIST((I34-$P$28)/B15))</f>
        <v>1.64150632175747e-9</v>
      </c>
      <c r="P34" s="70">
        <f>(NORMSDIST((I34-$P$28)/B15)-NORMSDIST((I34-$Q$28)/B15))</f>
        <v>3.26949336672292e-24</v>
      </c>
      <c r="Q34" s="70">
        <f>(NORMSDIST((I34-$Q$28)/B15)-NORMSDIST((I34-$R$28)/B15))</f>
        <v>2.23770597772712e-46</v>
      </c>
      <c r="R34" s="70"/>
      <c r="S34" s="90">
        <f t="shared" si="1"/>
        <v>1</v>
      </c>
    </row>
    <row r="35" s="13" customFormat="1" ht="18" customHeight="1" spans="1:19">
      <c r="A35" s="43"/>
      <c r="B35" s="43"/>
      <c r="C35" s="38">
        <f t="shared" si="2"/>
        <v>0.259</v>
      </c>
      <c r="D35" s="49"/>
      <c r="E35" s="40">
        <v>38184</v>
      </c>
      <c r="F35" s="41">
        <f t="shared" si="0"/>
        <v>9.889656</v>
      </c>
      <c r="G35" s="41">
        <f t="shared" si="3"/>
        <v>534.041424</v>
      </c>
      <c r="H35" s="42">
        <f t="shared" si="4"/>
        <v>0.943836940398956</v>
      </c>
      <c r="I35" s="68">
        <f t="shared" si="5"/>
        <v>504.048023674462</v>
      </c>
      <c r="J35" s="76"/>
      <c r="K35" s="69">
        <f>(NORMSDIST((I35-$K$28)/B15)-NORMSDIST((I35-$L$28)/B15))</f>
        <v>2.35367281220533e-14</v>
      </c>
      <c r="L35" s="69">
        <f>(NORMSDIST((I35-$L$28)/B15)-NORMSDIST((I35-$M$28)/B15))</f>
        <v>0.000371293342750878</v>
      </c>
      <c r="M35" s="70">
        <f>(NORMSDIST((I35-$M$28)/B15)-NORMSDIST((I35-$N$28)/B15))</f>
        <v>0.785831140455528</v>
      </c>
      <c r="N35" s="70">
        <f>(NORMSDIST((I35-$N$28)/B15)-NORMSDIST((I35-$O$28)/B15))</f>
        <v>0.213797213700002</v>
      </c>
      <c r="O35" s="70">
        <f>(NORMSDIST((I35-$O$28)/B15)-NORMSDIST((I35-$P$28)/B15))</f>
        <v>3.52501696329062e-7</v>
      </c>
      <c r="P35" s="70">
        <f>(NORMSDIST((I35-$P$28)/B15)-NORMSDIST((I35-$Q$28)/B15))</f>
        <v>3.53268429818333e-20</v>
      </c>
      <c r="Q35" s="70">
        <f>(NORMSDIST((I35-$Q$28)/B15)-NORMSDIST((I35-$R$28)/B15))</f>
        <v>1.26557897988169e-40</v>
      </c>
      <c r="R35" s="70"/>
      <c r="S35" s="90">
        <f t="shared" si="1"/>
        <v>1</v>
      </c>
    </row>
    <row r="36" s="15" customFormat="1" ht="18" customHeight="1" spans="1:19">
      <c r="A36" s="43"/>
      <c r="B36" s="43"/>
      <c r="C36" s="50">
        <f t="shared" si="2"/>
        <v>0.26</v>
      </c>
      <c r="D36" s="49">
        <v>0.0341140293136703</v>
      </c>
      <c r="E36" s="51">
        <v>38184</v>
      </c>
      <c r="F36" s="52">
        <f t="shared" si="0"/>
        <v>9.92784</v>
      </c>
      <c r="G36" s="52">
        <f t="shared" si="3"/>
        <v>536.10336</v>
      </c>
      <c r="H36" s="53">
        <f t="shared" si="4"/>
        <v>0.942336940398956</v>
      </c>
      <c r="I36" s="77">
        <v>505.19</v>
      </c>
      <c r="J36" s="77" t="s">
        <v>99</v>
      </c>
      <c r="K36" s="78">
        <f>(NORMSDIST((I36-$K$28)/B15)-NORMSDIST((I36-$L$28)/B15))</f>
        <v>0</v>
      </c>
      <c r="L36" s="78">
        <f>(NORMSDIST((I36-$L$28)/B15)-NORMSDIST((I36-$M$28)/B15))</f>
        <v>7.62659311714931e-6</v>
      </c>
      <c r="M36" s="79">
        <f>(NORMSDIST((I36-$M$28)/B15)-NORMSDIST((I36-$N$28)/B15))</f>
        <v>0.437089445014843</v>
      </c>
      <c r="N36" s="79">
        <f>(NORMSDIST((I36-$N$28)/B15)-NORMSDIST((I36-$O$28)/B15))</f>
        <v>0.562872354006785</v>
      </c>
      <c r="O36" s="79">
        <f>(NORMSDIST((I36-$O$28)/B15)-NORMSDIST((I36-$P$28)/B15))</f>
        <v>3.05743852539251e-5</v>
      </c>
      <c r="P36" s="79">
        <f>(NORMSDIST((I36-$P$28)/B15)-NORMSDIST((I36-$Q$28)/B15))</f>
        <v>1.4793293752762e-16</v>
      </c>
      <c r="Q36" s="79">
        <f>(NORMSDIST((I36-$Q$28)/B15)-NORMSDIST((I36-$R$28)/B15))</f>
        <v>2.70129084422139e-35</v>
      </c>
      <c r="R36" s="79"/>
      <c r="S36" s="91">
        <f t="shared" si="1"/>
        <v>1</v>
      </c>
    </row>
    <row r="37" s="13" customFormat="1" ht="18" customHeight="1" spans="1:19">
      <c r="A37" s="43"/>
      <c r="B37" s="43"/>
      <c r="C37" s="38">
        <f t="shared" si="2"/>
        <v>0.261</v>
      </c>
      <c r="D37" s="49">
        <v>0.0586334878828709</v>
      </c>
      <c r="E37" s="40">
        <v>38184</v>
      </c>
      <c r="F37" s="41">
        <f t="shared" si="0"/>
        <v>9.966024</v>
      </c>
      <c r="G37" s="41">
        <f t="shared" si="3"/>
        <v>538.165296</v>
      </c>
      <c r="H37" s="42">
        <f t="shared" si="4"/>
        <v>0.940836940398956</v>
      </c>
      <c r="I37" s="68">
        <f>G37*(H36-0.15%)</f>
        <v>506.325790517539</v>
      </c>
      <c r="J37" s="75"/>
      <c r="K37" s="69">
        <f>(NORMSDIST((I37-$K$28)/B15)-NORMSDIST((I37-$L$28)/B15))</f>
        <v>0</v>
      </c>
      <c r="L37" s="69">
        <f>(NORMSDIST((I37-$L$28)/B15)-NORMSDIST((I37-$M$28)/B15))</f>
        <v>6.76595575122008e-8</v>
      </c>
      <c r="M37" s="70">
        <f>(NORMSDIST((I37-$M$28)/B15)-NORMSDIST((I37-$N$28)/B15))</f>
        <v>0.134617551663348</v>
      </c>
      <c r="N37" s="70">
        <f>(NORMSDIST((I37-$N$28)/B15)-NORMSDIST((I37-$O$28)/B15))</f>
        <v>0.86428248019639</v>
      </c>
      <c r="O37" s="70">
        <f>(NORMSDIST((I37-$O$28)/B15)-NORMSDIST((I37-$P$28)/B15))</f>
        <v>0.00109990048046005</v>
      </c>
      <c r="P37" s="70">
        <f>(NORMSDIST((I37-$P$28)/B15)-NORMSDIST((I37-$Q$28)/B15))</f>
        <v>2.44164711038624e-13</v>
      </c>
      <c r="Q37" s="70">
        <f>(NORMSDIST((I37-$Q$28)/B15)-NORMSDIST((I37-$R$28)/B15))</f>
        <v>2.20971662389524e-30</v>
      </c>
      <c r="R37" s="70"/>
      <c r="S37" s="90">
        <f t="shared" si="1"/>
        <v>1</v>
      </c>
    </row>
    <row r="38" s="13" customFormat="1" ht="18" customHeight="1" spans="1:19">
      <c r="A38" s="43"/>
      <c r="B38" s="43"/>
      <c r="C38" s="38">
        <f t="shared" si="2"/>
        <v>0.262</v>
      </c>
      <c r="D38" s="54">
        <v>0.0841203302499458</v>
      </c>
      <c r="E38" s="40">
        <v>38184</v>
      </c>
      <c r="F38" s="41">
        <f t="shared" si="0"/>
        <v>10.004208</v>
      </c>
      <c r="G38" s="41">
        <f t="shared" si="3"/>
        <v>540.227232</v>
      </c>
      <c r="H38" s="42">
        <f t="shared" si="4"/>
        <v>0.939336940398956</v>
      </c>
      <c r="I38" s="68">
        <f t="shared" ref="I38:I48" si="6">G38*(H37-0.15%)</f>
        <v>507.455395227077</v>
      </c>
      <c r="J38" s="68"/>
      <c r="K38" s="69">
        <f>(NORMSDIST((I38-$K$28)/B15)-NORMSDIST((I38-$L$28)/B15))</f>
        <v>0</v>
      </c>
      <c r="L38" s="69">
        <f>(NORMSDIST((I38-$L$28)/B15)-NORMSDIST((I38-$M$28)/B15))</f>
        <v>2.60194754631016e-10</v>
      </c>
      <c r="M38" s="70">
        <f>(NORMSDIST((I38-$M$28)/B15)-NORMSDIST((I38-$N$28)/B15))</f>
        <v>0.0203701831781962</v>
      </c>
      <c r="N38" s="70">
        <f>(NORMSDIST((I38-$N$28)/B15)-NORMSDIST((I38-$O$28)/B15))</f>
        <v>0.962648033331085</v>
      </c>
      <c r="O38" s="70">
        <f>(NORMSDIST((I38-$O$28)/B15)-NORMSDIST((I38-$P$28)/B15))</f>
        <v>0.0169817830688719</v>
      </c>
      <c r="P38" s="70">
        <f>(NORMSDIST((I38-$P$28)/B15)-NORMSDIST((I38-$Q$28)/B15))</f>
        <v>1.61651972384198e-10</v>
      </c>
      <c r="Q38" s="70">
        <f>(NORMSDIST((I38-$Q$28)/B15)-NORMSDIST((I38-$R$28)/B15))</f>
        <v>7.03570137049787e-26</v>
      </c>
      <c r="R38" s="70"/>
      <c r="S38" s="90">
        <f t="shared" si="1"/>
        <v>1</v>
      </c>
    </row>
    <row r="39" s="13" customFormat="1" ht="18" customHeight="1" spans="1:19">
      <c r="A39" s="43"/>
      <c r="B39" s="43"/>
      <c r="C39" s="38">
        <f t="shared" si="2"/>
        <v>0.263</v>
      </c>
      <c r="D39" s="49">
        <v>0.231516943533095</v>
      </c>
      <c r="E39" s="40">
        <v>38184</v>
      </c>
      <c r="F39" s="41">
        <f t="shared" si="0"/>
        <v>10.042392</v>
      </c>
      <c r="G39" s="41">
        <f t="shared" si="3"/>
        <v>542.289168</v>
      </c>
      <c r="H39" s="42">
        <f t="shared" si="4"/>
        <v>0.937836940398956</v>
      </c>
      <c r="I39" s="68">
        <f t="shared" si="6"/>
        <v>508.578814128616</v>
      </c>
      <c r="J39" s="68"/>
      <c r="K39" s="69">
        <f>(NORMSDIST((I39-$K$28)/B15)-NORMSDIST((I39-$L$28)/B15))</f>
        <v>0</v>
      </c>
      <c r="L39" s="69">
        <f>(NORMSDIST((I39-$L$28)/B15)-NORMSDIST((I39-$M$28)/B15))</f>
        <v>4.36983782492462e-13</v>
      </c>
      <c r="M39" s="70">
        <f>(NORMSDIST((I39-$M$28)/B15)-NORMSDIST((I39-$N$28)/B15))</f>
        <v>0.00143024676144965</v>
      </c>
      <c r="N39" s="70">
        <f>(NORMSDIST((I39-$N$28)/B15)-NORMSDIST((I39-$O$28)/B15))</f>
        <v>0.880426854411879</v>
      </c>
      <c r="O39" s="70">
        <f>(NORMSDIST((I39-$O$28)/B15)-NORMSDIST((I39-$P$28)/B15))</f>
        <v>0.118142855088627</v>
      </c>
      <c r="P39" s="70">
        <f>(NORMSDIST((I39-$P$28)/B15)-NORMSDIST((I39-$Q$28)/B15))</f>
        <v>4.37376069162066e-8</v>
      </c>
      <c r="Q39" s="70">
        <f>(NORMSDIST((I39-$Q$28)/B15)-NORMSDIST((I39-$R$28)/B15))</f>
        <v>8.85655354796136e-22</v>
      </c>
      <c r="R39" s="70"/>
      <c r="S39" s="90">
        <f t="shared" si="1"/>
        <v>1</v>
      </c>
    </row>
    <row r="40" s="13" customFormat="1" ht="18" customHeight="1" spans="1:19">
      <c r="A40" s="43"/>
      <c r="B40" s="43"/>
      <c r="C40" s="38">
        <f t="shared" si="2"/>
        <v>0.264</v>
      </c>
      <c r="D40" s="49">
        <v>0.320133020125304</v>
      </c>
      <c r="E40" s="40">
        <v>38184</v>
      </c>
      <c r="F40" s="41">
        <f t="shared" si="0"/>
        <v>10.080576</v>
      </c>
      <c r="G40" s="41">
        <f t="shared" si="3"/>
        <v>544.351104</v>
      </c>
      <c r="H40" s="42">
        <f t="shared" si="4"/>
        <v>0.936336940398956</v>
      </c>
      <c r="I40" s="68">
        <f t="shared" si="6"/>
        <v>509.696047222154</v>
      </c>
      <c r="J40" s="68"/>
      <c r="K40" s="69">
        <f>(NORMSDIST((I40-$K$28)/B15)-NORMSDIST((I40-$L$28)/B15))</f>
        <v>0</v>
      </c>
      <c r="L40" s="69">
        <f>(NORMSDIST((I40-$L$28)/B15)-NORMSDIST((I40-$M$28)/B15))</f>
        <v>0</v>
      </c>
      <c r="M40" s="70">
        <f>(NORMSDIST((I40-$M$28)/B15)-NORMSDIST((I40-$N$28)/B15))</f>
        <v>4.55079486699761e-5</v>
      </c>
      <c r="N40" s="70">
        <f>(NORMSDIST((I40-$N$28)/B15)-NORMSDIST((I40-$O$28)/B15))</f>
        <v>0.599933968780654</v>
      </c>
      <c r="O40" s="70">
        <f>(NORMSDIST((I40-$O$28)/B15)-NORMSDIST((I40-$P$28)/B15))</f>
        <v>0.400015587326868</v>
      </c>
      <c r="P40" s="70">
        <f>(NORMSDIST((I40-$P$28)/B15)-NORMSDIST((I40-$Q$28)/B15))</f>
        <v>4.93594380864308e-6</v>
      </c>
      <c r="Q40" s="70">
        <f>(NORMSDIST((I40-$Q$28)/B15)-NORMSDIST((I40-$R$28)/B15))</f>
        <v>4.47797795035921e-18</v>
      </c>
      <c r="R40" s="70"/>
      <c r="S40" s="90">
        <f t="shared" si="1"/>
        <v>1</v>
      </c>
    </row>
    <row r="41" s="13" customFormat="1" ht="18" customHeight="1" spans="1:19">
      <c r="A41" s="43"/>
      <c r="B41" s="43"/>
      <c r="C41" s="38">
        <f t="shared" si="2"/>
        <v>0.265</v>
      </c>
      <c r="D41" s="49">
        <v>0.22052468114755</v>
      </c>
      <c r="E41" s="40">
        <v>38184</v>
      </c>
      <c r="F41" s="41">
        <f t="shared" si="0"/>
        <v>10.11876</v>
      </c>
      <c r="G41" s="41">
        <f t="shared" si="3"/>
        <v>546.41304</v>
      </c>
      <c r="H41" s="42">
        <f t="shared" si="4"/>
        <v>0.934836940398956</v>
      </c>
      <c r="I41" s="68">
        <f t="shared" si="6"/>
        <v>510.807094507693</v>
      </c>
      <c r="J41" s="68"/>
      <c r="K41" s="69">
        <f>(NORMSDIST((I41-$K$28)/B15)-NORMSDIST((I41-$L$28)/B15))</f>
        <v>0</v>
      </c>
      <c r="L41" s="69">
        <f>(NORMSDIST((I41-$L$28)/B15)-NORMSDIST((I41-$M$28)/B15))</f>
        <v>0</v>
      </c>
      <c r="M41" s="70">
        <f>(NORMSDIST((I41-$M$28)/B15)-NORMSDIST((I41-$N$28)/B15))</f>
        <v>6.5166510532233e-7</v>
      </c>
      <c r="N41" s="70">
        <f>(NORMSDIST((I41-$N$28)/B15)-NORMSDIST((I41-$O$28)/B15))</f>
        <v>0.25060700855718</v>
      </c>
      <c r="O41" s="70">
        <f>(NORMSDIST((I41-$O$28)/B15)-NORMSDIST((I41-$P$28)/B15))</f>
        <v>0.749154497600959</v>
      </c>
      <c r="P41" s="70">
        <f>(NORMSDIST((I41-$P$28)/B15)-NORMSDIST((I41-$Q$28)/B15))</f>
        <v>0.000237842176746586</v>
      </c>
      <c r="Q41" s="70">
        <f>(NORMSDIST((I41-$Q$28)/B15)-NORMSDIST((I41-$R$28)/B15))</f>
        <v>9.24218957146505e-15</v>
      </c>
      <c r="R41" s="70"/>
      <c r="S41" s="90">
        <f t="shared" si="1"/>
        <v>1</v>
      </c>
    </row>
    <row r="42" s="13" customFormat="1" ht="18" customHeight="1" spans="1:19">
      <c r="A42" s="43"/>
      <c r="B42" s="43"/>
      <c r="C42" s="38">
        <f t="shared" si="2"/>
        <v>0.266</v>
      </c>
      <c r="D42" s="49">
        <v>0.0509575077475633</v>
      </c>
      <c r="E42" s="40">
        <v>38184</v>
      </c>
      <c r="F42" s="41">
        <f t="shared" si="0"/>
        <v>10.156944</v>
      </c>
      <c r="G42" s="41">
        <f t="shared" si="3"/>
        <v>548.474976</v>
      </c>
      <c r="H42" s="42">
        <f t="shared" si="4"/>
        <v>0.933336940398956</v>
      </c>
      <c r="I42" s="68">
        <f t="shared" si="6"/>
        <v>511.911955985231</v>
      </c>
      <c r="J42" s="68"/>
      <c r="K42" s="69">
        <f>(NORMSDIST((I42-$K$28)/B15)-NORMSDIST((I42-$L$28)/B15))</f>
        <v>0</v>
      </c>
      <c r="L42" s="69">
        <f>(NORMSDIST((I42-$L$28)/B15)-NORMSDIST((I42-$M$28)/B15))</f>
        <v>0</v>
      </c>
      <c r="M42" s="70">
        <f>(NORMSDIST((I42-$M$28)/B15)-NORMSDIST((I42-$N$28)/B15))</f>
        <v>4.20661083744278e-9</v>
      </c>
      <c r="N42" s="70">
        <f>(NORMSDIST((I42-$N$28)/B15)-NORMSDIST((I42-$O$28)/B15))</f>
        <v>0.0555468242349664</v>
      </c>
      <c r="O42" s="70">
        <f>(NORMSDIST((I42-$O$28)/B15)-NORMSDIST((I42-$P$28)/B15))</f>
        <v>0.939417498003347</v>
      </c>
      <c r="P42" s="70">
        <f>(NORMSDIST((I42-$P$28)/B15)-NORMSDIST((I42-$Q$28)/B15))</f>
        <v>0.00503567354715835</v>
      </c>
      <c r="Q42" s="70">
        <f>(NORMSDIST((I42-$Q$28)/B15)-NORMSDIST((I42-$R$28)/B15))</f>
        <v>7.91733265056661e-12</v>
      </c>
      <c r="R42" s="70"/>
      <c r="S42" s="90">
        <f t="shared" si="1"/>
        <v>1</v>
      </c>
    </row>
    <row r="43" s="13" customFormat="1" ht="18" customHeight="1" spans="1:19">
      <c r="A43" s="43"/>
      <c r="B43" s="43"/>
      <c r="C43" s="38">
        <f t="shared" si="2"/>
        <v>0.267</v>
      </c>
      <c r="D43" s="55">
        <v>0</v>
      </c>
      <c r="E43" s="40">
        <v>38184</v>
      </c>
      <c r="F43" s="41">
        <f t="shared" si="0"/>
        <v>10.195128</v>
      </c>
      <c r="G43" s="41">
        <f t="shared" si="3"/>
        <v>550.536912</v>
      </c>
      <c r="H43" s="42">
        <f t="shared" si="4"/>
        <v>0.931836940398956</v>
      </c>
      <c r="I43" s="68">
        <f t="shared" si="6"/>
        <v>513.01063165477</v>
      </c>
      <c r="J43" s="68"/>
      <c r="K43" s="69">
        <f>(NORMSDIST((I43-$K$28)/B15)-NORMSDIST((I43-$L$28)/B15))</f>
        <v>0</v>
      </c>
      <c r="L43" s="69">
        <f>(NORMSDIST((I43-$L$28)/B15)-NORMSDIST((I43-$M$28)/B15))</f>
        <v>0</v>
      </c>
      <c r="M43" s="70">
        <f>(NORMSDIST((I43-$M$28)/B15)-NORMSDIST((I43-$N$28)/B15))</f>
        <v>1.23173693467038e-11</v>
      </c>
      <c r="N43" s="70">
        <f>(NORMSDIST((I43-$N$28)/B15)-NORMSDIST((I43-$O$28)/B15))</f>
        <v>0.00605607882826398</v>
      </c>
      <c r="O43" s="70">
        <f>(NORMSDIST((I43-$O$28)/B15)-NORMSDIST((I43-$P$28)/B15))</f>
        <v>0.945265702560484</v>
      </c>
      <c r="P43" s="70">
        <f>(NORMSDIST((I43-$P$28)/B15)-NORMSDIST((I43-$Q$28)/B15))</f>
        <v>0.0486782157342908</v>
      </c>
      <c r="Q43" s="70">
        <f>(NORMSDIST((I43-$Q$28)/B15)-NORMSDIST((I43-$R$28)/B15))</f>
        <v>2.86464430751189e-9</v>
      </c>
      <c r="R43" s="70"/>
      <c r="S43" s="90">
        <f t="shared" si="1"/>
        <v>1</v>
      </c>
    </row>
    <row r="44" s="13" customFormat="1" ht="18" hidden="1" customHeight="1" spans="1:19">
      <c r="A44" s="43"/>
      <c r="B44" s="43"/>
      <c r="C44" s="38">
        <f t="shared" si="2"/>
        <v>0.268</v>
      </c>
      <c r="D44" s="55"/>
      <c r="E44" s="40">
        <v>38184</v>
      </c>
      <c r="F44" s="41">
        <f t="shared" si="0"/>
        <v>10.233312</v>
      </c>
      <c r="G44" s="41">
        <f t="shared" si="3"/>
        <v>552.598848</v>
      </c>
      <c r="H44" s="42">
        <f t="shared" si="4"/>
        <v>0.930336940398956</v>
      </c>
      <c r="I44" s="68">
        <f t="shared" si="6"/>
        <v>514.103121516308</v>
      </c>
      <c r="J44" s="68"/>
      <c r="K44" s="69">
        <f>(NORMSDIST((I44-$K$28)/B15)-NORMSDIST((I44-$L$28)/B15))</f>
        <v>0</v>
      </c>
      <c r="L44" s="69">
        <f>(NORMSDIST((I44-$L$28)/B15)-NORMSDIST((I44-$M$28)/B15))</f>
        <v>0</v>
      </c>
      <c r="M44" s="70">
        <f>(NORMSDIST((I44-$M$28)/B15)-NORMSDIST((I44-$N$28)/B15))</f>
        <v>1.65423230669148e-14</v>
      </c>
      <c r="N44" s="70">
        <f>(NORMSDIST((I44-$N$28)/B15)-NORMSDIST((I44-$O$28)/B15))</f>
        <v>0.000313949334324604</v>
      </c>
      <c r="O44" s="70">
        <f>(NORMSDIST((I44-$O$28)/B15)-NORMSDIST((I44-$P$28)/B15))</f>
        <v>0.772274596712921</v>
      </c>
      <c r="P44" s="70">
        <f>(NORMSDIST((I44-$P$28)/B15)-NORMSDIST((I44-$Q$28)/B15))</f>
        <v>0.227411007917892</v>
      </c>
      <c r="Q44" s="70">
        <f>(NORMSDIST((I44-$Q$28)/B15)-NORMSDIST((I44-$R$28)/B15))</f>
        <v>4.46034845375958e-7</v>
      </c>
      <c r="R44" s="70"/>
      <c r="S44" s="90">
        <f t="shared" si="1"/>
        <v>1</v>
      </c>
    </row>
    <row r="45" s="13" customFormat="1" ht="18" hidden="1" customHeight="1" spans="1:19">
      <c r="A45" s="43"/>
      <c r="B45" s="43"/>
      <c r="C45" s="38">
        <f t="shared" si="2"/>
        <v>0.269</v>
      </c>
      <c r="D45" s="55"/>
      <c r="E45" s="40">
        <v>38184</v>
      </c>
      <c r="F45" s="41">
        <f t="shared" si="0"/>
        <v>10.271496</v>
      </c>
      <c r="G45" s="41">
        <f t="shared" si="3"/>
        <v>554.660784</v>
      </c>
      <c r="H45" s="42">
        <f t="shared" si="4"/>
        <v>0.928836940398957</v>
      </c>
      <c r="I45" s="68">
        <f t="shared" si="6"/>
        <v>515.189425569847</v>
      </c>
      <c r="J45" s="68"/>
      <c r="K45" s="69">
        <f>(NORMSDIST((I45-$K$28)/B15)-NORMSDIST((I45-$L$28)/B15))</f>
        <v>0</v>
      </c>
      <c r="L45" s="69">
        <f>(NORMSDIST((I45-$L$28)/B15)-NORMSDIST((I45-$M$28)/B15))</f>
        <v>0</v>
      </c>
      <c r="M45" s="70">
        <f>(NORMSDIST((I45-$M$28)/B15)-NORMSDIST((I45-$N$28)/B15))</f>
        <v>0</v>
      </c>
      <c r="N45" s="70">
        <f>(NORMSDIST((I45-$N$28)/B15)-NORMSDIST((I45-$O$28)/B15))</f>
        <v>7.64317144863469e-6</v>
      </c>
      <c r="O45" s="70">
        <f>(NORMSDIST((I45-$O$28)/B15)-NORMSDIST((I45-$P$28)/B15))</f>
        <v>0.437278027151769</v>
      </c>
      <c r="P45" s="70">
        <f>(NORMSDIST((I45-$P$28)/B15)-NORMSDIST((I45-$Q$28)/B15))</f>
        <v>0.562683817193151</v>
      </c>
      <c r="Q45" s="70">
        <f>(NORMSDIST((I45-$Q$28)/B15)-NORMSDIST((I45-$R$28)/B15))</f>
        <v>3.05124836319547e-5</v>
      </c>
      <c r="R45" s="70"/>
      <c r="S45" s="90">
        <f t="shared" si="1"/>
        <v>1</v>
      </c>
    </row>
    <row r="46" s="13" customFormat="1" ht="18" hidden="1" customHeight="1" spans="1:19">
      <c r="A46" s="43"/>
      <c r="B46" s="43"/>
      <c r="C46" s="38">
        <f t="shared" si="2"/>
        <v>0.27</v>
      </c>
      <c r="D46" s="55"/>
      <c r="E46" s="40">
        <v>38184</v>
      </c>
      <c r="F46" s="41">
        <f t="shared" si="0"/>
        <v>10.30968</v>
      </c>
      <c r="G46" s="41">
        <f t="shared" si="3"/>
        <v>556.72272</v>
      </c>
      <c r="H46" s="42">
        <f t="shared" si="4"/>
        <v>0.927336940398957</v>
      </c>
      <c r="I46" s="68">
        <f t="shared" si="6"/>
        <v>516.269543815385</v>
      </c>
      <c r="J46" s="68"/>
      <c r="K46" s="69">
        <f>(NORMSDIST((I46-$K$28)/B15)-NORMSDIST((I46-$L$28)/B15))</f>
        <v>0</v>
      </c>
      <c r="L46" s="69">
        <f>(NORMSDIST((I46-$L$28)/B15)-NORMSDIST((I46-$M$28)/B15))</f>
        <v>0</v>
      </c>
      <c r="M46" s="70">
        <f>(NORMSDIST((I46-$M$28)/B15)-NORMSDIST((I46-$N$28)/B15))</f>
        <v>0</v>
      </c>
      <c r="N46" s="70">
        <f>(NORMSDIST((I46-$N$28)/B15)-NORMSDIST((I46-$O$28)/B15))</f>
        <v>8.72566341403314e-8</v>
      </c>
      <c r="O46" s="70">
        <f>(NORMSDIST((I46-$O$28)/B15)-NORMSDIST((I46-$P$28)/B15))</f>
        <v>0.145038307035242</v>
      </c>
      <c r="P46" s="70">
        <f>(NORMSDIST((I46-$P$28)/B15)-NORMSDIST((I46-$Q$28)/B15))</f>
        <v>0.854022086515405</v>
      </c>
      <c r="Q46" s="70">
        <f>(NORMSDIST((I46-$Q$28)/B15)-NORMSDIST((I46-$R$28)/B15))</f>
        <v>0.000939519192546288</v>
      </c>
      <c r="R46" s="70"/>
      <c r="S46" s="90">
        <f t="shared" si="1"/>
        <v>0.999999999999827</v>
      </c>
    </row>
    <row r="47" s="13" customFormat="1" ht="18" hidden="1" customHeight="1" spans="1:19">
      <c r="A47" s="43"/>
      <c r="B47" s="43"/>
      <c r="C47" s="38">
        <f t="shared" si="2"/>
        <v>0.271</v>
      </c>
      <c r="D47" s="55"/>
      <c r="E47" s="40">
        <v>38184</v>
      </c>
      <c r="F47" s="41">
        <f t="shared" si="0"/>
        <v>10.347864</v>
      </c>
      <c r="G47" s="41">
        <f t="shared" si="3"/>
        <v>558.784656</v>
      </c>
      <c r="H47" s="42">
        <f t="shared" si="4"/>
        <v>0.925836940398957</v>
      </c>
      <c r="I47" s="68">
        <f t="shared" si="6"/>
        <v>517.343476252924</v>
      </c>
      <c r="J47" s="68"/>
      <c r="K47" s="69">
        <f>(NORMSDIST((I47-$K$28)/B15)-NORMSDIST((I47-$L$28)/B15))</f>
        <v>0</v>
      </c>
      <c r="L47" s="69">
        <f>(NORMSDIST((I47-$L$28)/B15)-NORMSDIST((I47-$M$28)/B15))</f>
        <v>0</v>
      </c>
      <c r="M47" s="70">
        <f>(NORMSDIST((I47-$M$28)/B15)-NORMSDIST((I47-$N$28)/B15))</f>
        <v>0</v>
      </c>
      <c r="N47" s="70">
        <f>(NORMSDIST((I47-$N$28)/B15)-NORMSDIST((I47-$O$28)/B15))</f>
        <v>4.69160044147543e-10</v>
      </c>
      <c r="O47" s="70">
        <f>(NORMSDIST((I47-$O$28)/B15)-NORMSDIST((I47-$P$28)/B15))</f>
        <v>0.0254159074266539</v>
      </c>
      <c r="P47" s="70">
        <f>(NORMSDIST((I47-$P$28)/B15)-NORMSDIST((I47-$Q$28)/B15))</f>
        <v>0.96116178245982</v>
      </c>
      <c r="Q47" s="70">
        <f>(NORMSDIST((I47-$Q$28)/B15)-NORMSDIST((I47-$R$28)/B15))</f>
        <v>0.0134223095560744</v>
      </c>
      <c r="R47" s="70"/>
      <c r="S47" s="90">
        <f t="shared" si="1"/>
        <v>0.999999999911708</v>
      </c>
    </row>
    <row r="48" s="13" customFormat="1" ht="18" hidden="1" customHeight="1" spans="1:19">
      <c r="A48" s="43"/>
      <c r="B48" s="43"/>
      <c r="C48" s="38">
        <f t="shared" si="2"/>
        <v>0.272</v>
      </c>
      <c r="D48" s="55"/>
      <c r="E48" s="40">
        <v>38184</v>
      </c>
      <c r="F48" s="41">
        <f t="shared" si="0"/>
        <v>10.386048</v>
      </c>
      <c r="G48" s="41">
        <f t="shared" si="3"/>
        <v>560.846592</v>
      </c>
      <c r="H48" s="42">
        <f t="shared" si="4"/>
        <v>0.924336940398957</v>
      </c>
      <c r="I48" s="68">
        <f t="shared" si="6"/>
        <v>518.411222882462</v>
      </c>
      <c r="J48" s="68"/>
      <c r="K48" s="69">
        <f>(NORMSDIST((I48-$K$28)/B15)-NORMSDIST((I48-$L$28)/B15))</f>
        <v>0</v>
      </c>
      <c r="L48" s="69">
        <f>(NORMSDIST((I48-$L$28)/B15)-NORMSDIST((I48-$M$28)/B15))</f>
        <v>0</v>
      </c>
      <c r="M48" s="70">
        <f>(NORMSDIST((I48-$M$28)/B15)-NORMSDIST((I48-$N$28)/B15))</f>
        <v>0</v>
      </c>
      <c r="N48" s="70">
        <f>(NORMSDIST((I48-$N$28)/B15)-NORMSDIST((I48-$O$28)/B15))</f>
        <v>1.19715348745331e-12</v>
      </c>
      <c r="O48" s="70">
        <f>(NORMSDIST((I48-$O$28)/B15)-NORMSDIST((I48-$P$28)/B15))</f>
        <v>0.00223675783990895</v>
      </c>
      <c r="P48" s="70">
        <f>(NORMSDIST((I48-$P$28)/B15)-NORMSDIST((I48-$Q$28)/B15))</f>
        <v>0.905008553275476</v>
      </c>
      <c r="Q48" s="70">
        <f>(NORMSDIST((I48-$Q$28)/B15)-NORMSDIST((I48-$R$28)/B15))</f>
        <v>0.0927546688602839</v>
      </c>
      <c r="R48" s="70"/>
      <c r="S48" s="90">
        <f t="shared" si="1"/>
        <v>0.999999979976867</v>
      </c>
    </row>
    <row r="49" s="13" customFormat="1" ht="9.6" customHeight="1" spans="4:4">
      <c r="D49" s="56"/>
    </row>
    <row r="50" s="13" customFormat="1" ht="18" customHeight="1" spans="4:19">
      <c r="D50" s="57"/>
      <c r="I50" s="80" t="s">
        <v>90</v>
      </c>
      <c r="J50" s="80" t="s">
        <v>89</v>
      </c>
      <c r="K50" s="67">
        <f>K28</f>
        <v>490</v>
      </c>
      <c r="L50" s="67">
        <f t="shared" ref="L50:R50" si="7">L28</f>
        <v>495</v>
      </c>
      <c r="M50" s="67">
        <f t="shared" si="7"/>
        <v>500</v>
      </c>
      <c r="N50" s="67">
        <f t="shared" si="7"/>
        <v>505</v>
      </c>
      <c r="O50" s="67">
        <f t="shared" si="7"/>
        <v>510</v>
      </c>
      <c r="P50" s="67">
        <f t="shared" si="7"/>
        <v>515</v>
      </c>
      <c r="Q50" s="67">
        <f t="shared" si="7"/>
        <v>520</v>
      </c>
      <c r="R50" s="67">
        <f t="shared" si="7"/>
        <v>525</v>
      </c>
      <c r="S50" s="89" t="s">
        <v>96</v>
      </c>
    </row>
    <row r="51" s="13" customFormat="1" ht="18" customHeight="1" spans="9:19">
      <c r="I51" s="81">
        <f t="shared" ref="I51:I70" si="8">D29</f>
        <v>0</v>
      </c>
      <c r="J51" s="38">
        <f t="shared" ref="J51:J70" si="9">C29</f>
        <v>0.253</v>
      </c>
      <c r="K51" s="70">
        <f t="shared" ref="K51:K70" si="10">D29*K29</f>
        <v>0</v>
      </c>
      <c r="L51" s="70">
        <f t="shared" ref="L51:L70" si="11">D29*L29</f>
        <v>0</v>
      </c>
      <c r="M51" s="70">
        <f t="shared" ref="M51:M70" si="12">D29*M29</f>
        <v>0</v>
      </c>
      <c r="N51" s="70">
        <f t="shared" ref="N51:N70" si="13">D29*N29</f>
        <v>0</v>
      </c>
      <c r="O51" s="70">
        <f t="shared" ref="O51:O70" si="14">D29*O29</f>
        <v>0</v>
      </c>
      <c r="P51" s="70">
        <f t="shared" ref="P51:P70" si="15">D29*P29</f>
        <v>0</v>
      </c>
      <c r="Q51" s="70">
        <f t="shared" ref="Q51:Q70" si="16">D29*Q29</f>
        <v>0</v>
      </c>
      <c r="R51" s="70"/>
      <c r="S51" s="90"/>
    </row>
    <row r="52" s="13" customFormat="1" ht="18" customHeight="1" spans="9:19">
      <c r="I52" s="81">
        <f t="shared" si="8"/>
        <v>0</v>
      </c>
      <c r="J52" s="38">
        <f t="shared" si="9"/>
        <v>0.254</v>
      </c>
      <c r="K52" s="70">
        <f t="shared" si="10"/>
        <v>0</v>
      </c>
      <c r="L52" s="70">
        <f t="shared" si="11"/>
        <v>0</v>
      </c>
      <c r="M52" s="70">
        <f t="shared" si="12"/>
        <v>0</v>
      </c>
      <c r="N52" s="70">
        <f t="shared" si="13"/>
        <v>0</v>
      </c>
      <c r="O52" s="70">
        <f t="shared" si="14"/>
        <v>0</v>
      </c>
      <c r="P52" s="70">
        <f t="shared" si="15"/>
        <v>0</v>
      </c>
      <c r="Q52" s="70">
        <f t="shared" si="16"/>
        <v>0</v>
      </c>
      <c r="R52" s="70"/>
      <c r="S52" s="90"/>
    </row>
    <row r="53" s="13" customFormat="1" ht="18" customHeight="1" spans="9:19">
      <c r="I53" s="81">
        <f t="shared" si="8"/>
        <v>0</v>
      </c>
      <c r="J53" s="38">
        <f t="shared" si="9"/>
        <v>0.255</v>
      </c>
      <c r="K53" s="70">
        <f t="shared" si="10"/>
        <v>0</v>
      </c>
      <c r="L53" s="70">
        <f t="shared" si="11"/>
        <v>0</v>
      </c>
      <c r="M53" s="70">
        <f t="shared" si="12"/>
        <v>0</v>
      </c>
      <c r="N53" s="70">
        <f t="shared" si="13"/>
        <v>0</v>
      </c>
      <c r="O53" s="70">
        <f t="shared" si="14"/>
        <v>0</v>
      </c>
      <c r="P53" s="70">
        <f t="shared" si="15"/>
        <v>0</v>
      </c>
      <c r="Q53" s="70">
        <f t="shared" si="16"/>
        <v>0</v>
      </c>
      <c r="R53" s="70"/>
      <c r="S53" s="90"/>
    </row>
    <row r="54" s="13" customFormat="1" ht="18" customHeight="1" spans="9:19">
      <c r="I54" s="81">
        <f t="shared" si="8"/>
        <v>0</v>
      </c>
      <c r="J54" s="38">
        <f t="shared" si="9"/>
        <v>0.256</v>
      </c>
      <c r="K54" s="74">
        <f t="shared" si="10"/>
        <v>0</v>
      </c>
      <c r="L54" s="74">
        <f t="shared" si="11"/>
        <v>0</v>
      </c>
      <c r="M54" s="74">
        <f t="shared" si="12"/>
        <v>0</v>
      </c>
      <c r="N54" s="74">
        <f t="shared" si="13"/>
        <v>0</v>
      </c>
      <c r="O54" s="74">
        <f t="shared" si="14"/>
        <v>0</v>
      </c>
      <c r="P54" s="74">
        <f t="shared" si="15"/>
        <v>0</v>
      </c>
      <c r="Q54" s="74">
        <f t="shared" si="16"/>
        <v>0</v>
      </c>
      <c r="R54" s="74"/>
      <c r="S54" s="90"/>
    </row>
    <row r="55" s="13" customFormat="1" ht="18" customHeight="1" spans="9:19">
      <c r="I55" s="81">
        <f t="shared" si="8"/>
        <v>0</v>
      </c>
      <c r="J55" s="38">
        <f t="shared" si="9"/>
        <v>0.257</v>
      </c>
      <c r="K55" s="70">
        <f t="shared" si="10"/>
        <v>0</v>
      </c>
      <c r="L55" s="70">
        <f t="shared" si="11"/>
        <v>0</v>
      </c>
      <c r="M55" s="70">
        <f t="shared" si="12"/>
        <v>0</v>
      </c>
      <c r="N55" s="70">
        <f t="shared" si="13"/>
        <v>0</v>
      </c>
      <c r="O55" s="70">
        <f t="shared" si="14"/>
        <v>0</v>
      </c>
      <c r="P55" s="70">
        <f t="shared" si="15"/>
        <v>0</v>
      </c>
      <c r="Q55" s="70">
        <f t="shared" si="16"/>
        <v>0</v>
      </c>
      <c r="R55" s="70"/>
      <c r="S55" s="90"/>
    </row>
    <row r="56" s="13" customFormat="1" ht="18" customHeight="1" spans="9:19">
      <c r="I56" s="81">
        <f t="shared" si="8"/>
        <v>0</v>
      </c>
      <c r="J56" s="38">
        <f t="shared" si="9"/>
        <v>0.258</v>
      </c>
      <c r="K56" s="70">
        <f t="shared" si="10"/>
        <v>0</v>
      </c>
      <c r="L56" s="70">
        <f t="shared" si="11"/>
        <v>0</v>
      </c>
      <c r="M56" s="70">
        <f t="shared" si="12"/>
        <v>0</v>
      </c>
      <c r="N56" s="70">
        <f t="shared" si="13"/>
        <v>0</v>
      </c>
      <c r="O56" s="70">
        <f t="shared" si="14"/>
        <v>0</v>
      </c>
      <c r="P56" s="70">
        <f t="shared" si="15"/>
        <v>0</v>
      </c>
      <c r="Q56" s="70">
        <f t="shared" si="16"/>
        <v>0</v>
      </c>
      <c r="R56" s="70"/>
      <c r="S56" s="90"/>
    </row>
    <row r="57" s="13" customFormat="1" ht="18" customHeight="1" spans="9:19">
      <c r="I57" s="81">
        <f t="shared" si="8"/>
        <v>0</v>
      </c>
      <c r="J57" s="38">
        <f t="shared" si="9"/>
        <v>0.259</v>
      </c>
      <c r="K57" s="70">
        <f t="shared" si="10"/>
        <v>0</v>
      </c>
      <c r="L57" s="70">
        <f t="shared" si="11"/>
        <v>0</v>
      </c>
      <c r="M57" s="70">
        <f t="shared" si="12"/>
        <v>0</v>
      </c>
      <c r="N57" s="70">
        <f t="shared" si="13"/>
        <v>0</v>
      </c>
      <c r="O57" s="70">
        <f t="shared" si="14"/>
        <v>0</v>
      </c>
      <c r="P57" s="70">
        <f t="shared" si="15"/>
        <v>0</v>
      </c>
      <c r="Q57" s="70">
        <f t="shared" si="16"/>
        <v>0</v>
      </c>
      <c r="R57" s="70"/>
      <c r="S57" s="90"/>
    </row>
    <row r="58" s="13" customFormat="1" ht="18" customHeight="1" spans="9:19">
      <c r="I58" s="81">
        <f t="shared" si="8"/>
        <v>0.0341140293136703</v>
      </c>
      <c r="J58" s="38">
        <f t="shared" si="9"/>
        <v>0.26</v>
      </c>
      <c r="K58" s="70">
        <f t="shared" si="10"/>
        <v>0</v>
      </c>
      <c r="L58" s="70">
        <f t="shared" si="11"/>
        <v>2.60173821161868e-7</v>
      </c>
      <c r="M58" s="70">
        <f t="shared" si="12"/>
        <v>0.0149108821399323</v>
      </c>
      <c r="N58" s="70">
        <f t="shared" si="13"/>
        <v>0.0192018439844421</v>
      </c>
      <c r="O58" s="70">
        <f t="shared" si="14"/>
        <v>1.04301547479985e-6</v>
      </c>
      <c r="P58" s="70">
        <f t="shared" si="15"/>
        <v>5.04658856727459e-18</v>
      </c>
      <c r="Q58" s="70">
        <f t="shared" si="16"/>
        <v>9.21519150445178e-37</v>
      </c>
      <c r="R58" s="70"/>
      <c r="S58" s="90"/>
    </row>
    <row r="59" s="13" customFormat="1" ht="18" customHeight="1" spans="9:19">
      <c r="I59" s="81">
        <f t="shared" si="8"/>
        <v>0.0586334878828709</v>
      </c>
      <c r="J59" s="38">
        <f t="shared" si="9"/>
        <v>0.261</v>
      </c>
      <c r="K59" s="70">
        <f t="shared" si="10"/>
        <v>0</v>
      </c>
      <c r="L59" s="70">
        <f t="shared" si="11"/>
        <v>3.96711584555203e-9</v>
      </c>
      <c r="M59" s="70">
        <f t="shared" si="12"/>
        <v>0.00789309658427469</v>
      </c>
      <c r="N59" s="70">
        <f t="shared" si="13"/>
        <v>0.0506758963299726</v>
      </c>
      <c r="O59" s="70">
        <f t="shared" si="14"/>
        <v>6.4491001493418e-5</v>
      </c>
      <c r="P59" s="70">
        <f t="shared" si="15"/>
        <v>1.43162286261078e-14</v>
      </c>
      <c r="Q59" s="70">
        <f t="shared" si="16"/>
        <v>1.2956339289174e-31</v>
      </c>
      <c r="R59" s="70"/>
      <c r="S59" s="90"/>
    </row>
    <row r="60" s="13" customFormat="1" ht="18" customHeight="1" spans="9:19">
      <c r="I60" s="81">
        <f t="shared" si="8"/>
        <v>0.0841203302499458</v>
      </c>
      <c r="J60" s="38">
        <f t="shared" si="9"/>
        <v>0.262</v>
      </c>
      <c r="K60" s="70">
        <f t="shared" si="10"/>
        <v>0</v>
      </c>
      <c r="L60" s="70">
        <f t="shared" si="11"/>
        <v>2.18876686888647e-11</v>
      </c>
      <c r="M60" s="70">
        <f t="shared" si="12"/>
        <v>0.00171354653620175</v>
      </c>
      <c r="N60" s="70">
        <f t="shared" si="13"/>
        <v>0.0809782704782717</v>
      </c>
      <c r="O60" s="70">
        <f t="shared" si="14"/>
        <v>0.00142851319998644</v>
      </c>
      <c r="P60" s="70">
        <f t="shared" si="15"/>
        <v>1.35982173025139e-11</v>
      </c>
      <c r="Q60" s="70">
        <f t="shared" si="16"/>
        <v>5.91845522826277e-27</v>
      </c>
      <c r="R60" s="70"/>
      <c r="S60" s="90"/>
    </row>
    <row r="61" s="13" customFormat="1" ht="18" customHeight="1" spans="9:19">
      <c r="I61" s="81">
        <f t="shared" si="8"/>
        <v>0.231516943533095</v>
      </c>
      <c r="J61" s="38">
        <f t="shared" si="9"/>
        <v>0.263</v>
      </c>
      <c r="K61" s="70">
        <f t="shared" si="10"/>
        <v>0</v>
      </c>
      <c r="L61" s="70">
        <f t="shared" si="11"/>
        <v>1.01169149696185e-13</v>
      </c>
      <c r="M61" s="70">
        <f t="shared" si="12"/>
        <v>0.00033112635870893</v>
      </c>
      <c r="N61" s="70">
        <f t="shared" si="13"/>
        <v>0.203833734337895</v>
      </c>
      <c r="O61" s="70">
        <f t="shared" si="14"/>
        <v>0.0273520727103924</v>
      </c>
      <c r="P61" s="70">
        <f t="shared" si="15"/>
        <v>1.01259970706921e-8</v>
      </c>
      <c r="Q61" s="70">
        <f t="shared" si="16"/>
        <v>2.0504422076612e-22</v>
      </c>
      <c r="R61" s="70"/>
      <c r="S61" s="90"/>
    </row>
    <row r="62" s="13" customFormat="1" ht="18" hidden="1" customHeight="1" spans="9:19">
      <c r="I62" s="81">
        <f t="shared" si="8"/>
        <v>0.320133020125304</v>
      </c>
      <c r="J62" s="38">
        <f t="shared" si="9"/>
        <v>0.264</v>
      </c>
      <c r="K62" s="70">
        <f t="shared" si="10"/>
        <v>0</v>
      </c>
      <c r="L62" s="70">
        <f t="shared" si="11"/>
        <v>0</v>
      </c>
      <c r="M62" s="70">
        <f t="shared" si="12"/>
        <v>1.45685970474268e-5</v>
      </c>
      <c r="N62" s="70">
        <f t="shared" si="13"/>
        <v>0.19205867330151</v>
      </c>
      <c r="O62" s="70">
        <f t="shared" si="14"/>
        <v>0.128058198068147</v>
      </c>
      <c r="P62" s="70">
        <f t="shared" si="15"/>
        <v>1.5801585986297e-6</v>
      </c>
      <c r="Q62" s="70">
        <f t="shared" si="16"/>
        <v>1.43354860530301e-18</v>
      </c>
      <c r="R62" s="70">
        <f t="shared" ref="R62:R70" si="17">D40*R40</f>
        <v>0</v>
      </c>
      <c r="S62" s="90"/>
    </row>
    <row r="63" s="13" customFormat="1" ht="18" hidden="1" customHeight="1" spans="9:19">
      <c r="I63" s="81">
        <f t="shared" si="8"/>
        <v>0.22052468114755</v>
      </c>
      <c r="J63" s="38">
        <f t="shared" si="9"/>
        <v>0.265</v>
      </c>
      <c r="K63" s="70">
        <f t="shared" si="10"/>
        <v>0</v>
      </c>
      <c r="L63" s="70">
        <f t="shared" si="11"/>
        <v>0</v>
      </c>
      <c r="M63" s="70">
        <f t="shared" si="12"/>
        <v>1.43708239566191e-7</v>
      </c>
      <c r="N63" s="70">
        <f t="shared" si="13"/>
        <v>0.0552650306554135</v>
      </c>
      <c r="O63" s="70">
        <f t="shared" si="14"/>
        <v>0.165207056713704</v>
      </c>
      <c r="P63" s="70">
        <f t="shared" si="15"/>
        <v>5.24500701904801e-5</v>
      </c>
      <c r="Q63" s="70">
        <f t="shared" si="16"/>
        <v>2.03813090835254e-15</v>
      </c>
      <c r="R63" s="70">
        <f t="shared" si="17"/>
        <v>0</v>
      </c>
      <c r="S63" s="90"/>
    </row>
    <row r="64" s="13" customFormat="1" ht="18" hidden="1" customHeight="1" spans="9:19">
      <c r="I64" s="81">
        <f t="shared" si="8"/>
        <v>0.0509575077475633</v>
      </c>
      <c r="J64" s="38">
        <f t="shared" si="9"/>
        <v>0.266</v>
      </c>
      <c r="K64" s="70">
        <f t="shared" si="10"/>
        <v>0</v>
      </c>
      <c r="L64" s="70">
        <f t="shared" si="11"/>
        <v>0</v>
      </c>
      <c r="M64" s="70">
        <f t="shared" si="12"/>
        <v>2.14358404339974e-10</v>
      </c>
      <c r="N64" s="70">
        <f t="shared" si="13"/>
        <v>0.00283052772630584</v>
      </c>
      <c r="O64" s="70">
        <f t="shared" si="14"/>
        <v>0.0478703744327021</v>
      </c>
      <c r="P64" s="70">
        <f t="shared" si="15"/>
        <v>0.000256605373793521</v>
      </c>
      <c r="Q64" s="70">
        <f t="shared" si="16"/>
        <v>4.03447539881284e-13</v>
      </c>
      <c r="R64" s="70">
        <f t="shared" si="17"/>
        <v>0</v>
      </c>
      <c r="S64" s="90"/>
    </row>
    <row r="65" s="13" customFormat="1" ht="18" hidden="1" customHeight="1" spans="9:19">
      <c r="I65" s="81">
        <f t="shared" si="8"/>
        <v>0</v>
      </c>
      <c r="J65" s="38">
        <f t="shared" si="9"/>
        <v>0.267</v>
      </c>
      <c r="K65" s="70">
        <f t="shared" si="10"/>
        <v>0</v>
      </c>
      <c r="L65" s="70">
        <f t="shared" si="11"/>
        <v>0</v>
      </c>
      <c r="M65" s="70">
        <f t="shared" si="12"/>
        <v>0</v>
      </c>
      <c r="N65" s="70">
        <f t="shared" si="13"/>
        <v>0</v>
      </c>
      <c r="O65" s="70">
        <f t="shared" si="14"/>
        <v>0</v>
      </c>
      <c r="P65" s="70">
        <f t="shared" si="15"/>
        <v>0</v>
      </c>
      <c r="Q65" s="70">
        <f t="shared" si="16"/>
        <v>0</v>
      </c>
      <c r="R65" s="70">
        <f t="shared" si="17"/>
        <v>0</v>
      </c>
      <c r="S65" s="90"/>
    </row>
    <row r="66" s="13" customFormat="1" ht="18" hidden="1" customHeight="1" spans="9:19">
      <c r="I66" s="81">
        <f t="shared" si="8"/>
        <v>0</v>
      </c>
      <c r="J66" s="38">
        <f t="shared" si="9"/>
        <v>0.268</v>
      </c>
      <c r="K66" s="70">
        <f t="shared" si="10"/>
        <v>0</v>
      </c>
      <c r="L66" s="70">
        <f t="shared" si="11"/>
        <v>0</v>
      </c>
      <c r="M66" s="70">
        <f t="shared" si="12"/>
        <v>0</v>
      </c>
      <c r="N66" s="70">
        <f t="shared" si="13"/>
        <v>0</v>
      </c>
      <c r="O66" s="70">
        <f t="shared" si="14"/>
        <v>0</v>
      </c>
      <c r="P66" s="70">
        <f t="shared" si="15"/>
        <v>0</v>
      </c>
      <c r="Q66" s="70">
        <f t="shared" si="16"/>
        <v>0</v>
      </c>
      <c r="R66" s="70">
        <f t="shared" si="17"/>
        <v>0</v>
      </c>
      <c r="S66" s="90"/>
    </row>
    <row r="67" s="13" customFormat="1" ht="18" hidden="1" customHeight="1" spans="9:19">
      <c r="I67" s="81">
        <f t="shared" si="8"/>
        <v>0</v>
      </c>
      <c r="J67" s="38">
        <f t="shared" si="9"/>
        <v>0.269</v>
      </c>
      <c r="K67" s="70">
        <f t="shared" si="10"/>
        <v>0</v>
      </c>
      <c r="L67" s="70">
        <f t="shared" si="11"/>
        <v>0</v>
      </c>
      <c r="M67" s="70">
        <f t="shared" si="12"/>
        <v>0</v>
      </c>
      <c r="N67" s="70">
        <f t="shared" si="13"/>
        <v>0</v>
      </c>
      <c r="O67" s="70">
        <f t="shared" si="14"/>
        <v>0</v>
      </c>
      <c r="P67" s="70">
        <f t="shared" si="15"/>
        <v>0</v>
      </c>
      <c r="Q67" s="70">
        <f t="shared" si="16"/>
        <v>0</v>
      </c>
      <c r="R67" s="70">
        <f t="shared" si="17"/>
        <v>0</v>
      </c>
      <c r="S67" s="90"/>
    </row>
    <row r="68" s="13" customFormat="1" ht="18" hidden="1" customHeight="1" spans="9:19">
      <c r="I68" s="81">
        <f t="shared" si="8"/>
        <v>0</v>
      </c>
      <c r="J68" s="38">
        <f t="shared" si="9"/>
        <v>0.27</v>
      </c>
      <c r="K68" s="70">
        <f t="shared" si="10"/>
        <v>0</v>
      </c>
      <c r="L68" s="70">
        <f t="shared" si="11"/>
        <v>0</v>
      </c>
      <c r="M68" s="70">
        <f t="shared" si="12"/>
        <v>0</v>
      </c>
      <c r="N68" s="70">
        <f t="shared" si="13"/>
        <v>0</v>
      </c>
      <c r="O68" s="70">
        <f t="shared" si="14"/>
        <v>0</v>
      </c>
      <c r="P68" s="70">
        <f t="shared" si="15"/>
        <v>0</v>
      </c>
      <c r="Q68" s="70">
        <f t="shared" si="16"/>
        <v>0</v>
      </c>
      <c r="R68" s="70">
        <f t="shared" si="17"/>
        <v>0</v>
      </c>
      <c r="S68" s="90"/>
    </row>
    <row r="69" s="13" customFormat="1" ht="18" hidden="1" customHeight="1" spans="9:19">
      <c r="I69" s="81">
        <f t="shared" si="8"/>
        <v>0</v>
      </c>
      <c r="J69" s="38">
        <f t="shared" si="9"/>
        <v>0.271</v>
      </c>
      <c r="K69" s="70">
        <f t="shared" si="10"/>
        <v>0</v>
      </c>
      <c r="L69" s="70">
        <f t="shared" si="11"/>
        <v>0</v>
      </c>
      <c r="M69" s="70">
        <f t="shared" si="12"/>
        <v>0</v>
      </c>
      <c r="N69" s="70">
        <f t="shared" si="13"/>
        <v>0</v>
      </c>
      <c r="O69" s="70">
        <f t="shared" si="14"/>
        <v>0</v>
      </c>
      <c r="P69" s="70">
        <f t="shared" si="15"/>
        <v>0</v>
      </c>
      <c r="Q69" s="70">
        <f t="shared" si="16"/>
        <v>0</v>
      </c>
      <c r="R69" s="70">
        <f t="shared" si="17"/>
        <v>0</v>
      </c>
      <c r="S69" s="90"/>
    </row>
    <row r="70" s="13" customFormat="1" ht="18" hidden="1" customHeight="1" spans="9:19">
      <c r="I70" s="81">
        <f t="shared" si="8"/>
        <v>0</v>
      </c>
      <c r="J70" s="38">
        <f t="shared" si="9"/>
        <v>0.272</v>
      </c>
      <c r="K70" s="70">
        <f t="shared" si="10"/>
        <v>0</v>
      </c>
      <c r="L70" s="70">
        <f t="shared" si="11"/>
        <v>0</v>
      </c>
      <c r="M70" s="70">
        <f t="shared" si="12"/>
        <v>0</v>
      </c>
      <c r="N70" s="70">
        <f t="shared" si="13"/>
        <v>0</v>
      </c>
      <c r="O70" s="70">
        <f t="shared" si="14"/>
        <v>0</v>
      </c>
      <c r="P70" s="70">
        <f t="shared" si="15"/>
        <v>0</v>
      </c>
      <c r="Q70" s="70">
        <f t="shared" si="16"/>
        <v>0</v>
      </c>
      <c r="R70" s="70">
        <f t="shared" si="17"/>
        <v>0</v>
      </c>
      <c r="S70" s="90"/>
    </row>
    <row r="71" s="13" customFormat="1" ht="18" customHeight="1" spans="9:19">
      <c r="I71" s="97" t="s">
        <v>100</v>
      </c>
      <c r="J71" s="98"/>
      <c r="K71" s="99">
        <f t="shared" ref="K71:Q71" si="18">SUM(K51:K70)</f>
        <v>0</v>
      </c>
      <c r="L71" s="99">
        <f t="shared" si="18"/>
        <v>2.64162925845258e-7</v>
      </c>
      <c r="M71" s="99">
        <f t="shared" si="18"/>
        <v>0.024863364138763</v>
      </c>
      <c r="N71" s="99">
        <f t="shared" si="18"/>
        <v>0.604843976813812</v>
      </c>
      <c r="O71" s="99">
        <f t="shared" si="18"/>
        <v>0.369981749141901</v>
      </c>
      <c r="P71" s="99">
        <f t="shared" si="18"/>
        <v>0.00031064574219224</v>
      </c>
      <c r="Q71" s="99">
        <f t="shared" si="18"/>
        <v>4.05487104543292e-13</v>
      </c>
      <c r="R71" s="99"/>
      <c r="S71" s="101">
        <f>SUM(K71:R71)</f>
        <v>0.999999999999999</v>
      </c>
    </row>
    <row r="72" ht="18" customHeight="1" spans="11:18">
      <c r="K72" s="67">
        <f>K50</f>
        <v>490</v>
      </c>
      <c r="L72" s="67">
        <f t="shared" ref="L72:R72" si="19">L50</f>
        <v>495</v>
      </c>
      <c r="M72" s="67">
        <f t="shared" si="19"/>
        <v>500</v>
      </c>
      <c r="N72" s="67">
        <f t="shared" si="19"/>
        <v>505</v>
      </c>
      <c r="O72" s="67">
        <f t="shared" si="19"/>
        <v>510</v>
      </c>
      <c r="P72" s="67">
        <f t="shared" si="19"/>
        <v>515</v>
      </c>
      <c r="Q72" s="67">
        <f t="shared" si="19"/>
        <v>520</v>
      </c>
      <c r="R72" s="67">
        <f t="shared" si="19"/>
        <v>525</v>
      </c>
    </row>
    <row r="73" ht="4.8" customHeight="1" spans="9:9">
      <c r="I73" s="100"/>
    </row>
    <row r="74" ht="4.8" customHeight="1" spans="9:9">
      <c r="I74" s="100"/>
    </row>
    <row r="75" ht="4.8" customHeight="1" spans="9:9">
      <c r="I75" s="100"/>
    </row>
    <row r="76" ht="26.4" customHeight="1" spans="1:15">
      <c r="A76" s="92" t="s">
        <v>101</v>
      </c>
      <c r="B76" s="93" t="s">
        <v>89</v>
      </c>
      <c r="C76" s="93" t="str">
        <f>C9</f>
        <v>芜湖（80mg）</v>
      </c>
      <c r="D76" s="93" t="str">
        <f t="shared" ref="D76:O76" si="20">D9</f>
        <v>芜湖（105mg）</v>
      </c>
      <c r="E76" s="93" t="str">
        <f t="shared" si="20"/>
        <v>芜湖（125mg）</v>
      </c>
      <c r="F76" s="93" t="str">
        <f t="shared" si="20"/>
        <v>厂家3</v>
      </c>
      <c r="G76" s="93" t="str">
        <f t="shared" si="20"/>
        <v>厂家4</v>
      </c>
      <c r="H76" s="93" t="str">
        <f t="shared" si="20"/>
        <v>厂家5</v>
      </c>
      <c r="I76" s="93" t="str">
        <f t="shared" si="20"/>
        <v>厂家6</v>
      </c>
      <c r="J76" s="93" t="str">
        <f t="shared" si="20"/>
        <v>厂家7</v>
      </c>
      <c r="K76" s="93" t="str">
        <f t="shared" si="20"/>
        <v>厂家8</v>
      </c>
      <c r="L76" s="93" t="str">
        <f t="shared" si="20"/>
        <v>厂家9</v>
      </c>
      <c r="M76" s="93" t="str">
        <f t="shared" si="20"/>
        <v>厂家10</v>
      </c>
      <c r="N76" s="93" t="str">
        <f t="shared" si="20"/>
        <v>厂家11</v>
      </c>
      <c r="O76" s="93" t="str">
        <f t="shared" si="20"/>
        <v>厂家12</v>
      </c>
    </row>
    <row r="77" ht="17.4" customHeight="1" spans="1:15">
      <c r="A77" s="92"/>
      <c r="B77" s="94">
        <f>C29</f>
        <v>0.253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</row>
    <row r="78" ht="17.4" customHeight="1" spans="1:15">
      <c r="A78" s="92"/>
      <c r="B78" s="94">
        <f t="shared" ref="B78:B96" si="21">C30</f>
        <v>0.254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</row>
    <row r="79" ht="17.4" customHeight="1" spans="1:15">
      <c r="A79" s="92"/>
      <c r="B79" s="94">
        <f t="shared" si="21"/>
        <v>0.255</v>
      </c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</row>
    <row r="80" ht="17.4" customHeight="1" spans="1:15">
      <c r="A80" s="92"/>
      <c r="B80" s="94">
        <f t="shared" si="21"/>
        <v>0.256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</row>
    <row r="81" ht="17.4" customHeight="1" spans="1:15">
      <c r="A81" s="92"/>
      <c r="B81" s="94">
        <f t="shared" si="21"/>
        <v>0.257</v>
      </c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</row>
    <row r="82" ht="17.4" customHeight="1" spans="1:15">
      <c r="A82" s="92"/>
      <c r="B82" s="94">
        <f t="shared" si="21"/>
        <v>0.258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</row>
    <row r="83" ht="17.4" customHeight="1" spans="1:15">
      <c r="A83" s="92"/>
      <c r="B83" s="94">
        <f t="shared" si="21"/>
        <v>0.259</v>
      </c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</row>
    <row r="84" ht="17.4" customHeight="1" spans="1:15">
      <c r="A84" s="92"/>
      <c r="B84" s="94">
        <f t="shared" si="21"/>
        <v>0.26</v>
      </c>
      <c r="C84" s="95">
        <v>0.0341140293136703</v>
      </c>
      <c r="D84" s="95"/>
      <c r="E84" s="96"/>
      <c r="F84" s="95"/>
      <c r="G84" s="95"/>
      <c r="H84" s="95"/>
      <c r="I84" s="95"/>
      <c r="J84" s="95"/>
      <c r="K84" s="95"/>
      <c r="L84" s="95"/>
      <c r="M84" s="95"/>
      <c r="N84" s="95"/>
      <c r="O84" s="95"/>
    </row>
    <row r="85" ht="17.4" customHeight="1" spans="1:15">
      <c r="A85" s="92"/>
      <c r="B85" s="94">
        <f t="shared" si="21"/>
        <v>0.261</v>
      </c>
      <c r="C85" s="95">
        <v>0.0586334878828709</v>
      </c>
      <c r="D85" s="95"/>
      <c r="E85" s="96"/>
      <c r="F85" s="95"/>
      <c r="G85" s="95"/>
      <c r="H85" s="95"/>
      <c r="I85" s="95"/>
      <c r="J85" s="95"/>
      <c r="K85" s="95"/>
      <c r="L85" s="95"/>
      <c r="M85" s="95"/>
      <c r="N85" s="95"/>
      <c r="O85" s="95"/>
    </row>
    <row r="86" ht="17.4" customHeight="1" spans="1:15">
      <c r="A86" s="92"/>
      <c r="B86" s="94">
        <f t="shared" si="21"/>
        <v>0.262</v>
      </c>
      <c r="C86" s="95">
        <v>0.0841203302499458</v>
      </c>
      <c r="D86" s="95"/>
      <c r="E86" s="96"/>
      <c r="F86" s="95"/>
      <c r="G86" s="95"/>
      <c r="H86" s="95"/>
      <c r="I86" s="95"/>
      <c r="J86" s="95"/>
      <c r="K86" s="95"/>
      <c r="L86" s="95"/>
      <c r="M86" s="95"/>
      <c r="N86" s="95"/>
      <c r="O86" s="95"/>
    </row>
    <row r="87" ht="17.4" customHeight="1" spans="1:15">
      <c r="A87" s="92"/>
      <c r="B87" s="94">
        <f t="shared" si="21"/>
        <v>0.263</v>
      </c>
      <c r="C87" s="95">
        <v>0.231516943533095</v>
      </c>
      <c r="D87" s="95"/>
      <c r="E87" s="96"/>
      <c r="F87" s="95"/>
      <c r="G87" s="95"/>
      <c r="H87" s="95"/>
      <c r="I87" s="95"/>
      <c r="J87" s="95"/>
      <c r="K87" s="95"/>
      <c r="L87" s="95"/>
      <c r="M87" s="95"/>
      <c r="N87" s="95"/>
      <c r="O87" s="95"/>
    </row>
    <row r="88" ht="17.4" customHeight="1" spans="1:15">
      <c r="A88" s="92"/>
      <c r="B88" s="94">
        <f t="shared" si="21"/>
        <v>0.264</v>
      </c>
      <c r="C88" s="95">
        <v>0.320133020125304</v>
      </c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</row>
    <row r="89" ht="17.4" customHeight="1" spans="1:15">
      <c r="A89" s="92"/>
      <c r="B89" s="94">
        <f t="shared" si="21"/>
        <v>0.265</v>
      </c>
      <c r="C89" s="95">
        <v>0.22052468114755</v>
      </c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</row>
    <row r="90" ht="17.4" customHeight="1" spans="1:15">
      <c r="A90" s="92"/>
      <c r="B90" s="94">
        <f t="shared" si="21"/>
        <v>0.266</v>
      </c>
      <c r="C90" s="95">
        <v>0.0509575077475633</v>
      </c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</row>
    <row r="91" ht="17.4" customHeight="1" spans="1:15">
      <c r="A91" s="92"/>
      <c r="B91" s="94">
        <f t="shared" si="21"/>
        <v>0.267</v>
      </c>
      <c r="C91" s="95">
        <v>0</v>
      </c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</row>
    <row r="92" ht="17.4" customHeight="1" spans="1:15">
      <c r="A92" s="92"/>
      <c r="B92" s="94">
        <f t="shared" si="21"/>
        <v>0.268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</row>
    <row r="93" ht="17.4" customHeight="1" spans="1:15">
      <c r="A93" s="92"/>
      <c r="B93" s="94">
        <f t="shared" si="21"/>
        <v>0.269</v>
      </c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</row>
    <row r="94" ht="17.4" customHeight="1" spans="1:15">
      <c r="A94" s="92"/>
      <c r="B94" s="94">
        <f t="shared" si="21"/>
        <v>0.27</v>
      </c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</row>
    <row r="95" ht="17.4" customHeight="1" spans="1:15">
      <c r="A95" s="92"/>
      <c r="B95" s="94">
        <f t="shared" si="21"/>
        <v>0.271</v>
      </c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</row>
    <row r="96" ht="17.4" customHeight="1" spans="1:15">
      <c r="A96" s="92"/>
      <c r="B96" s="94">
        <f t="shared" si="21"/>
        <v>0.272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</row>
  </sheetData>
  <sheetProtection formatCells="0" formatColumns="0" formatRows="0" insertRows="0" insertColumns="0" insertHyperlinks="0" deleteColumns="0" deleteRows="0" sort="0" autoFilter="0" pivotTables="0"/>
  <mergeCells count="23">
    <mergeCell ref="A1:F1"/>
    <mergeCell ref="G1:I1"/>
    <mergeCell ref="L1:O1"/>
    <mergeCell ref="Q10:U10"/>
    <mergeCell ref="I71:J71"/>
    <mergeCell ref="A3:A4"/>
    <mergeCell ref="A6:A7"/>
    <mergeCell ref="A9:A10"/>
    <mergeCell ref="A12:A13"/>
    <mergeCell ref="A17:A18"/>
    <mergeCell ref="A20:A21"/>
    <mergeCell ref="A23:A24"/>
    <mergeCell ref="A26:A27"/>
    <mergeCell ref="A76:A96"/>
    <mergeCell ref="B3:B4"/>
    <mergeCell ref="B6:B7"/>
    <mergeCell ref="B9:B10"/>
    <mergeCell ref="B12:B13"/>
    <mergeCell ref="B17:B18"/>
    <mergeCell ref="B20:B21"/>
    <mergeCell ref="B23:B24"/>
    <mergeCell ref="B26:B27"/>
    <mergeCell ref="A30:B48"/>
  </mergeCells>
  <conditionalFormatting sqref="D29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{2ac898ac-7906-40b5-8ba1-21f369ef7907}</x14:id>
        </ext>
      </extLst>
    </cfRule>
  </conditionalFormatting>
  <conditionalFormatting sqref="D30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{38efde19-f834-422f-b7f1-db76700d6904}</x14:id>
        </ext>
      </extLst>
    </cfRule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{4cb85783-ee63-42be-aff5-a1887e98a4ec}</x14:id>
        </ext>
      </extLst>
    </cfRule>
  </conditionalFormatting>
  <conditionalFormatting sqref="D33:D44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{f5d4617a-733a-4f40-9499-78109fa82540}</x14:id>
        </ext>
      </extLst>
    </cfRule>
  </conditionalFormatting>
  <conditionalFormatting sqref="D43:D48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{238acaa2-c13e-4bb1-a74f-a9cef58dbffb}</x14:id>
        </ext>
      </extLst>
    </cfRule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{bdb4f903-0cb7-449e-924b-95c0bdf08ef7}</x14:id>
        </ext>
      </extLst>
    </cfRule>
  </conditionalFormatting>
  <conditionalFormatting sqref="D49:D50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{f615c619-8641-49f1-b8e9-adab192f2ad8}</x14:id>
        </ext>
      </extLst>
    </cfRule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{03241733-bb15-4e50-b66c-42b1c3bfcbc4}</x14:id>
        </ext>
      </extLst>
    </cfRule>
  </conditionalFormatting>
  <conditionalFormatting sqref="D29:D32 D43:D48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{6656ba76-9548-4777-b789-5d4202bebb82}</x14:id>
        </ext>
      </extLst>
    </cfRule>
  </conditionalFormatting>
  <conditionalFormatting sqref="K29:R48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{4a90649a-2f8e-460a-8b58-ec6cc75a9495}</x14:id>
        </ext>
      </extLst>
    </cfRule>
  </conditionalFormatting>
  <conditionalFormatting sqref="K29:Q39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{873fc41a-ab64-48a9-b848-36a9bc83a6a0}</x14:id>
        </ext>
      </extLst>
    </cfRule>
  </conditionalFormatting>
  <conditionalFormatting sqref="M29:O30 O35 N31:O34 M31:M48">
    <cfRule type="dataBar" priority="2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{f442c709-75b3-42bc-8b73-8844a4a429ce}</x14:id>
        </ext>
      </extLst>
    </cfRule>
    <cfRule type="colorScale" priority="23">
      <colorScale>
        <cfvo type="percent" val="0"/>
        <cfvo type="percent" val="0"/>
        <color theme="0"/>
        <color theme="0"/>
      </colorScale>
    </cfRule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{06586a9f-cf88-4acd-9a24-6fcde8965aa1}</x14:id>
        </ext>
      </extLst>
    </cfRule>
    <cfRule type="dataBar" priority="25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{a80b18ef-7bb9-4d57-9855-d6ddbe20309e}</x14:id>
        </ext>
      </extLst>
    </cfRule>
    <cfRule type="dataBar" priority="26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{b8d3f87f-6761-44ab-9b22-70a70829794a}</x14:id>
        </ext>
      </extLst>
    </cfRule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{4bf247cc-21b8-400e-85b0-709c4e9df7e1}</x14:id>
        </ext>
      </extLst>
    </cfRule>
  </conditionalFormatting>
  <conditionalFormatting sqref="P29:R35">
    <cfRule type="dataBar" priority="1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{4bc0fa8a-caa8-4c92-bef3-85034fb079e2}</x14:id>
        </ext>
      </extLst>
    </cfRule>
    <cfRule type="colorScale" priority="16">
      <colorScale>
        <cfvo type="percent" val="0"/>
        <cfvo type="percent" val="0"/>
        <color theme="0"/>
        <color theme="0"/>
      </colorScale>
    </cfRule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{8ae67b9f-22e0-4615-b025-10723cafe173}</x14:id>
        </ext>
      </extLst>
    </cfRule>
    <cfRule type="dataBar" priority="18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{85c0f1e1-da0c-4f76-bdd9-ba7b580d03cf}</x14:id>
        </ext>
      </extLst>
    </cfRule>
    <cfRule type="dataBar" priority="19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{d4c30788-6fcc-4d28-8bf2-ac9bbb103321}</x14:id>
        </ext>
      </extLst>
    </cfRule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{c4dffb87-53da-43a1-9a86-000eb8f8fede}</x14:id>
        </ext>
      </extLst>
    </cfRule>
  </conditionalFormatting>
  <conditionalFormatting sqref="P36:R48">
    <cfRule type="dataBar" priority="2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{68717671-731a-4d12-a7fa-c3bc2ee918a2}</x14:id>
        </ext>
      </extLst>
    </cfRule>
    <cfRule type="colorScale" priority="29">
      <colorScale>
        <cfvo type="percent" val="0"/>
        <cfvo type="percent" val="0"/>
        <color theme="0"/>
        <color theme="0"/>
      </colorScale>
    </cfRule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{3b97ba00-8b2d-42ec-968c-c76e683e4855}</x14:id>
        </ext>
      </extLst>
    </cfRule>
    <cfRule type="dataBar" priority="31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{acad968a-9a15-4b63-98ba-c8e9fe7cef75}</x14:id>
        </ext>
      </extLst>
    </cfRule>
    <cfRule type="dataBar" priority="32">
      <dataBar>
        <cfvo type="min"/>
        <cfvo type="max"/>
        <color theme="9"/>
      </dataBar>
      <extLst>
        <ext xmlns:x14="http://schemas.microsoft.com/office/spreadsheetml/2009/9/main" uri="{B025F937-C7B1-47D3-B67F-A62EFF666E3E}">
          <x14:id>{1b6bf8ad-89e0-4950-ba76-9367f9824555}</x14:id>
        </ext>
      </extLst>
    </cfRule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{e958f733-8ef0-4b3e-8420-127164092217}</x14:id>
        </ext>
      </extLst>
    </cfRule>
  </conditionalFormatting>
  <conditionalFormatting sqref="C84:E9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{608e4c85-9f2b-4e73-ae6c-53f2631875a2}</x14:id>
        </ext>
      </extLst>
    </cfRule>
  </conditionalFormatting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c898ac-7906-40b5-8ba1-21f369ef7907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D29</xm:sqref>
        </x14:conditionalFormatting>
        <x14:conditionalFormatting xmlns:xm="http://schemas.microsoft.com/office/excel/2006/main">
          <x14:cfRule type="dataBar" id="{38efde19-f834-422f-b7f1-db76700d690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cb85783-ee63-42be-aff5-a1887e98a4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D30</xm:sqref>
        </x14:conditionalFormatting>
        <x14:conditionalFormatting xmlns:xm="http://schemas.microsoft.com/office/excel/2006/main">
          <x14:cfRule type="dataBar" id="{f5d4617a-733a-4f40-9499-78109fa825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D33:D44</xm:sqref>
        </x14:conditionalFormatting>
        <x14:conditionalFormatting xmlns:xm="http://schemas.microsoft.com/office/excel/2006/main">
          <x14:cfRule type="dataBar" id="{238acaa2-c13e-4bb1-a74f-a9cef58dbf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db4f903-0cb7-449e-924b-95c0bdf08ef7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D43:D48</xm:sqref>
        </x14:conditionalFormatting>
        <x14:conditionalFormatting xmlns:xm="http://schemas.microsoft.com/office/excel/2006/main">
          <x14:cfRule type="dataBar" id="{f615c619-8641-49f1-b8e9-adab192f2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3241733-bb15-4e50-b66c-42b1c3bfcbc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D49:D50</xm:sqref>
        </x14:conditionalFormatting>
        <x14:conditionalFormatting xmlns:xm="http://schemas.microsoft.com/office/excel/2006/main">
          <x14:cfRule type="dataBar" id="{6656ba76-9548-4777-b789-5d4202bebb8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D29:D32 D43:D48</xm:sqref>
        </x14:conditionalFormatting>
        <x14:conditionalFormatting xmlns:xm="http://schemas.microsoft.com/office/excel/2006/main">
          <x14:cfRule type="dataBar" id="{4a90649a-2f8e-460a-8b58-ec6cc75a94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K29:R48</xm:sqref>
        </x14:conditionalFormatting>
        <x14:conditionalFormatting xmlns:xm="http://schemas.microsoft.com/office/excel/2006/main">
          <x14:cfRule type="dataBar" id="{873fc41a-ab64-48a9-b848-36a9bc83a6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K29:Q39</xm:sqref>
        </x14:conditionalFormatting>
        <x14:conditionalFormatting xmlns:xm="http://schemas.microsoft.com/office/excel/2006/main">
          <x14:cfRule type="dataBar" id="{f442c709-75b3-42bc-8b73-8844a4a429c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06586a9f-cf88-4acd-9a24-6fcde8965aa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80b18ef-7bb9-4d57-9855-d6ddbe20309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b8d3f87f-6761-44ab-9b22-70a70829794a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4bf247cc-21b8-400e-85b0-709c4e9df7e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M29:O30 O35 N31:O34 M31:M48</xm:sqref>
        </x14:conditionalFormatting>
        <x14:conditionalFormatting xmlns:xm="http://schemas.microsoft.com/office/excel/2006/main">
          <x14:cfRule type="dataBar" id="{4bc0fa8a-caa8-4c92-bef3-85034fb079e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8ae67b9f-22e0-4615-b025-10723cafe173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85c0f1e1-da0c-4f76-bdd9-ba7b580d03cf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d4c30788-6fcc-4d28-8bf2-ac9bbb103321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c4dffb87-53da-43a1-9a86-000eb8f8fede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P29:R35</xm:sqref>
        </x14:conditionalFormatting>
        <x14:conditionalFormatting xmlns:xm="http://schemas.microsoft.com/office/excel/2006/main">
          <x14:cfRule type="dataBar" id="{68717671-731a-4d12-a7fa-c3bc2ee918a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3b97ba00-8b2d-42ec-968c-c76e683e485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acad968a-9a15-4b63-98ba-c8e9fe7cef7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1b6bf8ad-89e0-4950-ba76-9367f9824555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14:cfRule type="dataBar" id="{e958f733-8ef0-4b3e-8420-127164092217}">
            <x14:dataBar minLength="10" maxLength="90" negativeBarColorSameAsPositive="1" axisPosition="none">
              <x14:cfvo type="min"/>
              <x14:cfvo type="max"/>
              <x14:axisColor indexed="65"/>
            </x14:dataBar>
          </x14:cfRule>
          <xm:sqref>P36:R48</xm:sqref>
        </x14:conditionalFormatting>
        <x14:conditionalFormatting xmlns:xm="http://schemas.microsoft.com/office/excel/2006/main">
          <x14:cfRule type="dataBar" id="{608e4c85-9f2b-4e73-ae6c-53f2631875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C84:E92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0"/>
  <sheetViews>
    <sheetView showGridLines="0" workbookViewId="0">
      <selection activeCell="E10" sqref="E10"/>
    </sheetView>
  </sheetViews>
  <sheetFormatPr defaultColWidth="8.88888888888889" defaultRowHeight="13.8" outlineLevelCol="4"/>
  <cols>
    <col min="1" max="4" width="19.6666666666667" style="7" customWidth="1"/>
    <col min="5" max="5" width="23.2222222222222" style="7" customWidth="1"/>
    <col min="6" max="16384" width="8.88888888888889" style="7"/>
  </cols>
  <sheetData>
    <row r="1" ht="33.6" customHeight="1" spans="1:5">
      <c r="A1" s="8" t="s">
        <v>87</v>
      </c>
      <c r="B1" s="8" t="s">
        <v>74</v>
      </c>
      <c r="C1" s="8" t="s">
        <v>75</v>
      </c>
      <c r="D1" s="8" t="s">
        <v>76</v>
      </c>
      <c r="E1" s="8" t="s">
        <v>180</v>
      </c>
    </row>
    <row r="2" ht="33.6" customHeight="1" spans="1:5">
      <c r="A2" s="9" t="s">
        <v>97</v>
      </c>
      <c r="B2" s="10">
        <v>2</v>
      </c>
      <c r="C2" s="10">
        <v>0</v>
      </c>
      <c r="D2" s="10">
        <v>-2.5</v>
      </c>
      <c r="E2" s="9" t="s">
        <v>181</v>
      </c>
    </row>
    <row r="3" ht="33.6" customHeight="1" spans="1:5">
      <c r="A3" s="9" t="s">
        <v>106</v>
      </c>
      <c r="B3" s="10">
        <v>2</v>
      </c>
      <c r="C3" s="10">
        <v>-1</v>
      </c>
      <c r="D3" s="10">
        <v>-1.7</v>
      </c>
      <c r="E3" s="9" t="s">
        <v>181</v>
      </c>
    </row>
    <row r="4" ht="33.6" customHeight="1" spans="1:5">
      <c r="A4" s="9" t="s">
        <v>116</v>
      </c>
      <c r="B4" s="10">
        <v>2</v>
      </c>
      <c r="C4" s="10">
        <v>-1.2</v>
      </c>
      <c r="D4" s="10">
        <v>-1.2</v>
      </c>
      <c r="E4" s="9" t="s">
        <v>181</v>
      </c>
    </row>
    <row r="5" ht="33.6" customHeight="1" spans="1:5">
      <c r="A5" s="9" t="s">
        <v>136</v>
      </c>
      <c r="B5" s="10">
        <v>3</v>
      </c>
      <c r="C5" s="10">
        <v>-1.5</v>
      </c>
      <c r="D5" s="10">
        <v>-1.8</v>
      </c>
      <c r="E5" s="9" t="s">
        <v>181</v>
      </c>
    </row>
    <row r="6" ht="33.6" customHeight="1" spans="1:5">
      <c r="A6" s="9" t="s">
        <v>149</v>
      </c>
      <c r="B6" s="11">
        <v>-1.1</v>
      </c>
      <c r="C6" s="11">
        <v>-2.59</v>
      </c>
      <c r="D6" s="11">
        <v>-5.49</v>
      </c>
      <c r="E6" s="9" t="s">
        <v>181</v>
      </c>
    </row>
    <row r="7" s="6" customFormat="1" ht="33.6" customHeight="1" spans="1:5">
      <c r="A7" s="9" t="s">
        <v>160</v>
      </c>
      <c r="B7" s="11">
        <v>-2</v>
      </c>
      <c r="C7" s="11">
        <v>-2.23</v>
      </c>
      <c r="D7" s="11" t="s">
        <v>182</v>
      </c>
      <c r="E7" s="9" t="s">
        <v>181</v>
      </c>
    </row>
    <row r="8" s="6" customFormat="1" ht="33.6" customHeight="1" spans="1:5">
      <c r="A8" s="9" t="s">
        <v>171</v>
      </c>
      <c r="B8" s="11">
        <v>-0.5</v>
      </c>
      <c r="C8" s="11">
        <v>-1.54</v>
      </c>
      <c r="D8" s="11" t="s">
        <v>182</v>
      </c>
      <c r="E8" s="9" t="s">
        <v>181</v>
      </c>
    </row>
    <row r="9" s="6" customFormat="1" ht="33.6" customHeight="1" spans="1:5">
      <c r="A9" s="9" t="s">
        <v>175</v>
      </c>
      <c r="B9" s="11">
        <v>-3.7</v>
      </c>
      <c r="C9" s="11">
        <v>-4.4</v>
      </c>
      <c r="D9" s="11" t="s">
        <v>182</v>
      </c>
      <c r="E9" s="9" t="s">
        <v>181</v>
      </c>
    </row>
    <row r="10" s="6" customFormat="1" ht="33.6" customHeight="1" spans="1:5">
      <c r="A10" s="9" t="s">
        <v>179</v>
      </c>
      <c r="B10" s="11">
        <v>-4.2</v>
      </c>
      <c r="C10" s="11">
        <v>-4.8</v>
      </c>
      <c r="D10" s="11" t="s">
        <v>182</v>
      </c>
      <c r="E10" s="9" t="s">
        <v>181</v>
      </c>
    </row>
  </sheetData>
  <pageMargins left="0.7" right="0.7" top="0.75" bottom="0.75" header="0.3" footer="0.3"/>
  <pageSetup paperSize="9" orientation="portrait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20"/>
  <sheetViews>
    <sheetView showGridLines="0" workbookViewId="0">
      <selection activeCell="G31" sqref="G31"/>
    </sheetView>
  </sheetViews>
  <sheetFormatPr defaultColWidth="8.88888888888889" defaultRowHeight="14.4" outlineLevelCol="3"/>
  <cols>
    <col min="1" max="1" width="8.88888888888889" style="1"/>
    <col min="2" max="2" width="64" style="1" customWidth="1"/>
    <col min="3" max="3" width="8.88888888888889" style="1"/>
    <col min="4" max="4" width="17.7777777777778" style="1" customWidth="1"/>
    <col min="5" max="16384" width="8.88888888888889" style="1"/>
  </cols>
  <sheetData>
    <row r="1" ht="24.6" customHeight="1" spans="1:4">
      <c r="A1" s="2" t="s">
        <v>183</v>
      </c>
      <c r="B1" s="2" t="s">
        <v>184</v>
      </c>
      <c r="C1" s="2" t="s">
        <v>185</v>
      </c>
      <c r="D1" s="2" t="s">
        <v>186</v>
      </c>
    </row>
    <row r="2" ht="72.6" hidden="1" customHeight="1" spans="1:4">
      <c r="A2" s="3">
        <v>1</v>
      </c>
      <c r="B2" s="4" t="s">
        <v>187</v>
      </c>
      <c r="C2" s="3" t="s">
        <v>188</v>
      </c>
      <c r="D2" s="3" t="s">
        <v>189</v>
      </c>
    </row>
    <row r="3" ht="72.6" hidden="1" customHeight="1" spans="1:4">
      <c r="A3" s="3">
        <v>2</v>
      </c>
      <c r="B3" s="4" t="s">
        <v>190</v>
      </c>
      <c r="C3" s="3" t="s">
        <v>188</v>
      </c>
      <c r="D3" s="3" t="s">
        <v>191</v>
      </c>
    </row>
    <row r="4" ht="72.6" hidden="1" customHeight="1" spans="1:4">
      <c r="A4" s="3">
        <v>3</v>
      </c>
      <c r="B4" s="4" t="s">
        <v>192</v>
      </c>
      <c r="C4" s="3" t="s">
        <v>188</v>
      </c>
      <c r="D4" s="3" t="s">
        <v>193</v>
      </c>
    </row>
    <row r="5" ht="72.6" hidden="1" customHeight="1" spans="1:4">
      <c r="A5" s="3">
        <v>4</v>
      </c>
      <c r="B5" s="5" t="s">
        <v>194</v>
      </c>
      <c r="C5" s="3" t="s">
        <v>188</v>
      </c>
      <c r="D5" s="3" t="s">
        <v>195</v>
      </c>
    </row>
    <row r="6" ht="72.6" hidden="1" customHeight="1" spans="1:4">
      <c r="A6" s="3">
        <v>5</v>
      </c>
      <c r="B6" s="4" t="s">
        <v>196</v>
      </c>
      <c r="C6" s="3" t="s">
        <v>188</v>
      </c>
      <c r="D6" s="3" t="s">
        <v>197</v>
      </c>
    </row>
    <row r="7" ht="72.6" hidden="1" customHeight="1" spans="1:4">
      <c r="A7" s="3">
        <v>6</v>
      </c>
      <c r="B7" s="4" t="s">
        <v>198</v>
      </c>
      <c r="C7" s="3" t="s">
        <v>188</v>
      </c>
      <c r="D7" s="3" t="s">
        <v>199</v>
      </c>
    </row>
    <row r="8" ht="72.6" hidden="1" customHeight="1" spans="1:4">
      <c r="A8" s="3">
        <v>7</v>
      </c>
      <c r="B8" s="4" t="s">
        <v>200</v>
      </c>
      <c r="C8" s="3" t="s">
        <v>188</v>
      </c>
      <c r="D8" s="3" t="s">
        <v>201</v>
      </c>
    </row>
    <row r="9" ht="72.6" hidden="1" customHeight="1" spans="1:4">
      <c r="A9" s="3">
        <v>8</v>
      </c>
      <c r="B9" s="4" t="s">
        <v>202</v>
      </c>
      <c r="C9" s="3" t="s">
        <v>188</v>
      </c>
      <c r="D9" s="3" t="s">
        <v>203</v>
      </c>
    </row>
    <row r="10" ht="72.6" hidden="1" customHeight="1" spans="1:4">
      <c r="A10" s="3">
        <v>9</v>
      </c>
      <c r="B10" s="4" t="s">
        <v>204</v>
      </c>
      <c r="C10" s="3" t="s">
        <v>188</v>
      </c>
      <c r="D10" s="3" t="s">
        <v>205</v>
      </c>
    </row>
    <row r="11" ht="72.6" hidden="1" customHeight="1" spans="1:4">
      <c r="A11" s="3">
        <v>10</v>
      </c>
      <c r="B11" s="4" t="s">
        <v>206</v>
      </c>
      <c r="C11" s="3" t="s">
        <v>188</v>
      </c>
      <c r="D11" s="3" t="s">
        <v>207</v>
      </c>
    </row>
    <row r="12" ht="72.6" hidden="1" customHeight="1" spans="1:4">
      <c r="A12" s="3">
        <v>11</v>
      </c>
      <c r="B12" s="4" t="s">
        <v>208</v>
      </c>
      <c r="C12" s="3" t="s">
        <v>188</v>
      </c>
      <c r="D12" s="3" t="s">
        <v>209</v>
      </c>
    </row>
    <row r="13" ht="72.6" hidden="1" customHeight="1" spans="1:4">
      <c r="A13" s="3">
        <v>12</v>
      </c>
      <c r="B13" s="4" t="s">
        <v>210</v>
      </c>
      <c r="C13" s="3" t="s">
        <v>188</v>
      </c>
      <c r="D13" s="3" t="s">
        <v>211</v>
      </c>
    </row>
    <row r="14" ht="92.4" hidden="1" customHeight="1" spans="1:4">
      <c r="A14" s="3">
        <v>13</v>
      </c>
      <c r="B14" s="4" t="s">
        <v>212</v>
      </c>
      <c r="C14" s="3" t="s">
        <v>188</v>
      </c>
      <c r="D14" s="3" t="s">
        <v>213</v>
      </c>
    </row>
    <row r="15" ht="92.4" hidden="1" customHeight="1" spans="1:4">
      <c r="A15" s="3">
        <v>14</v>
      </c>
      <c r="B15" s="4" t="s">
        <v>214</v>
      </c>
      <c r="C15" s="3" t="s">
        <v>188</v>
      </c>
      <c r="D15" s="3" t="s">
        <v>215</v>
      </c>
    </row>
    <row r="16" ht="165" hidden="1" customHeight="1" spans="1:4">
      <c r="A16" s="3">
        <v>15</v>
      </c>
      <c r="B16" s="4" t="s">
        <v>216</v>
      </c>
      <c r="C16" s="3" t="s">
        <v>188</v>
      </c>
      <c r="D16" s="3" t="s">
        <v>217</v>
      </c>
    </row>
    <row r="17" ht="117.6" hidden="1" customHeight="1" spans="1:4">
      <c r="A17" s="3">
        <v>16</v>
      </c>
      <c r="B17" s="4" t="s">
        <v>218</v>
      </c>
      <c r="C17" s="3" t="s">
        <v>188</v>
      </c>
      <c r="D17" s="3" t="s">
        <v>219</v>
      </c>
    </row>
    <row r="18" ht="101.4" hidden="1" customHeight="1" spans="1:4">
      <c r="A18" s="3">
        <v>17</v>
      </c>
      <c r="B18" s="4" t="s">
        <v>220</v>
      </c>
      <c r="C18" s="3" t="s">
        <v>188</v>
      </c>
      <c r="D18" s="3" t="s">
        <v>221</v>
      </c>
    </row>
    <row r="19" ht="101.4" hidden="1" customHeight="1" spans="1:4">
      <c r="A19" s="3">
        <v>18</v>
      </c>
      <c r="B19" s="4" t="s">
        <v>222</v>
      </c>
      <c r="C19" s="3" t="s">
        <v>188</v>
      </c>
      <c r="D19" s="3" t="s">
        <v>223</v>
      </c>
    </row>
    <row r="20" ht="101.4" customHeight="1" spans="1:4">
      <c r="A20" s="3">
        <v>19</v>
      </c>
      <c r="B20" s="4" t="s">
        <v>224</v>
      </c>
      <c r="C20" s="3" t="s">
        <v>188</v>
      </c>
      <c r="D20" s="3" t="s">
        <v>225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NT10-72GDF</vt:lpstr>
      <vt:lpstr>NT10-78GDF</vt:lpstr>
      <vt:lpstr>NT12R-66GDF</vt:lpstr>
      <vt:lpstr>NT12R-66GDF (2.0)</vt:lpstr>
      <vt:lpstr>NT12-66GDF</vt:lpstr>
      <vt:lpstr>NT12R-78GDF </vt:lpstr>
      <vt:lpstr>NT12R-48GDF</vt:lpstr>
      <vt:lpstr>NT12R-48BGDF</vt:lpstr>
      <vt:lpstr>NT12R-54GDF</vt:lpstr>
      <vt:lpstr>NT12R-54BGDF</vt:lpstr>
      <vt:lpstr>标板基准</vt:lpstr>
      <vt:lpstr>更改履历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静水流深</dc:creator>
  <cp:lastModifiedBy>唐松</cp:lastModifiedBy>
  <dcterms:created xsi:type="dcterms:W3CDTF">2015-06-05T18:19:00Z</dcterms:created>
  <dcterms:modified xsi:type="dcterms:W3CDTF">2026-05-07T09:12:12Z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0639F903128148BDB830127F97A8D182_13</vt:lpwstr>
  </property>
  <property fmtid="{D5CDD505-2E9C-101B-9397-08002B2CF9AE}" pid="3" name="KSOProductBuildVer">
    <vt:lpwstr>2052-12.1.0.21541</vt:lpwstr>
  </property>
  <property fmtid="{D5CDD505-2E9C-101B-9397-08002B2CF9AE}" pid="4" name="CalculationRule">
    <vt:i4>0</vt:i4>
  </property>
</Properties>
</file>