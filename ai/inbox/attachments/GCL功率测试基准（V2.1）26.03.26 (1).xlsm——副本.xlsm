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Height="15500" tabRatio="847"/>
  </bookViews>
  <sheets>
    <sheet name="NT10-72GDF" sheetId="27" r:id="rId1"/>
    <sheet name="NT10-78GDF" sheetId="28" r:id="rId2"/>
    <sheet name="NT12R-66GDF" sheetId="29" r:id="rId3"/>
    <sheet name="NT12R-66GDF (2.0)" sheetId="48" r:id="rId4"/>
    <sheet name="NT12-66GDF" sheetId="30" r:id="rId5"/>
    <sheet name="NT12R-78GDF " sheetId="45" r:id="rId6"/>
    <sheet name="NT12R-48GDF" sheetId="38" r:id="rId7"/>
    <sheet name="NT12R-48BGDF" sheetId="39" r:id="rId8"/>
    <sheet name="NT12R-54GDF" sheetId="46" r:id="rId9"/>
    <sheet name="NT12R-54BGDF" sheetId="47" r:id="rId10"/>
    <sheet name="标板基准" sheetId="44" r:id="rId11"/>
    <sheet name="更改履历" sheetId="43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<sst xmlns="http://schemas.openxmlformats.org/spreadsheetml/2006/main" count="1293" uniqueCount="222">
  <si>
    <t>NT10-72GDF功率预测模型：</t>
  </si>
  <si>
    <t>25.4%功率初值</t>
  </si>
  <si>
    <t>I36</t>
  </si>
  <si>
    <r>
      <rPr>
        <b/>
        <sz val="12"/>
        <color theme="1"/>
        <rFont val="微软雅黑"/>
        <charset val="134"/>
      </rPr>
      <t>此行为基准宏引用数据，请勿修改</t>
    </r>
  </si>
  <si>
    <t>焊带选型</t>
  </si>
  <si>
    <t>规格4</t>
  </si>
  <si>
    <t>规格5</t>
  </si>
  <si>
    <t>规格6</t>
  </si>
  <si>
    <t>规格7</t>
  </si>
  <si>
    <t>规格8</t>
  </si>
  <si>
    <t>规格9</t>
  </si>
  <si>
    <t>规格10</t>
  </si>
  <si>
    <t>规格11</t>
  </si>
  <si>
    <t>规格12</t>
  </si>
  <si>
    <t>规格13</t>
  </si>
  <si>
    <t>玻璃选型</t>
  </si>
  <si>
    <t>单镀+镀釉</t>
  </si>
  <si>
    <t>单镀+间隙铝膜</t>
  </si>
  <si>
    <t>双镀+镀釉</t>
  </si>
  <si>
    <t>双镀+间隙铝膜</t>
  </si>
  <si>
    <t>单镀+非镀釉</t>
  </si>
  <si>
    <t>双镀+非镀釉</t>
  </si>
  <si>
    <t>技术7</t>
  </si>
  <si>
    <t>技术8</t>
  </si>
  <si>
    <t>技术9</t>
  </si>
  <si>
    <t>技术10</t>
  </si>
  <si>
    <t>技术11</t>
  </si>
  <si>
    <t>技术12</t>
  </si>
  <si>
    <t>技术13</t>
  </si>
  <si>
    <t>电池厂家</t>
  </si>
  <si>
    <t>芜湖</t>
  </si>
  <si>
    <t>弘元</t>
  </si>
  <si>
    <t>英发</t>
  </si>
  <si>
    <t>润阳</t>
  </si>
  <si>
    <t>和光同程</t>
  </si>
  <si>
    <t>中润</t>
  </si>
  <si>
    <t>通威</t>
  </si>
  <si>
    <t>赛福天</t>
  </si>
  <si>
    <t>卓耀</t>
  </si>
  <si>
    <t>爱旭</t>
  </si>
  <si>
    <t>厂家11</t>
  </si>
  <si>
    <t>厂家12</t>
  </si>
  <si>
    <t>厂家13</t>
  </si>
  <si>
    <t>电池尺寸</t>
  </si>
  <si>
    <t>182.2*183.75-256</t>
  </si>
  <si>
    <t>182.2*183.75-247</t>
  </si>
  <si>
    <t>规格3</t>
  </si>
  <si>
    <t>面积</t>
  </si>
  <si>
    <t>标准差</t>
  </si>
  <si>
    <t>线缆长度</t>
  </si>
  <si>
    <t>+300/-200mm（4mm²）</t>
  </si>
  <si>
    <t>+400/-200mm（4mm²）</t>
  </si>
  <si>
    <t>+1200/-1200mm（4mm²）</t>
  </si>
  <si>
    <t>+1400/-1400mm（4mm²）</t>
  </si>
  <si>
    <t>+300/-200mm（6mm²）</t>
  </si>
  <si>
    <t>+400/-200mm（6mm²）</t>
  </si>
  <si>
    <t>+1200/-1200mm（6mm²）</t>
  </si>
  <si>
    <t>+1400/-1400mm（6mm²）</t>
  </si>
  <si>
    <t>汇流条</t>
  </si>
  <si>
    <t>6*0.3+4*0.25反光</t>
  </si>
  <si>
    <t>6*0.3+4*0.3反光</t>
  </si>
  <si>
    <t>6*0.35+4*0.3反光</t>
  </si>
  <si>
    <t>6*0.35+4*0.35反光</t>
  </si>
  <si>
    <t>6*0.4+4*0.35反光</t>
  </si>
  <si>
    <t>4*0.4+4*0.3反光</t>
  </si>
  <si>
    <t>4*0.4+4*0.35反光</t>
  </si>
  <si>
    <t>汇流条8</t>
  </si>
  <si>
    <t>汇流条9</t>
  </si>
  <si>
    <t>汇流条10</t>
  </si>
  <si>
    <t>汇流条11</t>
  </si>
  <si>
    <t>汇流条12</t>
  </si>
  <si>
    <t>汇流条13</t>
  </si>
  <si>
    <t>电池工艺</t>
  </si>
  <si>
    <t>标板基准</t>
  </si>
  <si>
    <t>新北德</t>
  </si>
  <si>
    <t>莱茵基准</t>
  </si>
  <si>
    <t>中国计量院</t>
  </si>
  <si>
    <t>基准4</t>
  </si>
  <si>
    <t>基准5</t>
  </si>
  <si>
    <t>基准6</t>
  </si>
  <si>
    <t>基准7</t>
  </si>
  <si>
    <t>基准8</t>
  </si>
  <si>
    <t>基准9</t>
  </si>
  <si>
    <t>基准10</t>
  </si>
  <si>
    <t>基准11</t>
  </si>
  <si>
    <t>基准12</t>
  </si>
  <si>
    <t>基准13</t>
  </si>
  <si>
    <t>版型</t>
  </si>
  <si>
    <t>类型</t>
  </si>
  <si>
    <t>电池效率</t>
  </si>
  <si>
    <t>投产比例</t>
  </si>
  <si>
    <t>单片功率</t>
  </si>
  <si>
    <t>理论功率</t>
  </si>
  <si>
    <t>CTM值</t>
  </si>
  <si>
    <t>实际功率</t>
  </si>
  <si>
    <t>参考数量</t>
  </si>
  <si>
    <t>核验</t>
  </si>
  <si>
    <t>NT10-72GDF</t>
  </si>
  <si>
    <t>双玻</t>
  </si>
  <si>
    <t>固定行宏数据</t>
  </si>
  <si>
    <t>累计产出</t>
  </si>
  <si>
    <t>电池产出分布</t>
  </si>
  <si>
    <t>NT10-78GDF功率预测模型：</t>
  </si>
  <si>
    <t>仕净</t>
  </si>
  <si>
    <t>182.2*183.75</t>
  </si>
  <si>
    <t>影响因子2</t>
  </si>
  <si>
    <t>NT10-78GDF</t>
  </si>
  <si>
    <t>NT12R-66GDF功率预测模型：</t>
  </si>
  <si>
    <t>超高透+间隙铝膜</t>
  </si>
  <si>
    <t>超高透+镀釉</t>
  </si>
  <si>
    <t>新霖飞</t>
  </si>
  <si>
    <t>日月新能</t>
  </si>
  <si>
    <t>捷泰</t>
  </si>
  <si>
    <t>中环低碳</t>
  </si>
  <si>
    <t>润马</t>
  </si>
  <si>
    <t>182.3*210</t>
  </si>
  <si>
    <t>规格2</t>
  </si>
  <si>
    <t>1000线长</t>
  </si>
  <si>
    <t>NT12R-66GDF</t>
  </si>
  <si>
    <t>NT12R-66GDF（2.0）功率预测模型：</t>
  </si>
  <si>
    <t>26.2%功率初值</t>
  </si>
  <si>
    <t>此预测应用于半片钝化电池</t>
  </si>
  <si>
    <t>技术4</t>
  </si>
  <si>
    <t>技术5</t>
  </si>
  <si>
    <t>技术6</t>
  </si>
  <si>
    <t>芜湖（80mg）</t>
  </si>
  <si>
    <t>芜湖（105mg）</t>
  </si>
  <si>
    <t>芜湖（125mg）</t>
  </si>
  <si>
    <t>厂家6</t>
  </si>
  <si>
    <t>厂家7</t>
  </si>
  <si>
    <t>厂家8</t>
  </si>
  <si>
    <t>厂家9</t>
  </si>
  <si>
    <t>厂家10</t>
  </si>
  <si>
    <t>半片钝化</t>
  </si>
  <si>
    <t>LECO</t>
  </si>
  <si>
    <t>NT12R-66GDF(2.0)</t>
  </si>
  <si>
    <t>NT12-66GDF功率预测模型：</t>
  </si>
  <si>
    <t>时创</t>
  </si>
  <si>
    <t>鸿禧</t>
  </si>
  <si>
    <t>210*210</t>
  </si>
  <si>
    <t>NT12-66GDF</t>
  </si>
  <si>
    <t>NT12R-78GDF功率预测模型：</t>
  </si>
  <si>
    <t>双镀+间隙贴膜</t>
  </si>
  <si>
    <t>厂家2</t>
  </si>
  <si>
    <t>厂家3</t>
  </si>
  <si>
    <t>厂家4</t>
  </si>
  <si>
    <t>厂家5</t>
  </si>
  <si>
    <t>210*182.3</t>
  </si>
  <si>
    <t>TCI</t>
  </si>
  <si>
    <t>默认选LECO</t>
  </si>
  <si>
    <t>NT12R-78GDF</t>
  </si>
  <si>
    <t>NT12R-48GDF功率预测模型：</t>
  </si>
  <si>
    <t>26.0%功率初值</t>
  </si>
  <si>
    <t>规格1</t>
  </si>
  <si>
    <t>双镀+白色EVA</t>
  </si>
  <si>
    <t>技术2</t>
  </si>
  <si>
    <t>技术3</t>
  </si>
  <si>
    <t>注意双镀+白色EVA为单面双玻组件，双面双玻组件默认选择“双镀+镀釉”</t>
  </si>
  <si>
    <t>汇流条7</t>
  </si>
  <si>
    <t>基准2</t>
  </si>
  <si>
    <t>基准3</t>
  </si>
  <si>
    <t>NT12R-48GDF</t>
  </si>
  <si>
    <t>NT12R-48BGDF功率预测模型：</t>
  </si>
  <si>
    <t>双镀+黑膜+非镀釉</t>
  </si>
  <si>
    <t>双镀+黑镀釉</t>
  </si>
  <si>
    <t>超高透+黑镀釉</t>
  </si>
  <si>
    <t>6*0.3+4*0.3黑色</t>
  </si>
  <si>
    <t>6*0.4+4*0.4黑色</t>
  </si>
  <si>
    <t>汇流条2</t>
  </si>
  <si>
    <t>汇流条3</t>
  </si>
  <si>
    <t>汇流条4</t>
  </si>
  <si>
    <t>汇流条5</t>
  </si>
  <si>
    <t>汇流条6</t>
  </si>
  <si>
    <t>NT12R-48BGDF</t>
  </si>
  <si>
    <t>NT12R-54GDF功率预测模型：</t>
  </si>
  <si>
    <t>单镀+镀釉（估算）</t>
  </si>
  <si>
    <t>6*0.3+4*0.3常规</t>
  </si>
  <si>
    <t>NT12R-54GDF</t>
  </si>
  <si>
    <t>NT12R-54BGDF功率预测模型：</t>
  </si>
  <si>
    <t>技术1</t>
  </si>
  <si>
    <t>汇流条1</t>
  </si>
  <si>
    <t>NT12R-54BGDF</t>
  </si>
  <si>
    <t>/</t>
  </si>
  <si>
    <t>序号</t>
  </si>
  <si>
    <t>更改履历</t>
  </si>
  <si>
    <t>修订人</t>
  </si>
  <si>
    <t>日期</t>
  </si>
  <si>
    <t>1、预测模型更新，拆分玻璃选型数据，增加汇流条功率影响因子；
2、更新NT12-66GDF 时创半片钝化、弘元测试数据；
3、更新N型组件中国计量院基准；
4、更新NT10-72GDF 和光同程、爱旭测试数据；</t>
  </si>
  <si>
    <t>唐松</t>
  </si>
  <si>
    <t>2024.10.28</t>
  </si>
  <si>
    <t>1、更新NT12R-66GDF捷泰、中润、捷泰半片钝化测试基准；
2、新增NT12R-48GDF、NT12R-48BGDF功率测试基准；
3、根据CTM对标结果，更新NT10-72GDF 和光同程、弘元、英发数据；
4、更新NT12-66GDF 弘元、爱旭数据；
5、210RN预测数据中，通威为让档前基准；</t>
  </si>
  <si>
    <t>2024.12.30</t>
  </si>
  <si>
    <t>1、根据季度对标数据，更新NT12-66GDF 爱旭、英发、通威、中润数据；
2、新增NT12R-78GDF 功率测试基准；
3、根据计量基准板测试数据，更新NT10-78GDF版型功率初值；</t>
  </si>
  <si>
    <t>2025.02.18</t>
  </si>
  <si>
    <t>1、新增NT12R-54GDF、NT12R-54BGDF数据；
2、更新NT12-66GDF 鸿禧数据；</t>
  </si>
  <si>
    <t>2025.03.10</t>
  </si>
  <si>
    <t>1、新增NT120-78GDF 弘元、英发、和光同程数据；
2、更新NT12-66GDF 弘元数据；
3、增加NT10-72/78GDF、NT12/12R-66GDF 莱茵基准；
4、新增NT10-72/78GDF仕净数据、NT12R-66GDF正奇数据；</t>
  </si>
  <si>
    <t>2025.03.28</t>
  </si>
  <si>
    <t>1、根据研发实测数据，更新NT12R-48GDF基准值，上调3W；
2、调整NT10-72GDF、NT12R-66GDF、NT12-66GDF基准值，整体数据未变更（电池厂家均为增益数据，调整中心值）；
3、更新NT10-72GDF/78GDF英发数据；
4、更新NT12-66GDF 中润、时创半片钝化、爱旭数据；</t>
  </si>
  <si>
    <t>2025.04.16</t>
  </si>
  <si>
    <t>1、更新NT10-72GDF、NT10-78GDF、NT12R-66GDF、NT12-66GDF电池数据，如表格中蓝色加粗字体；
2、更新上述版型基准值，按照25.4%效率作为基准；
3、根据研发测试数据，更新NT12R-48BGDF、NT12R-78GDF数据；</t>
  </si>
  <si>
    <t>2025.05.28</t>
  </si>
  <si>
    <t>1、新增NT12R-66GDF 润阳/中环低碳/弘元/通威/捷泰数据；
2、更新NT12-66GDF 时创/爱旭/弘元/通威数据；
3、根据订单量产数据，更新NT12R-48GDF/BGDF、NT12R-54GDF/BGDF数据；</t>
  </si>
  <si>
    <t>2025.06.30</t>
  </si>
  <si>
    <t>1、更新NT12-66GDF 时创、鸿禧、捷泰、英发数据；
2、更新NT10-72GDF卓耀数据；
3、更新芜湖NT12R-66GDF数据，≥25.5%按照“2”、≤25.4%按照“0”；
4、新增NT12-66GDF 新霖飞、芜湖数据；</t>
  </si>
  <si>
    <t>2025.08.01</t>
  </si>
  <si>
    <t>1、新增NT10-78GDF 中润、赛福天数据，更新英发、通威数据；
2、更新NT12-66GDF 弘元、芜湖数据；
3、根据NT10-78GDF中润、英发、赛福天、通威数据，推算更新NT10-72GDF数据；
4、更新NT12-66GDF 爱旭数据；</t>
  </si>
  <si>
    <t>2025.08.26</t>
  </si>
  <si>
    <t>1、测试基准变更为2025年北德、莱茵、计量院基准；
2、更新NT10-72/78GDF 爱旭数据；
3、新增topcon2.0 NT12R-66GDF数据；</t>
  </si>
  <si>
    <t>2025.09.18</t>
  </si>
  <si>
    <t>1、更新NT-54BGDF 芜湖数据；
2、更新NT10-72GDF卓耀数据；
3、根据640项目数据，更新NT12R-66GDF(2.0)数据及初始效率值；</t>
  </si>
  <si>
    <t>2025.10.27</t>
  </si>
  <si>
    <t>1、更新NT12-66GDF 爱旭数据；
2、根据产线、计量复核结果，修改NT10-72GDF英发、芜湖数据，推算NT10-78GDF；</t>
  </si>
  <si>
    <t>2025.12.12</t>
  </si>
  <si>
    <t>1、更新NT12R-78GDF，26年莱茵基准、中国计量院基准；
2、更新NT10-72GDF、NT12-66GDF 芜湖数据；
3、更新NT12R-66GDF、NT12-66GDF通威数据；
4、新增NT12R-48GDF、NT12R-54GDF、NT12R-54BGDF 新北德基准；
5、更新所有版型线缆、汇流条功率影响数据；</t>
  </si>
  <si>
    <t>2026.01.21</t>
  </si>
  <si>
    <r>
      <rPr>
        <sz val="11"/>
        <color theme="1"/>
        <rFont val="黑体"/>
        <charset val="134"/>
      </rPr>
      <t>1、更新NT12R-48BGDF、NT12R-54GDF、NT12R-54BGDF基准，这3个版型，根据标板组反馈，北德基准均已到期；
2、因芜湖电池功率问题及后续执行让档事宜，</t>
    </r>
    <r>
      <rPr>
        <sz val="11"/>
        <color rgb="FFFF0000"/>
        <rFont val="黑体"/>
        <charset val="134"/>
      </rPr>
      <t>接单产出分布</t>
    </r>
    <r>
      <rPr>
        <sz val="11"/>
        <color theme="1"/>
        <rFont val="黑体"/>
        <charset val="134"/>
      </rPr>
      <t>：
① 210RN 1.0电池库存“让档前”电池按照“-1.5”执行，效率产出分布参照附件1；
② 210RN 2.0电池按照“0”执行，效率产出分布参照附件1；
3、210RN竖切参照“不让档”数据（附件3）、芜湖183N和210N参照（附件2）；
4、外购电池效率产出分布参照附件4；</t>
    </r>
  </si>
  <si>
    <t>2026.02.02</t>
  </si>
  <si>
    <t>1、更新NT12R-66GDF芜湖数据，根据会议纪要一致意见，赋值由“2”更改为“3.5”；
2、更新NT12R-66GDF(2.0)电池数据；
3、增加NT12R-48GDF 新北德基准；</t>
  </si>
  <si>
    <t>2026.03.01</t>
  </si>
  <si>
    <t>1、更新NT12R-78GDF 新北德基准，相对原北德下调4.1W（原北德已过期）；
2、更新NT12-66GDF 弘元数据，预测由-1.9调整为1.5；
3、更新NT12R-48BGDF 基准值数据、新增英发数据；
4、新增NT12R-66GDF(2.0)英发、通威数据；
5、电池产出更新为4月份数据；</t>
  </si>
  <si>
    <t>2026.03.26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</si>
</sst>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8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"/>
    <numFmt numFmtId="177" formatCode="0_);[Red]\(0\)"/>
    <numFmt numFmtId="178" formatCode="0.0%"/>
    <numFmt numFmtId="179" formatCode="0.000%"/>
  </numFmts>
  <fonts count="44">
    <font>
      <sz val="11"/>
      <color theme="1"/>
      <name val="等线"/>
      <charset val="134"/>
      <scheme val="minor"/>
    </font>
    <font>
      <sz val="11"/>
      <color theme="1"/>
      <name val="黑体"/>
      <charset val="134"/>
    </font>
    <font>
      <b/>
      <sz val="11"/>
      <color theme="1"/>
      <name val="黑体"/>
      <charset val="134"/>
    </font>
    <font>
      <b/>
      <sz val="9"/>
      <color theme="1"/>
      <name val="黑体"/>
      <charset val="134"/>
    </font>
    <font>
      <b/>
      <sz val="8"/>
      <color theme="1"/>
      <name val="微软雅黑"/>
      <charset val="134"/>
    </font>
    <font>
      <sz val="9"/>
      <color theme="1"/>
      <name val="黑体"/>
      <charset val="134"/>
    </font>
    <font>
      <sz val="8"/>
      <color theme="1"/>
      <name val="微软雅黑"/>
      <charset val="134"/>
    </font>
    <font>
      <sz val="12"/>
      <color theme="1"/>
      <name val="微软雅黑"/>
      <charset val="134"/>
    </font>
    <font>
      <b/>
      <sz val="8"/>
      <color rgb="FFFF0000"/>
      <name val="微软雅黑"/>
      <charset val="134"/>
    </font>
    <font>
      <sz val="9"/>
      <color theme="1"/>
      <name val="微软雅黑"/>
      <charset val="134"/>
    </font>
    <font>
      <b/>
      <i/>
      <u/>
      <sz val="16"/>
      <color theme="0"/>
      <name val="微软雅黑"/>
      <charset val="134"/>
    </font>
    <font>
      <b/>
      <sz val="12"/>
      <color theme="1"/>
      <name val="微软雅黑"/>
      <charset val="134"/>
    </font>
    <font>
      <sz val="8"/>
      <name val="微软雅黑"/>
      <charset val="134"/>
    </font>
    <font>
      <sz val="9"/>
      <color rgb="FFFF0000"/>
      <name val="微软雅黑"/>
      <charset val="134"/>
    </font>
    <font>
      <sz val="11"/>
      <color theme="1"/>
      <name val="微软雅黑"/>
      <charset val="134"/>
    </font>
    <font>
      <sz val="10"/>
      <color theme="1"/>
      <name val="微软雅黑"/>
      <charset val="134"/>
    </font>
    <font>
      <b/>
      <sz val="10"/>
      <color theme="1"/>
      <name val="微软雅黑"/>
      <charset val="134"/>
    </font>
    <font>
      <sz val="8"/>
      <color rgb="FFFF0000"/>
      <name val="微软雅黑"/>
      <charset val="134"/>
    </font>
    <font>
      <b/>
      <sz val="12"/>
      <color rgb="FFFF0000"/>
      <name val="微软雅黑"/>
      <charset val="134"/>
    </font>
    <font>
      <sz val="10"/>
      <color rgb="FFFF0000"/>
      <name val="微软雅黑"/>
      <charset val="134"/>
    </font>
    <font>
      <b/>
      <sz val="8"/>
      <color rgb="FF0070C0"/>
      <name val="微软雅黑"/>
      <charset val="134"/>
    </font>
    <font>
      <b/>
      <sz val="8"/>
      <color theme="8"/>
      <name val="微软雅黑"/>
      <charset val="134"/>
    </font>
    <font>
      <b/>
      <sz val="9"/>
      <color rgb="FFFF0000"/>
      <name val="微软雅黑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2"/>
      <name val="宋体"/>
      <charset val="134"/>
    </font>
    <font>
      <sz val="11"/>
      <color rgb="FFFF0000"/>
      <name val="黑体"/>
      <charset val="134"/>
    </font>
  </fonts>
  <fills count="46">
    <fill>
      <patternFill patternType="none"/>
    </fill>
    <fill>
      <patternFill patternType="gray125"/>
    </fill>
    <fill>
      <patternFill patternType="solid">
        <fgColor theme="8" tint="0.79995117038483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9" tint="0.399914548173467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70702230903"/>
        <bgColor theme="4" tint="0.79970702230903"/>
      </patternFill>
    </fill>
    <fill>
      <patternFill patternType="solid">
        <fgColor theme="4" tint="0.799676503799554"/>
        <bgColor theme="4" tint="0.79967650379955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737540818506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70091860713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17" borderId="7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8" applyNumberFormat="0" applyFill="0" applyAlignment="0" applyProtection="0">
      <alignment vertical="center"/>
    </xf>
    <xf numFmtId="0" fontId="29" fillId="0" borderId="8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18" borderId="10" applyNumberFormat="0" applyAlignment="0" applyProtection="0">
      <alignment vertical="center"/>
    </xf>
    <xf numFmtId="0" fontId="32" fillId="19" borderId="11" applyNumberFormat="0" applyAlignment="0" applyProtection="0">
      <alignment vertical="center"/>
    </xf>
    <xf numFmtId="0" fontId="33" fillId="19" borderId="10" applyNumberFormat="0" applyAlignment="0" applyProtection="0">
      <alignment vertical="center"/>
    </xf>
    <xf numFmtId="0" fontId="34" fillId="20" borderId="12" applyNumberFormat="0" applyAlignment="0" applyProtection="0">
      <alignment vertical="center"/>
    </xf>
    <xf numFmtId="0" fontId="35" fillId="0" borderId="13" applyNumberFormat="0" applyFill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9" fillId="23" borderId="0" applyNumberFormat="0" applyBorder="0" applyAlignment="0" applyProtection="0">
      <alignment vertical="center"/>
    </xf>
    <xf numFmtId="0" fontId="40" fillId="24" borderId="0" applyNumberFormat="0" applyBorder="0" applyAlignment="0" applyProtection="0">
      <alignment vertical="center"/>
    </xf>
    <xf numFmtId="0" fontId="41" fillId="25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41" fillId="29" borderId="0" applyNumberFormat="0" applyBorder="0" applyAlignment="0" applyProtection="0">
      <alignment vertical="center"/>
    </xf>
    <xf numFmtId="0" fontId="41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4" borderId="0" applyNumberFormat="0" applyBorder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1" fillId="37" borderId="0" applyNumberFormat="0" applyBorder="0" applyAlignment="0" applyProtection="0">
      <alignment vertical="center"/>
    </xf>
    <xf numFmtId="0" fontId="41" fillId="38" borderId="0" applyNumberFormat="0" applyBorder="0" applyAlignment="0" applyProtection="0">
      <alignment vertical="center"/>
    </xf>
    <xf numFmtId="0" fontId="40" fillId="39" borderId="0" applyNumberFormat="0" applyBorder="0" applyAlignment="0" applyProtection="0">
      <alignment vertical="center"/>
    </xf>
    <xf numFmtId="0" fontId="40" fillId="40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2" borderId="0" applyNumberFormat="0" applyBorder="0" applyAlignment="0" applyProtection="0">
      <alignment vertical="center"/>
    </xf>
    <xf numFmtId="0" fontId="40" fillId="43" borderId="0" applyNumberFormat="0" applyBorder="0" applyAlignment="0" applyProtection="0">
      <alignment vertical="center"/>
    </xf>
    <xf numFmtId="0" fontId="40" fillId="44" borderId="0" applyNumberFormat="0" applyBorder="0" applyAlignment="0" applyProtection="0">
      <alignment vertical="center"/>
    </xf>
    <xf numFmtId="0" fontId="41" fillId="45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2" fillId="0" borderId="0">
      <alignment vertical="center"/>
    </xf>
    <xf numFmtId="0" fontId="0" fillId="0" borderId="0"/>
  </cellStyleXfs>
  <cellXfs count="167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3" borderId="0" xfId="0" applyFont="1" applyFill="1" applyAlignment="1">
      <alignment horizontal="left" vertical="center" wrapText="1"/>
    </xf>
    <xf numFmtId="0" fontId="11" fillId="3" borderId="0" xfId="0" applyFont="1" applyFill="1" applyAlignment="1">
      <alignment horizontal="center" vertical="center" wrapText="1"/>
    </xf>
    <xf numFmtId="0" fontId="11" fillId="4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2" fontId="9" fillId="0" borderId="0" xfId="0" applyNumberFormat="1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vertical="center" wrapText="1"/>
    </xf>
    <xf numFmtId="0" fontId="6" fillId="0" borderId="0" xfId="0" applyFont="1" applyFill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0" fontId="6" fillId="0" borderId="1" xfId="3" applyNumberFormat="1" applyFont="1" applyFill="1" applyBorder="1" applyAlignment="1">
      <alignment horizontal="center" vertical="center"/>
    </xf>
    <xf numFmtId="0" fontId="12" fillId="0" borderId="1" xfId="3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horizontal="left" vertical="center" wrapText="1"/>
    </xf>
    <xf numFmtId="0" fontId="12" fillId="0" borderId="1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center" vertical="center" wrapText="1"/>
    </xf>
    <xf numFmtId="49" fontId="6" fillId="5" borderId="1" xfId="0" applyNumberFormat="1" applyFont="1" applyFill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 wrapText="1"/>
    </xf>
    <xf numFmtId="0" fontId="7" fillId="0" borderId="4" xfId="0" applyFont="1" applyFill="1" applyBorder="1" applyAlignment="1">
      <alignment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177" fontId="4" fillId="9" borderId="1" xfId="0" applyNumberFormat="1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0" fontId="6" fillId="10" borderId="1" xfId="0" applyNumberFormat="1" applyFont="1" applyFill="1" applyBorder="1" applyAlignment="1">
      <alignment horizontal="center" vertical="center"/>
    </xf>
    <xf numFmtId="9" fontId="14" fillId="0" borderId="1" xfId="3" applyFont="1" applyFill="1" applyBorder="1" applyAlignment="1">
      <alignment horizontal="center" vertical="center"/>
    </xf>
    <xf numFmtId="1" fontId="6" fillId="10" borderId="1" xfId="0" applyNumberFormat="1" applyFont="1" applyFill="1" applyBorder="1" applyAlignment="1">
      <alignment horizontal="center" vertical="center"/>
    </xf>
    <xf numFmtId="2" fontId="6" fillId="10" borderId="1" xfId="0" applyNumberFormat="1" applyFont="1" applyFill="1" applyBorder="1" applyAlignment="1">
      <alignment horizontal="center" vertical="center"/>
    </xf>
    <xf numFmtId="10" fontId="6" fillId="10" borderId="1" xfId="3" applyNumberFormat="1" applyFont="1" applyFill="1" applyBorder="1" applyAlignment="1">
      <alignment horizontal="center" vertical="center"/>
    </xf>
    <xf numFmtId="2" fontId="6" fillId="11" borderId="1" xfId="0" applyNumberFormat="1" applyFont="1" applyFill="1" applyBorder="1" applyAlignment="1">
      <alignment horizontal="center" vertical="center"/>
    </xf>
    <xf numFmtId="9" fontId="6" fillId="10" borderId="1" xfId="3" applyFont="1" applyFill="1" applyBorder="1" applyAlignment="1">
      <alignment horizontal="center" vertical="center"/>
    </xf>
    <xf numFmtId="9" fontId="6" fillId="0" borderId="1" xfId="3" applyFont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0" fontId="4" fillId="10" borderId="1" xfId="0" applyFont="1" applyFill="1" applyBorder="1" applyAlignment="1">
      <alignment horizontal="left" vertical="center" wrapText="1"/>
    </xf>
    <xf numFmtId="9" fontId="15" fillId="0" borderId="1" xfId="3" applyFont="1" applyFill="1" applyBorder="1" applyAlignment="1">
      <alignment horizontal="center" vertical="center"/>
    </xf>
    <xf numFmtId="9" fontId="14" fillId="0" borderId="1" xfId="3" applyFont="1" applyBorder="1" applyAlignment="1">
      <alignment horizontal="center"/>
    </xf>
    <xf numFmtId="2" fontId="6" fillId="12" borderId="1" xfId="0" applyNumberFormat="1" applyFont="1" applyFill="1" applyBorder="1" applyAlignment="1">
      <alignment horizontal="center" vertical="center"/>
    </xf>
    <xf numFmtId="9" fontId="6" fillId="13" borderId="1" xfId="3" applyFont="1" applyFill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0" fontId="6" fillId="0" borderId="1" xfId="3" applyNumberFormat="1" applyFont="1" applyFill="1" applyBorder="1" applyAlignment="1">
      <alignment horizontal="center" vertical="center"/>
    </xf>
    <xf numFmtId="1" fontId="6" fillId="12" borderId="1" xfId="0" applyNumberFormat="1" applyFont="1" applyFill="1" applyBorder="1" applyAlignment="1">
      <alignment horizontal="center" vertical="center"/>
    </xf>
    <xf numFmtId="9" fontId="6" fillId="0" borderId="1" xfId="3" applyFont="1" applyFill="1" applyBorder="1" applyAlignment="1">
      <alignment horizontal="center" vertical="center"/>
    </xf>
    <xf numFmtId="178" fontId="15" fillId="0" borderId="1" xfId="3" applyNumberFormat="1" applyFont="1" applyBorder="1" applyAlignment="1">
      <alignment horizontal="center" vertical="center"/>
    </xf>
    <xf numFmtId="1" fontId="6" fillId="11" borderId="1" xfId="0" applyNumberFormat="1" applyFont="1" applyFill="1" applyBorder="1" applyAlignment="1">
      <alignment horizontal="center" vertical="center"/>
    </xf>
    <xf numFmtId="9" fontId="15" fillId="0" borderId="1" xfId="3" applyFont="1" applyBorder="1" applyAlignment="1">
      <alignment horizontal="center" vertical="center"/>
    </xf>
    <xf numFmtId="2" fontId="6" fillId="11" borderId="1" xfId="0" applyNumberFormat="1" applyFont="1" applyFill="1" applyBorder="1" applyAlignment="1">
      <alignment horizontal="center" vertical="center" wrapText="1"/>
    </xf>
    <xf numFmtId="10" fontId="8" fillId="10" borderId="1" xfId="0" applyNumberFormat="1" applyFont="1" applyFill="1" applyBorder="1" applyAlignment="1">
      <alignment horizontal="center" vertical="center"/>
    </xf>
    <xf numFmtId="1" fontId="8" fillId="10" borderId="1" xfId="0" applyNumberFormat="1" applyFont="1" applyFill="1" applyBorder="1" applyAlignment="1">
      <alignment horizontal="center" vertical="center"/>
    </xf>
    <xf numFmtId="2" fontId="8" fillId="10" borderId="1" xfId="0" applyNumberFormat="1" applyFont="1" applyFill="1" applyBorder="1" applyAlignment="1">
      <alignment horizontal="center" vertical="center"/>
    </xf>
    <xf numFmtId="10" fontId="8" fillId="10" borderId="1" xfId="3" applyNumberFormat="1" applyFont="1" applyFill="1" applyBorder="1" applyAlignment="1">
      <alignment horizontal="center" vertical="center"/>
    </xf>
    <xf numFmtId="2" fontId="8" fillId="11" borderId="1" xfId="0" applyNumberFormat="1" applyFont="1" applyFill="1" applyBorder="1" applyAlignment="1">
      <alignment horizontal="center" vertical="center"/>
    </xf>
    <xf numFmtId="9" fontId="8" fillId="10" borderId="1" xfId="3" applyFont="1" applyFill="1" applyBorder="1" applyAlignment="1">
      <alignment horizontal="center" vertical="center"/>
    </xf>
    <xf numFmtId="9" fontId="8" fillId="0" borderId="1" xfId="3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179" fontId="15" fillId="0" borderId="1" xfId="3" applyNumberFormat="1" applyFont="1" applyBorder="1" applyAlignment="1">
      <alignment horizontal="center" vertical="center"/>
    </xf>
    <xf numFmtId="9" fontId="14" fillId="0" borderId="1" xfId="3" applyFont="1" applyBorder="1" applyAlignment="1">
      <alignment horizontal="center" vertical="center"/>
    </xf>
    <xf numFmtId="10" fontId="14" fillId="0" borderId="0" xfId="3" applyNumberFormat="1" applyFont="1" applyBorder="1">
      <alignment vertical="center"/>
    </xf>
    <xf numFmtId="10" fontId="14" fillId="0" borderId="3" xfId="3" applyNumberFormat="1" applyFont="1" applyBorder="1">
      <alignment vertical="center"/>
    </xf>
    <xf numFmtId="177" fontId="4" fillId="14" borderId="1" xfId="0" applyNumberFormat="1" applyFont="1" applyFill="1" applyBorder="1" applyAlignment="1">
      <alignment horizontal="center" vertical="center" wrapText="1"/>
    </xf>
    <xf numFmtId="178" fontId="6" fillId="0" borderId="1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78" fontId="4" fillId="0" borderId="1" xfId="3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10" fontId="9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 textRotation="255"/>
    </xf>
    <xf numFmtId="0" fontId="9" fillId="15" borderId="1" xfId="0" applyFont="1" applyFill="1" applyBorder="1" applyAlignment="1">
      <alignment horizontal="center" vertical="center"/>
    </xf>
    <xf numFmtId="10" fontId="9" fillId="0" borderId="1" xfId="0" applyNumberFormat="1" applyFont="1" applyBorder="1" applyAlignment="1">
      <alignment horizontal="center" vertical="center"/>
    </xf>
    <xf numFmtId="9" fontId="9" fillId="0" borderId="1" xfId="3" applyFont="1" applyBorder="1" applyAlignment="1">
      <alignment horizontal="center" vertical="center"/>
    </xf>
    <xf numFmtId="9" fontId="0" fillId="10" borderId="1" xfId="3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 wrapText="1"/>
    </xf>
    <xf numFmtId="0" fontId="18" fillId="3" borderId="0" xfId="0" applyFont="1" applyFill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0" fontId="6" fillId="6" borderId="1" xfId="3" applyNumberFormat="1" applyFont="1" applyFill="1" applyBorder="1" applyAlignment="1">
      <alignment horizontal="center" vertical="center"/>
    </xf>
    <xf numFmtId="49" fontId="6" fillId="6" borderId="1" xfId="0" applyNumberFormat="1" applyFont="1" applyFill="1" applyBorder="1" applyAlignment="1">
      <alignment horizontal="center" vertical="center" wrapText="1"/>
    </xf>
    <xf numFmtId="10" fontId="6" fillId="0" borderId="1" xfId="0" applyNumberFormat="1" applyFont="1" applyFill="1" applyBorder="1" applyAlignment="1">
      <alignment horizontal="center" vertical="center"/>
    </xf>
    <xf numFmtId="1" fontId="6" fillId="0" borderId="1" xfId="0" applyNumberFormat="1" applyFont="1" applyFill="1" applyBorder="1" applyAlignment="1">
      <alignment horizontal="center" vertical="center"/>
    </xf>
    <xf numFmtId="2" fontId="6" fillId="0" borderId="1" xfId="0" applyNumberFormat="1" applyFont="1" applyFill="1" applyBorder="1" applyAlignment="1">
      <alignment horizontal="center" vertical="center"/>
    </xf>
    <xf numFmtId="0" fontId="19" fillId="0" borderId="0" xfId="0" applyFont="1" applyFill="1" applyAlignment="1">
      <alignment horizontal="left" vertical="center"/>
    </xf>
    <xf numFmtId="0" fontId="8" fillId="6" borderId="1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/>
    </xf>
    <xf numFmtId="176" fontId="6" fillId="0" borderId="1" xfId="3" applyNumberFormat="1" applyFont="1" applyFill="1" applyBorder="1" applyAlignment="1">
      <alignment horizontal="center" vertical="center"/>
    </xf>
    <xf numFmtId="2" fontId="6" fillId="0" borderId="1" xfId="3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center" vertical="center"/>
    </xf>
    <xf numFmtId="0" fontId="21" fillId="0" borderId="1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176" fontId="21" fillId="0" borderId="1" xfId="0" applyNumberFormat="1" applyFont="1" applyFill="1" applyBorder="1" applyAlignment="1">
      <alignment horizontal="center" vertical="center"/>
    </xf>
    <xf numFmtId="0" fontId="17" fillId="0" borderId="1" xfId="3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vertical="center" wrapText="1"/>
    </xf>
    <xf numFmtId="10" fontId="17" fillId="13" borderId="1" xfId="0" applyNumberFormat="1" applyFont="1" applyFill="1" applyBorder="1" applyAlignment="1">
      <alignment horizontal="center" vertical="center"/>
    </xf>
    <xf numFmtId="10" fontId="6" fillId="13" borderId="1" xfId="0" applyNumberFormat="1" applyFont="1" applyFill="1" applyBorder="1" applyAlignment="1">
      <alignment horizontal="center" vertical="center"/>
    </xf>
    <xf numFmtId="9" fontId="15" fillId="13" borderId="1" xfId="3" applyFont="1" applyFill="1" applyBorder="1" applyAlignment="1">
      <alignment horizontal="center" vertical="center"/>
    </xf>
    <xf numFmtId="1" fontId="6" fillId="13" borderId="1" xfId="0" applyNumberFormat="1" applyFont="1" applyFill="1" applyBorder="1" applyAlignment="1">
      <alignment horizontal="center" vertical="center"/>
    </xf>
    <xf numFmtId="2" fontId="6" fillId="13" borderId="1" xfId="0" applyNumberFormat="1" applyFont="1" applyFill="1" applyBorder="1" applyAlignment="1">
      <alignment horizontal="center" vertical="center"/>
    </xf>
    <xf numFmtId="10" fontId="6" fillId="13" borderId="1" xfId="3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176" fontId="20" fillId="0" borderId="1" xfId="0" applyNumberFormat="1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vertical="center" wrapText="1"/>
    </xf>
    <xf numFmtId="0" fontId="8" fillId="0" borderId="0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 wrapText="1"/>
    </xf>
    <xf numFmtId="2" fontId="6" fillId="13" borderId="1" xfId="0" applyNumberFormat="1" applyFont="1" applyFill="1" applyBorder="1" applyAlignment="1">
      <alignment horizontal="center" vertical="center" wrapText="1"/>
    </xf>
    <xf numFmtId="10" fontId="8" fillId="13" borderId="1" xfId="0" applyNumberFormat="1" applyFont="1" applyFill="1" applyBorder="1" applyAlignment="1">
      <alignment horizontal="center" vertical="center"/>
    </xf>
    <xf numFmtId="1" fontId="8" fillId="13" borderId="1" xfId="0" applyNumberFormat="1" applyFont="1" applyFill="1" applyBorder="1" applyAlignment="1">
      <alignment horizontal="center" vertical="center"/>
    </xf>
    <xf numFmtId="2" fontId="8" fillId="13" borderId="1" xfId="0" applyNumberFormat="1" applyFont="1" applyFill="1" applyBorder="1" applyAlignment="1">
      <alignment horizontal="center" vertical="center"/>
    </xf>
    <xf numFmtId="10" fontId="8" fillId="13" borderId="1" xfId="3" applyNumberFormat="1" applyFont="1" applyFill="1" applyBorder="1" applyAlignment="1">
      <alignment horizontal="center" vertical="center"/>
    </xf>
    <xf numFmtId="9" fontId="8" fillId="13" borderId="1" xfId="3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2" fontId="11" fillId="3" borderId="0" xfId="0" applyNumberFormat="1" applyFont="1" applyFill="1" applyAlignment="1">
      <alignment horizontal="center" vertical="center" wrapText="1"/>
    </xf>
    <xf numFmtId="0" fontId="20" fillId="6" borderId="1" xfId="3" applyNumberFormat="1" applyFont="1" applyFill="1" applyBorder="1" applyAlignment="1">
      <alignment horizontal="center" vertical="center"/>
    </xf>
    <xf numFmtId="0" fontId="20" fillId="0" borderId="1" xfId="3" applyNumberFormat="1" applyFont="1" applyFill="1" applyBorder="1" applyAlignment="1">
      <alignment horizontal="center" vertical="center"/>
    </xf>
    <xf numFmtId="0" fontId="0" fillId="0" borderId="0" xfId="0" applyFill="1"/>
    <xf numFmtId="2" fontId="6" fillId="16" borderId="1" xfId="0" applyNumberFormat="1" applyFont="1" applyFill="1" applyBorder="1" applyAlignment="1">
      <alignment horizontal="center" vertical="center"/>
    </xf>
    <xf numFmtId="2" fontId="6" fillId="16" borderId="1" xfId="0" applyNumberFormat="1" applyFont="1" applyFill="1" applyBorder="1" applyAlignment="1">
      <alignment horizontal="center" vertical="center" wrapText="1"/>
    </xf>
    <xf numFmtId="10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2" fontId="8" fillId="0" borderId="1" xfId="0" applyNumberFormat="1" applyFont="1" applyFill="1" applyBorder="1" applyAlignment="1">
      <alignment horizontal="center" vertical="center"/>
    </xf>
    <xf numFmtId="10" fontId="8" fillId="0" borderId="1" xfId="3" applyNumberFormat="1" applyFont="1" applyFill="1" applyBorder="1" applyAlignment="1">
      <alignment horizontal="center" vertical="center"/>
    </xf>
    <xf numFmtId="2" fontId="8" fillId="16" borderId="1" xfId="0" applyNumberFormat="1" applyFont="1" applyFill="1" applyBorder="1" applyAlignment="1">
      <alignment horizontal="center" vertical="center"/>
    </xf>
    <xf numFmtId="9" fontId="8" fillId="0" borderId="1" xfId="3" applyFont="1" applyFill="1" applyBorder="1" applyAlignment="1">
      <alignment horizontal="center" vertical="center"/>
    </xf>
    <xf numFmtId="2" fontId="20" fillId="16" borderId="1" xfId="0" applyNumberFormat="1" applyFont="1" applyFill="1" applyBorder="1" applyAlignment="1">
      <alignment horizontal="center" vertical="center"/>
    </xf>
    <xf numFmtId="1" fontId="6" fillId="16" borderId="1" xfId="0" applyNumberFormat="1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 wrapText="1"/>
    </xf>
    <xf numFmtId="0" fontId="20" fillId="5" borderId="1" xfId="3" applyNumberFormat="1" applyFont="1" applyFill="1" applyBorder="1" applyAlignment="1">
      <alignment horizontal="center" vertical="center"/>
    </xf>
    <xf numFmtId="0" fontId="8" fillId="0" borderId="1" xfId="3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 wrapText="1"/>
    </xf>
    <xf numFmtId="49" fontId="6" fillId="0" borderId="0" xfId="0" applyNumberFormat="1" applyFont="1" applyFill="1" applyBorder="1" applyAlignment="1">
      <alignment horizontal="center" vertical="center" wrapText="1"/>
    </xf>
    <xf numFmtId="179" fontId="6" fillId="0" borderId="0" xfId="3" applyNumberFormat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178" fontId="6" fillId="0" borderId="1" xfId="3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9" fontId="0" fillId="0" borderId="1" xfId="3" applyFont="1" applyFill="1" applyBorder="1" applyAlignment="1">
      <alignment horizontal="center" vertical="center"/>
    </xf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11 4" xfId="49"/>
    <cellStyle name="常规 2" xfId="50"/>
  </cellStyles>
  <tableStyles count="1" defaultTableStyle="TableStyleMedium2" defaultPivotStyle="PivotStyleLight16">
    <tableStyle name="Invisible" pivot="0" table="0" count="0" xr9:uid="{5FF3AB2A-7192-8458-69F7-FA6988062159}"/>
  </tableStyles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'NT10-72GDF'!$K$50:$T$50</c15:sqref>
                  </c15:fullRef>
                </c:ext>
              </c:extLst>
              <c:f>('NT10-72GDF'!$M$50:$Q$50,'NT10-72GDF'!$T$50)</c:f>
              <c:numCache>
                <c:formatCode>0_);[Red]\(0\)</c:formatCode>
                <c:ptCount val="5"/>
                <c:pt idx="0" c:formatCode="0_);[Red]\(0\)">
                  <c:v>585</c:v>
                </c:pt>
                <c:pt idx="1" c:formatCode="0_);[Red]\(0\)">
                  <c:v>590</c:v>
                </c:pt>
                <c:pt idx="2" c:formatCode="0_);[Red]\(0\)">
                  <c:v>595</c:v>
                </c:pt>
                <c:pt idx="3" c:formatCode="0_);[Red]\(0\)">
                  <c:v>600</c:v>
                </c:pt>
                <c:pt idx="4" c:formatCode="0_);[Red]\(0\)">
                  <c:v>605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'NT10-72GDF'!$K$71:$T$71</c15:sqref>
                  </c15:fullRef>
                </c:ext>
              </c:extLst>
              <c:f>('NT10-72GDF'!$M$71:$Q$71,'NT10-72GDF'!$T$71)</c:f>
              <c:numCache>
                <c:formatCode>0.0%</c:formatCode>
                <c:ptCount val="5"/>
                <c:pt idx="0">
                  <c:v>6.91246259781635e-5</c:v>
                </c:pt>
                <c:pt idx="1">
                  <c:v>0.116886168122737</c:v>
                </c:pt>
                <c:pt idx="2">
                  <c:v>0.771031065426789</c:v>
                </c:pt>
                <c:pt idx="3">
                  <c:v>0.111893372893671</c:v>
                </c:pt>
                <c:pt idx="4">
                  <c:v>0.000120268760993725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c0b4e9fa-72e9-4993-973a-ac510f945933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'NT10-78GDF'!$K$50:$T$50</c15:sqref>
                  </c15:fullRef>
                </c:ext>
              </c:extLst>
              <c:f>('NT10-78GDF'!$N$50:$R$50,'NT10-78GDF'!$T$50)</c:f>
              <c:numCache>
                <c:formatCode>0_);[Red]\(0\)</c:formatCode>
                <c:ptCount val="5"/>
                <c:pt idx="0" c:formatCode="0_);[Red]\(0\)">
                  <c:v>635</c:v>
                </c:pt>
                <c:pt idx="1" c:formatCode="0_);[Red]\(0\)">
                  <c:v>640</c:v>
                </c:pt>
                <c:pt idx="2" c:formatCode="0_);[Red]\(0\)">
                  <c:v>645</c:v>
                </c:pt>
                <c:pt idx="3" c:formatCode="0_);[Red]\(0\)">
                  <c:v>650</c:v>
                </c:pt>
                <c:pt idx="4" c:formatCode="0_);[Red]\(0\)">
                  <c:v>655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'NT10-78GDF'!$K$71:$T$71</c15:sqref>
                  </c15:fullRef>
                </c:ext>
              </c:extLst>
              <c:f>('NT10-78GDF'!$N$71:$R$71,'NT10-78GDF'!$T$71)</c:f>
              <c:numCache>
                <c:formatCode>0.0%</c:formatCode>
                <c:ptCount val="5"/>
                <c:pt idx="0">
                  <c:v>0.261112512923984</c:v>
                </c:pt>
                <c:pt idx="1">
                  <c:v>0.693806529707543</c:v>
                </c:pt>
                <c:pt idx="2">
                  <c:v>0.0442892498393274</c:v>
                </c:pt>
                <c:pt idx="3">
                  <c:v>1.6879114567229e-5</c:v>
                </c:pt>
                <c:pt idx="4">
                  <c:v>5.46522085585603e-12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8abc6856-b66b-4cfd-8736-11a44c99fd25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'NT12R-66GDF'!$K$50:$T$50</c15:sqref>
                  </c15:fullRef>
                </c:ext>
              </c:extLst>
              <c:f>'NT12R-66GDF'!$L$50:$R$50</c:f>
              <c:numCache>
                <c:formatCode>0_);[Red]\(0\)</c:formatCode>
                <c:ptCount val="7"/>
                <c:pt idx="0" c:formatCode="0_);[Red]\(0\)">
                  <c:v>610</c:v>
                </c:pt>
                <c:pt idx="1" c:formatCode="0_);[Red]\(0\)">
                  <c:v>615</c:v>
                </c:pt>
                <c:pt idx="2" c:formatCode="0_);[Red]\(0\)">
                  <c:v>620</c:v>
                </c:pt>
                <c:pt idx="3" c:formatCode="0_);[Red]\(0\)">
                  <c:v>625</c:v>
                </c:pt>
                <c:pt idx="4" c:formatCode="0_);[Red]\(0\)">
                  <c:v>630</c:v>
                </c:pt>
                <c:pt idx="5" c:formatCode="0_);[Red]\(0\)">
                  <c:v>635</c:v>
                </c:pt>
                <c:pt idx="6" c:formatCode="0_);[Red]\(0\)">
                  <c:v>640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'NT12R-66GDF'!$K$71:$T$71</c15:sqref>
                  </c15:fullRef>
                </c:ext>
              </c:extLst>
              <c:f>'NT12R-66GDF'!$L$71:$R$71</c:f>
              <c:numCache>
                <c:formatCode>0.0%</c:formatCode>
                <c:ptCount val="7"/>
                <c:pt idx="0">
                  <c:v>7.35558612678117e-5</c:v>
                </c:pt>
                <c:pt idx="1">
                  <c:v>0.0451357836945584</c:v>
                </c:pt>
                <c:pt idx="2">
                  <c:v>0.558140890171604</c:v>
                </c:pt>
                <c:pt idx="3">
                  <c:v>0.386374009608665</c:v>
                </c:pt>
                <c:pt idx="4">
                  <c:v>0.0102719332386767</c:v>
                </c:pt>
                <c:pt idx="5">
                  <c:v>3.82717857871228e-6</c:v>
                </c:pt>
                <c:pt idx="6">
                  <c:v>3.34149193984811e-12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d06ad1bc-cc84-4730-a947-a2e77ece83bf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'NT12R-66GDF (2.0)'!$K$50:$T$50</c15:sqref>
                  </c15:fullRef>
                </c:ext>
              </c:extLst>
              <c:f>'NT12R-66GDF (2.0)'!$L$50:$T$50</c:f>
              <c:numCache>
                <c:formatCode>0_);[Red]\(0\)</c:formatCode>
                <c:ptCount val="8"/>
                <c:pt idx="0" c:formatCode="0_);[Red]\(0\)">
                  <c:v>620</c:v>
                </c:pt>
                <c:pt idx="1" c:formatCode="0_);[Red]\(0\)">
                  <c:v>625</c:v>
                </c:pt>
                <c:pt idx="2" c:formatCode="0_);[Red]\(0\)">
                  <c:v>630</c:v>
                </c:pt>
                <c:pt idx="3" c:formatCode="0_);[Red]\(0\)">
                  <c:v>635</c:v>
                </c:pt>
                <c:pt idx="4" c:formatCode="0_);[Red]\(0\)">
                  <c:v>640</c:v>
                </c:pt>
                <c:pt idx="5" c:formatCode="0_);[Red]\(0\)">
                  <c:v>645</c:v>
                </c:pt>
                <c:pt idx="6" c:formatCode="0_);[Red]\(0\)">
                  <c:v>650</c:v>
                </c:pt>
                <c:pt idx="7" c:formatCode="0_);[Red]\(0\)">
                  <c:v>655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'NT12R-66GDF (2.0)'!$K$71:$T$71</c15:sqref>
                  </c15:fullRef>
                </c:ext>
              </c:extLst>
              <c:f>'NT12R-66GDF (2.0)'!$L$71:$T$71</c:f>
              <c:numCache>
                <c:formatCode>0.0%</c:formatCode>
                <c:ptCount val="8"/>
                <c:pt idx="0">
                  <c:v>1.21487686857355e-5</c:v>
                </c:pt>
                <c:pt idx="1">
                  <c:v>0.0149928600669995</c:v>
                </c:pt>
                <c:pt idx="2">
                  <c:v>0.282905835090541</c:v>
                </c:pt>
                <c:pt idx="3">
                  <c:v>0.629793671237441</c:v>
                </c:pt>
                <c:pt idx="4">
                  <c:v>0.0721985293187748</c:v>
                </c:pt>
                <c:pt idx="5">
                  <c:v>9.69552662411897e-5</c:v>
                </c:pt>
                <c:pt idx="6">
                  <c:v>2.40374166760136e-10</c:v>
                </c:pt>
                <c:pt idx="7">
                  <c:v>3.95051444268858e-19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fb41763e-c577-4ae3-9e1a-f9367599fe06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'NT12-66GDF'!$K$50:$T$50</c15:sqref>
                  </c15:fullRef>
                </c:ext>
              </c:extLst>
              <c:f>'NT12-66GDF'!$N$50:$T$50</c:f>
              <c:numCache>
                <c:formatCode>0_);[Red]\(0\)</c:formatCode>
                <c:ptCount val="6"/>
                <c:pt idx="0" c:formatCode="0_);[Red]\(0\)">
                  <c:v>710</c:v>
                </c:pt>
                <c:pt idx="1" c:formatCode="0_);[Red]\(0\)">
                  <c:v>715</c:v>
                </c:pt>
                <c:pt idx="2" c:formatCode="0_);[Red]\(0\)">
                  <c:v>720</c:v>
                </c:pt>
                <c:pt idx="3" c:formatCode="0_);[Red]\(0\)">
                  <c:v>725</c:v>
                </c:pt>
                <c:pt idx="4" c:formatCode="0_);[Red]\(0\)">
                  <c:v>730</c:v>
                </c:pt>
                <c:pt idx="5" c:formatCode="0_);[Red]\(0\)">
                  <c:v>735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'NT12-66GDF'!$K$71:$T$71</c15:sqref>
                  </c15:fullRef>
                </c:ext>
              </c:extLst>
              <c:f>'NT12-66GDF'!$N$71:$T$71</c:f>
              <c:numCache>
                <c:formatCode>0.0%</c:formatCode>
                <c:ptCount val="6"/>
                <c:pt idx="0">
                  <c:v>0.0390013398157283</c:v>
                </c:pt>
                <c:pt idx="1">
                  <c:v>0.442551382583767</c:v>
                </c:pt>
                <c:pt idx="2">
                  <c:v>0.490868291050533</c:v>
                </c:pt>
                <c:pt idx="3">
                  <c:v>0.0273348540401097</c:v>
                </c:pt>
                <c:pt idx="4">
                  <c:v>4.30598785168487e-5</c:v>
                </c:pt>
                <c:pt idx="5">
                  <c:v>4.24489318590624e-10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bca9de26-9df9-4570-a679-5d27ecdeecca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'NT12R-78GDF '!$K$50:$T$50</c15:sqref>
                  </c15:fullRef>
                </c:ext>
              </c:extLst>
              <c:f>('NT12R-78GDF '!$L$50:$R$50,'NT12R-78GDF '!$T$50)</c:f>
              <c:numCache>
                <c:formatCode>0_);[Red]\(0\)</c:formatCode>
                <c:ptCount val="7"/>
                <c:pt idx="0" c:formatCode="0_);[Red]\(0\)">
                  <c:v>720</c:v>
                </c:pt>
                <c:pt idx="1" c:formatCode="0_);[Red]\(0\)">
                  <c:v>725</c:v>
                </c:pt>
                <c:pt idx="2" c:formatCode="0_);[Red]\(0\)">
                  <c:v>730</c:v>
                </c:pt>
                <c:pt idx="3" c:formatCode="0_);[Red]\(0\)">
                  <c:v>735</c:v>
                </c:pt>
                <c:pt idx="4" c:formatCode="0_);[Red]\(0\)">
                  <c:v>740</c:v>
                </c:pt>
                <c:pt idx="5" c:formatCode="0_);[Red]\(0\)">
                  <c:v>745</c:v>
                </c:pt>
                <c:pt idx="6" c:formatCode="0_);[Red]\(0\)">
                  <c:v>750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'NT12R-78GDF '!$K$71:$T$71</c15:sqref>
                  </c15:fullRef>
                </c:ext>
              </c:extLst>
              <c:f>('NT12R-78GDF '!$L$71:$R$71,'NT12R-78GDF '!$T$71)</c:f>
              <c:numCache>
                <c:formatCode>0.0%</c:formatCode>
                <c:ptCount val="7"/>
                <c:pt idx="0">
                  <c:v>0.0013003569180966</c:v>
                </c:pt>
                <c:pt idx="1">
                  <c:v>0.143867893455127</c:v>
                </c:pt>
                <c:pt idx="2">
                  <c:v>0.599789118618417</c:v>
                </c:pt>
                <c:pt idx="3">
                  <c:v>0.246825084234009</c:v>
                </c:pt>
                <c:pt idx="4">
                  <c:v>0.00820987041606998</c:v>
                </c:pt>
                <c:pt idx="5">
                  <c:v>7.64169716289468e-6</c:v>
                </c:pt>
                <c:pt idx="6">
                  <c:v>9.6552695674161e-12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7624f63-8ecc-4eff-945f-8369253e3609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'NT12R-48GDF'!$K$50:$R$50</c15:sqref>
                  </c15:fullRef>
                </c:ext>
              </c:extLst>
              <c:f>'NT12R-48GDF'!$L$50:$R$50</c:f>
              <c:numCache>
                <c:formatCode>0_);[Red]\(0\)</c:formatCode>
                <c:ptCount val="6"/>
                <c:pt idx="0" c:formatCode="0_);[Red]\(0\)">
                  <c:v>445</c:v>
                </c:pt>
                <c:pt idx="1" c:formatCode="0_);[Red]\(0\)">
                  <c:v>450</c:v>
                </c:pt>
                <c:pt idx="2" c:formatCode="0_);[Red]\(0\)">
                  <c:v>455</c:v>
                </c:pt>
                <c:pt idx="3" c:formatCode="0_);[Red]\(0\)">
                  <c:v>460</c:v>
                </c:pt>
                <c:pt idx="4" c:formatCode="0_);[Red]\(0\)">
                  <c:v>465</c:v>
                </c:pt>
                <c:pt idx="5" c:formatCode="0_);[Red]\(0\)">
                  <c:v>470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'NT12R-48GDF'!$K$71:$R$71</c15:sqref>
                  </c15:fullRef>
                </c:ext>
              </c:extLst>
              <c:f>'NT12R-48GDF'!$L$71:$R$71</c:f>
              <c:numCache>
                <c:formatCode>0.0%</c:formatCode>
                <c:ptCount val="6"/>
                <c:pt idx="0">
                  <c:v>2.6743985040004e-7</c:v>
                </c:pt>
                <c:pt idx="1">
                  <c:v>0.156853412397267</c:v>
                </c:pt>
                <c:pt idx="2">
                  <c:v>0.838053176235409</c:v>
                </c:pt>
                <c:pt idx="3">
                  <c:v>0.00509314392448099</c:v>
                </c:pt>
                <c:pt idx="4">
                  <c:v>2.99266516542639e-12</c:v>
                </c:pt>
                <c:pt idx="5">
                  <c:v>7.59928627826591e-32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13d5c551-63fe-433f-bf53-e66b0ab547d4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'NT12R-48BGDF'!$K$50:$R$50</c:f>
              <c:numCache>
                <c:formatCode>0_);[Red]\(0\)</c:formatCode>
                <c:ptCount val="7"/>
                <c:pt idx="0" c:formatCode="0_);[Red]\(0\)">
                  <c:v>435</c:v>
                </c:pt>
                <c:pt idx="1" c:formatCode="0_);[Red]\(0\)">
                  <c:v>440</c:v>
                </c:pt>
                <c:pt idx="2" c:formatCode="0_);[Red]\(0\)">
                  <c:v>445</c:v>
                </c:pt>
                <c:pt idx="3" c:formatCode="0_);[Red]\(0\)">
                  <c:v>450</c:v>
                </c:pt>
                <c:pt idx="4" c:formatCode="0_);[Red]\(0\)">
                  <c:v>455</c:v>
                </c:pt>
                <c:pt idx="5" c:formatCode="0_);[Red]\(0\)">
                  <c:v>460</c:v>
                </c:pt>
                <c:pt idx="6" c:formatCode="0_);[Red]\(0\)">
                  <c:v>465</c:v>
                </c:pt>
              </c:numCache>
            </c:numRef>
          </c:cat>
          <c:val>
            <c:numRef>
              <c:f>'NT12R-48BGDF'!$K$71:$R$71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afc8b808-5a12-43a7-9bee-46a46350b412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'NT12R-54GDF'!$K$50:$R$50</c15:sqref>
                  </c15:fullRef>
                </c:ext>
              </c:extLst>
              <c:f>('NT12R-54GDF'!$K$50:$P$50,'NT12R-54GDF'!$R$50)</c:f>
              <c:numCache>
                <c:formatCode>0_);[Red]\(0\)</c:formatCode>
                <c:ptCount val="6"/>
                <c:pt idx="0" c:formatCode="0_);[Red]\(0\)">
                  <c:v>495</c:v>
                </c:pt>
                <c:pt idx="1" c:formatCode="0_);[Red]\(0\)">
                  <c:v>500</c:v>
                </c:pt>
                <c:pt idx="2" c:formatCode="0_);[Red]\(0\)">
                  <c:v>505</c:v>
                </c:pt>
                <c:pt idx="3" c:formatCode="0_);[Red]\(0\)">
                  <c:v>510</c:v>
                </c:pt>
                <c:pt idx="4" c:formatCode="0_);[Red]\(0\)">
                  <c:v>515</c:v>
                </c:pt>
                <c:pt idx="5" c:formatCode="0_);[Red]\(0\)">
                  <c:v>520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'NT12R-54GDF'!$K$71:$R$71</c15:sqref>
                  </c15:fullRef>
                </c:ext>
              </c:extLst>
              <c:f>('NT12R-54GDF'!$K$71:$P$71,'NT12R-54GDF'!$R$71)</c:f>
              <c:numCache>
                <c:formatCode>0.0%</c:formatCode>
                <c:ptCount val="6"/>
                <c:pt idx="0">
                  <c:v>0</c:v>
                </c:pt>
                <c:pt idx="1">
                  <c:v>1.82245895546637e-10</c:v>
                </c:pt>
                <c:pt idx="2">
                  <c:v>0.00460223053815198</c:v>
                </c:pt>
                <c:pt idx="3">
                  <c:v>0.676117837334933</c:v>
                </c:pt>
                <c:pt idx="4">
                  <c:v>0.319154119564283</c:v>
                </c:pt>
                <c:pt idx="5">
                  <c:v>0.00012581238031779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de78eb38-70cd-4f94-93f0-d7835e6fc4da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'NT12R-54BGDF'!$K$50:$R$50</c:f>
              <c:numCache>
                <c:formatCode>0_);[Red]\(0\)</c:formatCode>
                <c:ptCount val="7"/>
                <c:pt idx="0" c:formatCode="0_);[Red]\(0\)">
                  <c:v>490</c:v>
                </c:pt>
                <c:pt idx="1" c:formatCode="0_);[Red]\(0\)">
                  <c:v>495</c:v>
                </c:pt>
                <c:pt idx="2" c:formatCode="0_);[Red]\(0\)">
                  <c:v>500</c:v>
                </c:pt>
                <c:pt idx="3" c:formatCode="0_);[Red]\(0\)">
                  <c:v>505</c:v>
                </c:pt>
                <c:pt idx="4" c:formatCode="0_);[Red]\(0\)">
                  <c:v>510</c:v>
                </c:pt>
                <c:pt idx="5" c:formatCode="0_);[Red]\(0\)">
                  <c:v>515</c:v>
                </c:pt>
                <c:pt idx="6" c:formatCode="0_);[Red]\(0\)">
                  <c:v>520</c:v>
                </c:pt>
              </c:numCache>
            </c:numRef>
          </c:cat>
          <c:val>
            <c:numRef>
              <c:f>'NT12R-54BGDF'!$K$71:$R$71</c:f>
              <c:numCache>
                <c:formatCode>0.0%</c:formatCode>
                <c:ptCount val="7"/>
                <c:pt idx="0">
                  <c:v>2.36010880698439e-8</c:v>
                </c:pt>
                <c:pt idx="1">
                  <c:v>0.0277039837813724</c:v>
                </c:pt>
                <c:pt idx="2">
                  <c:v>0.85175931875684</c:v>
                </c:pt>
                <c:pt idx="3">
                  <c:v>0.12053351596919</c:v>
                </c:pt>
                <c:pt idx="4">
                  <c:v>3.15789150880455e-6</c:v>
                </c:pt>
                <c:pt idx="5">
                  <c:v>3.1761821393438e-17</c:v>
                </c:pt>
                <c:pt idx="6">
                  <c:v>1.32772790805356e-35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1c627f6f-6005-4dd8-978a-4074d309e5b8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9204325"/>
        <a:ext cx="5753735" cy="50438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9116695"/>
        <a:ext cx="5753735" cy="50438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10484485"/>
        <a:ext cx="5753735" cy="50438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9360535"/>
        <a:ext cx="5753735" cy="50438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10484485"/>
        <a:ext cx="5753735" cy="50438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10514965"/>
        <a:ext cx="5753735" cy="50438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9406255"/>
        <a:ext cx="5753735" cy="29864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9406255"/>
        <a:ext cx="5753735" cy="29864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9406255"/>
        <a:ext cx="5753735" cy="29864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9406255"/>
        <a:ext cx="5753735" cy="29864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0</xdr:colOff>
      <xdr:row>24</xdr:row>
      <xdr:rowOff>7620</xdr:rowOff>
    </xdr:from>
    <xdr:to>
      <xdr:col>16</xdr:col>
      <xdr:colOff>49458</xdr:colOff>
      <xdr:row>40</xdr:row>
      <xdr:rowOff>83460</xdr:rowOff>
    </xdr:to>
    <xdr:pic>
      <xdr:nvPicPr>
        <xdr:cNvPr id="4" name="图片 3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5595620" y="7261860"/>
          <a:ext cx="7638415" cy="3489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38100</xdr:rowOff>
    </xdr:from>
    <xdr:to>
      <xdr:col>5</xdr:col>
      <xdr:colOff>176171</xdr:colOff>
      <xdr:row>40</xdr:row>
      <xdr:rowOff>113940</xdr:rowOff>
    </xdr:to>
    <xdr:pic>
      <xdr:nvPicPr>
        <xdr:cNvPr id="5" name="图片 4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0" y="7292340"/>
          <a:ext cx="6403975" cy="3489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5</xdr:col>
      <xdr:colOff>165622</xdr:colOff>
      <xdr:row>63</xdr:row>
      <xdr:rowOff>142602</xdr:rowOff>
    </xdr:to>
    <xdr:pic>
      <xdr:nvPicPr>
        <xdr:cNvPr id="6" name="图片 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0" y="11521440"/>
          <a:ext cx="6393180" cy="41960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91440</xdr:rowOff>
    </xdr:from>
    <xdr:to>
      <xdr:col>18</xdr:col>
      <xdr:colOff>369668</xdr:colOff>
      <xdr:row>90</xdr:row>
      <xdr:rowOff>167942</xdr:rowOff>
    </xdr:to>
    <xdr:pic>
      <xdr:nvPicPr>
        <xdr:cNvPr id="7" name="图片 6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0" y="15880080"/>
          <a:ext cx="14819630" cy="5623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>
    <tabColor theme="9" tint="0.399945066682943"/>
  </sheetPr>
  <dimension ref="A1:AC96"/>
  <sheetViews>
    <sheetView showGridLines="0" tabSelected="1" zoomScale="136" zoomScaleNormal="136" workbookViewId="0">
      <selection activeCell="G7" sqref="G7"/>
    </sheetView>
  </sheetViews>
  <sheetFormatPr defaultColWidth="8.44642857142857" defaultRowHeight="13.6"/>
  <cols>
    <col min="1" max="19" width="10.5535714285714" style="17" customWidth="1"/>
    <col min="20" max="20" width="10.5535714285714" style="17" hidden="1" customWidth="1"/>
    <col min="21" max="21" width="10.5535714285714" style="17" customWidth="1"/>
    <col min="22" max="16384" width="8.44642857142857" style="17"/>
  </cols>
  <sheetData>
    <row r="1" s="13" customFormat="1" ht="40.8" customHeight="1" spans="1:25">
      <c r="A1" s="18" t="s">
        <v>0</v>
      </c>
      <c r="B1" s="18"/>
      <c r="C1" s="18"/>
      <c r="D1" s="18"/>
      <c r="E1" s="18"/>
      <c r="F1" s="18"/>
      <c r="G1" s="19" t="s">
        <v>1</v>
      </c>
      <c r="H1" s="19"/>
      <c r="I1" s="19"/>
      <c r="J1" s="19">
        <f>593.36-3.1</f>
        <v>590.26</v>
      </c>
      <c r="K1" s="20" t="s">
        <v>2</v>
      </c>
      <c r="L1" s="20" t="s">
        <v>3</v>
      </c>
      <c r="M1" s="20"/>
      <c r="N1" s="20"/>
      <c r="O1" s="20"/>
      <c r="Q1" s="21"/>
      <c r="R1" s="21"/>
      <c r="S1" s="21"/>
      <c r="T1" s="21"/>
      <c r="U1" s="21"/>
    </row>
    <row r="2" ht="1.95" customHeight="1" spans="1:25">
      <c r="H2" s="22"/>
      <c r="P2" s="13"/>
      <c r="Q2" s="21"/>
      <c r="R2" s="21"/>
      <c r="S2" s="21"/>
      <c r="T2" s="21"/>
      <c r="U2" s="21"/>
    </row>
    <row r="3" s="14" customFormat="1" ht="21.9" customHeight="1" spans="1:25">
      <c r="A3" s="23" t="s">
        <v>4</v>
      </c>
      <c r="B3" s="23">
        <v>0</v>
      </c>
      <c r="C3" s="24">
        <v>0.26</v>
      </c>
      <c r="D3" s="11">
        <v>0.24</v>
      </c>
      <c r="E3" s="11">
        <v>0.23</v>
      </c>
      <c r="F3" s="11" t="s">
        <v>5</v>
      </c>
      <c r="G3" s="11" t="s">
        <v>6</v>
      </c>
      <c r="H3" s="11" t="s">
        <v>7</v>
      </c>
      <c r="I3" s="11" t="s">
        <v>8</v>
      </c>
      <c r="J3" s="11" t="s">
        <v>9</v>
      </c>
      <c r="K3" s="11" t="s">
        <v>10</v>
      </c>
      <c r="L3" s="11" t="s">
        <v>11</v>
      </c>
      <c r="M3" s="11" t="s">
        <v>12</v>
      </c>
      <c r="N3" s="11" t="s">
        <v>13</v>
      </c>
      <c r="O3" s="11" t="s">
        <v>14</v>
      </c>
      <c r="P3" s="25"/>
      <c r="Q3" s="26"/>
      <c r="R3" s="26"/>
      <c r="S3" s="26"/>
      <c r="T3" s="26"/>
      <c r="U3" s="26"/>
      <c r="V3" s="27"/>
      <c r="W3" s="27"/>
      <c r="X3" s="27"/>
      <c r="Y3" s="27"/>
    </row>
    <row r="4" s="14" customFormat="1" ht="21.9" customHeight="1" spans="1:25">
      <c r="A4" s="23"/>
      <c r="B4" s="23"/>
      <c r="C4" s="24">
        <v>0</v>
      </c>
      <c r="D4" s="11">
        <v>-1.6</v>
      </c>
      <c r="E4" s="11">
        <v>-2.3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25"/>
      <c r="Q4" s="26"/>
      <c r="R4" s="26"/>
      <c r="S4" s="26"/>
      <c r="T4" s="26"/>
      <c r="U4" s="26"/>
      <c r="V4" s="27"/>
      <c r="W4" s="27"/>
      <c r="X4" s="27"/>
      <c r="Y4" s="27"/>
    </row>
    <row r="5" ht="1.95" customHeight="1" spans="1:25">
      <c r="P5" s="13"/>
      <c r="Q5" s="21"/>
      <c r="R5" s="21"/>
      <c r="S5" s="21"/>
      <c r="T5" s="21"/>
      <c r="U5" s="21"/>
    </row>
    <row r="6" s="14" customFormat="1" ht="24.6" customHeight="1" spans="1:25">
      <c r="A6" s="23" t="s">
        <v>15</v>
      </c>
      <c r="B6" s="23">
        <v>2.5</v>
      </c>
      <c r="C6" s="11" t="s">
        <v>16</v>
      </c>
      <c r="D6" s="29" t="s">
        <v>17</v>
      </c>
      <c r="E6" s="29" t="s">
        <v>18</v>
      </c>
      <c r="F6" s="24" t="s">
        <v>19</v>
      </c>
      <c r="G6" s="11" t="s">
        <v>20</v>
      </c>
      <c r="H6" s="11" t="s">
        <v>21</v>
      </c>
      <c r="I6" s="11" t="s">
        <v>22</v>
      </c>
      <c r="J6" s="11" t="s">
        <v>23</v>
      </c>
      <c r="K6" s="11" t="s">
        <v>24</v>
      </c>
      <c r="L6" s="11" t="s">
        <v>25</v>
      </c>
      <c r="M6" s="11" t="s">
        <v>26</v>
      </c>
      <c r="N6" s="11" t="s">
        <v>27</v>
      </c>
      <c r="O6" s="11" t="s">
        <v>28</v>
      </c>
      <c r="P6" s="25"/>
      <c r="Q6" s="26"/>
      <c r="R6" s="26"/>
      <c r="S6" s="26"/>
      <c r="T6" s="26"/>
      <c r="U6" s="26"/>
      <c r="V6" s="27"/>
      <c r="W6" s="27"/>
      <c r="X6" s="27"/>
      <c r="Y6" s="27"/>
    </row>
    <row r="7" s="14" customFormat="1" ht="24.6" customHeight="1" spans="1:25">
      <c r="A7" s="23"/>
      <c r="B7" s="23"/>
      <c r="C7" s="11">
        <v>0</v>
      </c>
      <c r="D7" s="11">
        <v>1</v>
      </c>
      <c r="E7" s="11">
        <v>1.5</v>
      </c>
      <c r="F7" s="24">
        <v>2.5</v>
      </c>
      <c r="G7" s="11">
        <v>-4.3</v>
      </c>
      <c r="H7" s="11">
        <f>-4.3+1.5</f>
        <v>-2.8</v>
      </c>
      <c r="I7" s="11"/>
      <c r="J7" s="11"/>
      <c r="K7" s="11"/>
      <c r="L7" s="11"/>
      <c r="M7" s="11"/>
      <c r="N7" s="11"/>
      <c r="O7" s="11"/>
      <c r="P7" s="25"/>
      <c r="Q7" s="26"/>
      <c r="R7" s="26"/>
      <c r="S7" s="26"/>
      <c r="T7" s="26"/>
      <c r="U7" s="26"/>
      <c r="V7" s="27"/>
      <c r="W7" s="27"/>
      <c r="X7" s="27"/>
      <c r="Y7" s="27"/>
    </row>
    <row r="8" ht="1.95" customHeight="1" spans="1:25">
      <c r="P8" s="13"/>
      <c r="Q8" s="21"/>
      <c r="R8" s="21"/>
      <c r="S8" s="21"/>
      <c r="T8" s="21"/>
      <c r="U8" s="21"/>
    </row>
    <row r="9" s="14" customFormat="1" ht="22.2" customHeight="1" spans="1:25">
      <c r="A9" s="23" t="s">
        <v>29</v>
      </c>
      <c r="B9" s="23">
        <v>4.3</v>
      </c>
      <c r="C9" s="157" t="s">
        <v>30</v>
      </c>
      <c r="D9" s="117" t="s">
        <v>31</v>
      </c>
      <c r="E9" s="117" t="s">
        <v>32</v>
      </c>
      <c r="F9" s="117" t="s">
        <v>33</v>
      </c>
      <c r="G9" s="117" t="s">
        <v>34</v>
      </c>
      <c r="H9" s="117" t="s">
        <v>35</v>
      </c>
      <c r="I9" s="117" t="s">
        <v>36</v>
      </c>
      <c r="J9" s="117" t="s">
        <v>37</v>
      </c>
      <c r="K9" s="117" t="s">
        <v>38</v>
      </c>
      <c r="L9" s="117" t="s">
        <v>39</v>
      </c>
      <c r="M9" s="11" t="s">
        <v>40</v>
      </c>
      <c r="N9" s="11" t="s">
        <v>41</v>
      </c>
      <c r="O9" s="11" t="s">
        <v>42</v>
      </c>
      <c r="P9" s="27"/>
      <c r="Q9" s="27"/>
      <c r="R9" s="27"/>
      <c r="S9" s="27"/>
      <c r="T9" s="27"/>
      <c r="U9" s="27"/>
      <c r="V9" s="27"/>
      <c r="W9" s="27"/>
      <c r="X9" s="27"/>
      <c r="Y9" s="27"/>
    </row>
    <row r="10" s="14" customFormat="1" ht="22.2" customHeight="1" spans="1:25">
      <c r="A10" s="23"/>
      <c r="B10" s="23"/>
      <c r="C10" s="158">
        <v>4.3</v>
      </c>
      <c r="D10" s="145">
        <v>5</v>
      </c>
      <c r="E10" s="117">
        <v>-0.8</v>
      </c>
      <c r="F10" s="117">
        <v>4</v>
      </c>
      <c r="G10" s="117">
        <v>1.2</v>
      </c>
      <c r="H10" s="117">
        <v>2.5</v>
      </c>
      <c r="I10" s="117">
        <v>4.8</v>
      </c>
      <c r="J10" s="117">
        <v>3.2</v>
      </c>
      <c r="K10" s="117">
        <v>-0.8</v>
      </c>
      <c r="L10" s="117">
        <v>2.6</v>
      </c>
      <c r="M10" s="159"/>
      <c r="N10" s="31"/>
      <c r="O10" s="11"/>
      <c r="P10" s="27"/>
      <c r="Q10" s="27"/>
      <c r="R10" s="27"/>
      <c r="S10" s="27"/>
      <c r="T10" s="27"/>
      <c r="U10" s="27"/>
      <c r="V10" s="27"/>
      <c r="W10" s="27"/>
      <c r="X10" s="27"/>
      <c r="Y10" s="27"/>
    </row>
    <row r="11" ht="1.95" customHeight="1" spans="1:25">
      <c r="P11" s="13"/>
      <c r="Q11" s="21"/>
      <c r="R11" s="21"/>
      <c r="S11" s="21"/>
      <c r="T11" s="21"/>
      <c r="U11" s="21"/>
    </row>
    <row r="12" s="14" customFormat="1" ht="25.2" customHeight="1" spans="1:25">
      <c r="A12" s="23" t="s">
        <v>43</v>
      </c>
      <c r="B12" s="23">
        <v>0</v>
      </c>
      <c r="C12" s="28" t="s">
        <v>44</v>
      </c>
      <c r="D12" s="29" t="s">
        <v>45</v>
      </c>
      <c r="E12" s="11" t="s">
        <v>46</v>
      </c>
      <c r="F12" s="11" t="s">
        <v>5</v>
      </c>
      <c r="G12" s="11" t="s">
        <v>6</v>
      </c>
      <c r="H12" s="11" t="s">
        <v>7</v>
      </c>
      <c r="I12" s="11" t="s">
        <v>8</v>
      </c>
      <c r="J12" s="11" t="s">
        <v>9</v>
      </c>
      <c r="K12" s="11" t="s">
        <v>10</v>
      </c>
      <c r="L12" s="11" t="s">
        <v>11</v>
      </c>
      <c r="M12" s="11" t="s">
        <v>12</v>
      </c>
      <c r="N12" s="11" t="s">
        <v>13</v>
      </c>
      <c r="O12" s="11" t="s">
        <v>14</v>
      </c>
      <c r="P12" s="160"/>
      <c r="Q12" s="26"/>
      <c r="R12" s="26"/>
      <c r="S12" s="26"/>
      <c r="T12" s="26"/>
      <c r="U12" s="26"/>
      <c r="V12" s="27"/>
      <c r="W12" s="27"/>
      <c r="X12" s="27"/>
      <c r="Y12" s="27"/>
    </row>
    <row r="13" s="14" customFormat="1" ht="21.9" customHeight="1" spans="1:25">
      <c r="A13" s="23"/>
      <c r="B13" s="23"/>
      <c r="C13" s="24">
        <v>0</v>
      </c>
      <c r="D13" s="11">
        <v>-2.1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25"/>
      <c r="Q13" s="26"/>
      <c r="R13" s="26"/>
      <c r="S13" s="26"/>
      <c r="T13" s="26"/>
      <c r="U13" s="26"/>
      <c r="V13" s="27"/>
      <c r="W13" s="27"/>
      <c r="X13" s="27"/>
      <c r="Y13" s="27"/>
    </row>
    <row r="14" s="14" customFormat="1" ht="21.9" customHeight="1" spans="1:25">
      <c r="A14" s="23" t="s">
        <v>47</v>
      </c>
      <c r="B14" s="23">
        <v>33472</v>
      </c>
      <c r="C14" s="24">
        <v>33472</v>
      </c>
      <c r="D14" s="11">
        <v>33320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25"/>
      <c r="Q14" s="26"/>
      <c r="R14" s="26"/>
      <c r="S14" s="26"/>
      <c r="T14" s="26"/>
      <c r="U14" s="26"/>
      <c r="V14" s="27"/>
      <c r="W14" s="27"/>
      <c r="X14" s="27"/>
      <c r="Y14" s="27"/>
    </row>
    <row r="15" s="14" customFormat="1" ht="21.9" customHeight="1" spans="1:25">
      <c r="A15" s="23" t="s">
        <v>48</v>
      </c>
      <c r="B15" s="23">
        <v>1.7</v>
      </c>
      <c r="C15" s="24">
        <v>1.7</v>
      </c>
      <c r="D15" s="11">
        <v>1.6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25"/>
      <c r="Q15" s="26"/>
      <c r="R15" s="26"/>
      <c r="S15" s="26"/>
      <c r="T15" s="26"/>
      <c r="U15" s="26"/>
      <c r="V15" s="27"/>
      <c r="W15" s="27"/>
      <c r="X15" s="27"/>
      <c r="Y15" s="27"/>
    </row>
    <row r="16" ht="1.95" customHeight="1" spans="1:25">
      <c r="P16" s="13"/>
      <c r="Q16" s="21"/>
      <c r="R16" s="21"/>
      <c r="S16" s="21"/>
      <c r="T16" s="21"/>
      <c r="U16" s="21"/>
    </row>
    <row r="17" s="14" customFormat="1" ht="36" customHeight="1" spans="1:29">
      <c r="A17" s="23" t="s">
        <v>49</v>
      </c>
      <c r="B17" s="36">
        <v>0</v>
      </c>
      <c r="C17" s="38" t="s">
        <v>50</v>
      </c>
      <c r="D17" s="37" t="s">
        <v>51</v>
      </c>
      <c r="E17" s="37" t="s">
        <v>52</v>
      </c>
      <c r="F17" s="37" t="s">
        <v>53</v>
      </c>
      <c r="G17" s="37" t="s">
        <v>54</v>
      </c>
      <c r="H17" s="37" t="s">
        <v>55</v>
      </c>
      <c r="I17" s="37" t="s">
        <v>56</v>
      </c>
      <c r="J17" s="37" t="s">
        <v>57</v>
      </c>
      <c r="K17" s="11" t="s">
        <v>10</v>
      </c>
      <c r="L17" s="11" t="s">
        <v>11</v>
      </c>
      <c r="M17" s="11" t="s">
        <v>12</v>
      </c>
      <c r="N17" s="11" t="s">
        <v>13</v>
      </c>
      <c r="O17" s="11" t="s">
        <v>14</v>
      </c>
      <c r="P17" s="27"/>
      <c r="Q17" s="27"/>
      <c r="R17" s="27"/>
      <c r="S17" s="27"/>
      <c r="T17" s="27"/>
      <c r="U17" s="27"/>
      <c r="V17" s="161"/>
      <c r="W17" s="161"/>
      <c r="X17" s="161"/>
      <c r="Y17" s="161"/>
      <c r="Z17" s="161"/>
      <c r="AA17" s="161"/>
      <c r="AB17" s="161"/>
      <c r="AC17" s="161"/>
    </row>
    <row r="18" s="14" customFormat="1" ht="21.9" customHeight="1" spans="1:29">
      <c r="A18" s="23"/>
      <c r="B18" s="39"/>
      <c r="C18" s="24">
        <v>0</v>
      </c>
      <c r="D18" s="11">
        <v>-0.1</v>
      </c>
      <c r="E18" s="11">
        <v>-1.8</v>
      </c>
      <c r="F18" s="11">
        <v>-2.2</v>
      </c>
      <c r="G18" s="11">
        <v>0.2</v>
      </c>
      <c r="H18" s="11">
        <v>0.1</v>
      </c>
      <c r="I18" s="11">
        <v>-1.2</v>
      </c>
      <c r="J18" s="11">
        <v>-1.4</v>
      </c>
      <c r="K18" s="11"/>
      <c r="L18" s="11"/>
      <c r="M18" s="11"/>
      <c r="N18" s="11"/>
      <c r="O18" s="11"/>
      <c r="P18" s="27"/>
      <c r="Q18" s="27"/>
      <c r="R18" s="27"/>
      <c r="S18" s="27"/>
      <c r="T18" s="27"/>
      <c r="U18" s="27"/>
      <c r="V18" s="43"/>
      <c r="W18" s="43"/>
      <c r="X18" s="43"/>
      <c r="Y18" s="43"/>
      <c r="Z18" s="43"/>
      <c r="AA18" s="43"/>
      <c r="AB18" s="43"/>
      <c r="AC18" s="43"/>
    </row>
    <row r="19" ht="2.1" customHeight="1" spans="1:29">
      <c r="P19" s="13"/>
      <c r="Q19" s="21"/>
      <c r="R19" s="21"/>
      <c r="S19" s="21"/>
      <c r="T19" s="21"/>
      <c r="U19" s="21"/>
    </row>
    <row r="20" s="14" customFormat="1" ht="34.8" customHeight="1" spans="1:29">
      <c r="A20" s="23" t="s">
        <v>58</v>
      </c>
      <c r="B20" s="23">
        <v>0.3</v>
      </c>
      <c r="C20" s="29" t="s">
        <v>59</v>
      </c>
      <c r="D20" s="28" t="s">
        <v>60</v>
      </c>
      <c r="E20" s="29" t="s">
        <v>61</v>
      </c>
      <c r="F20" s="29" t="s">
        <v>62</v>
      </c>
      <c r="G20" s="29" t="s">
        <v>63</v>
      </c>
      <c r="H20" s="29" t="s">
        <v>64</v>
      </c>
      <c r="I20" s="29" t="s">
        <v>65</v>
      </c>
      <c r="J20" s="29" t="s">
        <v>66</v>
      </c>
      <c r="K20" s="29" t="s">
        <v>67</v>
      </c>
      <c r="L20" s="29" t="s">
        <v>68</v>
      </c>
      <c r="M20" s="29" t="s">
        <v>69</v>
      </c>
      <c r="N20" s="29" t="s">
        <v>70</v>
      </c>
      <c r="O20" s="29" t="s">
        <v>71</v>
      </c>
      <c r="P20" s="26"/>
      <c r="Q20" s="26"/>
      <c r="R20" s="27"/>
      <c r="S20" s="27"/>
      <c r="T20" s="27"/>
      <c r="U20" s="27"/>
      <c r="V20" s="27"/>
      <c r="W20" s="27"/>
      <c r="X20" s="27"/>
      <c r="Y20" s="27"/>
    </row>
    <row r="21" s="14" customFormat="1" ht="21.6" customHeight="1" spans="1:29">
      <c r="A21" s="23"/>
      <c r="B21" s="23"/>
      <c r="C21" s="11">
        <v>0</v>
      </c>
      <c r="D21" s="24">
        <v>0.3</v>
      </c>
      <c r="E21" s="11">
        <v>0.7</v>
      </c>
      <c r="F21" s="11">
        <v>0.9</v>
      </c>
      <c r="G21" s="11">
        <v>1.2</v>
      </c>
      <c r="H21" s="11">
        <v>0.1</v>
      </c>
      <c r="I21" s="11">
        <v>0.3</v>
      </c>
      <c r="J21" s="11"/>
      <c r="K21" s="11"/>
      <c r="L21" s="11"/>
      <c r="M21" s="11"/>
      <c r="N21" s="11"/>
      <c r="O21" s="11"/>
      <c r="P21" s="42"/>
      <c r="Q21" s="42"/>
      <c r="R21" s="162"/>
      <c r="S21" s="27"/>
      <c r="T21" s="27"/>
      <c r="U21" s="27"/>
      <c r="V21" s="27"/>
      <c r="W21" s="27"/>
      <c r="X21" s="27"/>
      <c r="Y21" s="27"/>
    </row>
    <row r="22" ht="2.1" customHeight="1" spans="1:29">
      <c r="P22" s="13"/>
      <c r="Q22" s="21"/>
      <c r="R22" s="21"/>
      <c r="S22" s="21"/>
      <c r="T22" s="21"/>
      <c r="U22" s="21"/>
    </row>
    <row r="23" s="14" customFormat="1" ht="21.6" hidden="1" customHeight="1" spans="1:29">
      <c r="A23" s="23" t="s">
        <v>72</v>
      </c>
      <c r="B23" s="23"/>
      <c r="C23" s="28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7"/>
      <c r="Q23" s="26"/>
      <c r="R23" s="26"/>
      <c r="S23" s="26"/>
      <c r="T23" s="26"/>
      <c r="U23" s="26"/>
      <c r="V23" s="27"/>
      <c r="W23" s="27"/>
      <c r="X23" s="27"/>
      <c r="Y23" s="27"/>
    </row>
    <row r="24" s="14" customFormat="1" ht="21.6" hidden="1" customHeight="1" spans="1:29">
      <c r="A24" s="23"/>
      <c r="B24" s="23"/>
      <c r="C24" s="24"/>
      <c r="D24" s="11"/>
      <c r="E24" s="11"/>
      <c r="F24" s="11"/>
      <c r="G24" s="40"/>
      <c r="H24" s="40"/>
      <c r="I24" s="11"/>
      <c r="J24" s="11"/>
      <c r="K24" s="11"/>
      <c r="L24" s="11"/>
      <c r="M24" s="11"/>
      <c r="N24" s="11"/>
      <c r="O24" s="11"/>
      <c r="P24" s="44"/>
      <c r="Q24" s="45"/>
      <c r="R24" s="45"/>
      <c r="S24" s="45"/>
      <c r="T24" s="45"/>
      <c r="U24" s="45"/>
      <c r="V24" s="27"/>
      <c r="W24" s="27"/>
      <c r="X24" s="27"/>
      <c r="Y24" s="27"/>
    </row>
    <row r="25" ht="2.1" customHeight="1" spans="1:29">
      <c r="P25" s="13"/>
      <c r="Q25" s="21"/>
      <c r="R25" s="21"/>
      <c r="S25" s="21"/>
      <c r="T25" s="21"/>
      <c r="U25" s="21"/>
    </row>
    <row r="26" s="14" customFormat="1" ht="21.6" customHeight="1" spans="1:29">
      <c r="A26" s="23" t="s">
        <v>73</v>
      </c>
      <c r="B26" s="23">
        <v>0</v>
      </c>
      <c r="C26" s="28" t="s">
        <v>74</v>
      </c>
      <c r="D26" s="29" t="s">
        <v>75</v>
      </c>
      <c r="E26" s="29" t="s">
        <v>76</v>
      </c>
      <c r="F26" s="29" t="s">
        <v>77</v>
      </c>
      <c r="G26" s="29" t="s">
        <v>78</v>
      </c>
      <c r="H26" s="29" t="s">
        <v>79</v>
      </c>
      <c r="I26" s="29" t="s">
        <v>80</v>
      </c>
      <c r="J26" s="29" t="s">
        <v>81</v>
      </c>
      <c r="K26" s="29" t="s">
        <v>82</v>
      </c>
      <c r="L26" s="29" t="s">
        <v>83</v>
      </c>
      <c r="M26" s="29" t="s">
        <v>84</v>
      </c>
      <c r="N26" s="29" t="s">
        <v>85</v>
      </c>
      <c r="O26" s="29" t="s">
        <v>86</v>
      </c>
      <c r="P26" s="27"/>
      <c r="Q26" s="27"/>
      <c r="R26" s="26"/>
      <c r="S26" s="26"/>
      <c r="T26" s="26"/>
      <c r="U26" s="26"/>
      <c r="V26" s="27"/>
      <c r="W26" s="27"/>
      <c r="X26" s="27"/>
      <c r="Y26" s="27"/>
    </row>
    <row r="27" s="14" customFormat="1" ht="21.6" customHeight="1" spans="1:29">
      <c r="A27" s="23"/>
      <c r="B27" s="23"/>
      <c r="C27" s="163">
        <v>0</v>
      </c>
      <c r="D27" s="49">
        <v>0</v>
      </c>
      <c r="E27" s="49">
        <v>-2.5</v>
      </c>
      <c r="F27" s="50"/>
      <c r="G27" s="50"/>
      <c r="H27" s="50"/>
      <c r="I27" s="49"/>
      <c r="J27" s="49"/>
      <c r="K27" s="49"/>
      <c r="L27" s="49"/>
      <c r="M27" s="49"/>
      <c r="N27" s="49"/>
      <c r="O27" s="49"/>
      <c r="P27" s="44"/>
      <c r="Q27" s="45"/>
      <c r="R27" s="45"/>
      <c r="S27" s="45"/>
      <c r="T27" s="45"/>
      <c r="U27" s="45"/>
      <c r="V27" s="27"/>
      <c r="W27" s="27"/>
      <c r="X27" s="27"/>
      <c r="Y27" s="27"/>
    </row>
    <row r="28" s="15" customFormat="1" ht="22.2" customHeight="1" spans="1:29">
      <c r="A28" s="51" t="s">
        <v>87</v>
      </c>
      <c r="B28" s="51" t="s">
        <v>88</v>
      </c>
      <c r="C28" s="51" t="s">
        <v>89</v>
      </c>
      <c r="D28" s="51" t="s">
        <v>90</v>
      </c>
      <c r="E28" s="51">
        <v>33081</v>
      </c>
      <c r="F28" s="51" t="s">
        <v>91</v>
      </c>
      <c r="G28" s="51" t="s">
        <v>92</v>
      </c>
      <c r="H28" s="51" t="s">
        <v>93</v>
      </c>
      <c r="I28" s="51" t="s">
        <v>94</v>
      </c>
      <c r="J28" s="52" t="s">
        <v>95</v>
      </c>
      <c r="K28" s="53">
        <v>575</v>
      </c>
      <c r="L28" s="53">
        <v>580</v>
      </c>
      <c r="M28" s="53">
        <v>585</v>
      </c>
      <c r="N28" s="53">
        <v>590</v>
      </c>
      <c r="O28" s="53">
        <v>595</v>
      </c>
      <c r="P28" s="53">
        <v>600</v>
      </c>
      <c r="Q28" s="53">
        <v>605</v>
      </c>
      <c r="R28" s="53">
        <v>610</v>
      </c>
      <c r="S28" s="53">
        <v>615</v>
      </c>
      <c r="T28" s="53">
        <v>620</v>
      </c>
      <c r="U28" s="54" t="s">
        <v>96</v>
      </c>
    </row>
    <row r="29" s="14" customFormat="1" ht="18" customHeight="1" spans="1:29">
      <c r="A29" s="55" t="s">
        <v>97</v>
      </c>
      <c r="B29" s="55" t="s">
        <v>98</v>
      </c>
      <c r="C29" s="124">
        <v>0.247</v>
      </c>
      <c r="D29" s="57"/>
      <c r="E29" s="58">
        <v>33472</v>
      </c>
      <c r="F29" s="59">
        <f t="shared" ref="F29:F48" si="0">C29*E29/1000</f>
        <v>8.267584</v>
      </c>
      <c r="G29" s="59">
        <f>F29*72</f>
        <v>595.266048</v>
      </c>
      <c r="H29" s="60">
        <f>I29/G29</f>
        <v>0.986361675273382</v>
      </c>
      <c r="I29" s="61">
        <f>G29*(H30+0.15%)</f>
        <v>587.147616338645</v>
      </c>
      <c r="J29" s="61"/>
      <c r="K29" s="62">
        <f>(NORMSDIST((I29-$K$28)/B15)-NORMSDIST((I29-$L$28)/B15))</f>
        <v>1.30841417871341e-5</v>
      </c>
      <c r="L29" s="62">
        <f>(NORMSDIST((I29-$L$28)/B15)-NORMSDIST((I29-$M$28)/B15))</f>
        <v>0.10322693923768</v>
      </c>
      <c r="M29" s="63">
        <f>(NORMSDIST((I29-$M$28)/B15)-NORMSDIST((I29-$N$28)/B15))</f>
        <v>0.850074004195234</v>
      </c>
      <c r="N29" s="63">
        <f>(NORMSDIST((I29-$N$28)/B15)-NORMSDIST((I29-$O$28)/B15))</f>
        <v>0.0466840449127212</v>
      </c>
      <c r="O29" s="63">
        <f>(NORMSDIST((I29-$O$28)/B15)-NORMSDIST((I29-$P$28)/B15))</f>
        <v>1.92751211008296e-6</v>
      </c>
      <c r="P29" s="63">
        <f>(NORMSDIST((I29-$P$28)/B15)-NORMSDIST((I29-$Q$28)/B15))</f>
        <v>2.011853049476e-14</v>
      </c>
      <c r="Q29" s="63">
        <f>(NORMSDIST((I29-$Q$28)/B15)-NORMSDIST((I29-$R$28)/B15))</f>
        <v>4.25532248544365e-26</v>
      </c>
      <c r="R29" s="63">
        <f>(NORMSDIST((I29-$R$28)/B15)-NORMSDIST((I29-$S$28)/B15))</f>
        <v>1.7018291962832e-41</v>
      </c>
      <c r="S29" s="63">
        <f>(NORMSDIST((I29-$S$28)/B15)-NORMSDIST((I29-$T$28)/B15))</f>
        <v>1.24915823700782e-60</v>
      </c>
      <c r="T29" s="63"/>
      <c r="U29" s="64">
        <f t="shared" ref="U29:U48" si="1">SUM(K29:T29)</f>
        <v>0.999999999999552</v>
      </c>
    </row>
    <row r="30" s="14" customFormat="1" ht="18" customHeight="1" spans="1:29">
      <c r="A30" s="65"/>
      <c r="B30" s="65"/>
      <c r="C30" s="56">
        <f t="shared" ref="C30:C48" si="2">C29+0.1%</f>
        <v>0.248</v>
      </c>
      <c r="D30" s="66"/>
      <c r="E30" s="58">
        <v>33472</v>
      </c>
      <c r="F30" s="59">
        <f t="shared" si="0"/>
        <v>8.301056</v>
      </c>
      <c r="G30" s="59">
        <f t="shared" ref="G30:G48" si="3">F30*72</f>
        <v>597.676032</v>
      </c>
      <c r="H30" s="60">
        <f t="shared" ref="H30:H48" si="4">I30/G30</f>
        <v>0.984861675273382</v>
      </c>
      <c r="I30" s="61">
        <f t="shared" ref="I30:I35" si="5">G30*(H31+0.15%)</f>
        <v>588.628218146267</v>
      </c>
      <c r="J30" s="61"/>
      <c r="K30" s="62">
        <f>(NORMSDIST((I30-$K$28)/B15)-NORMSDIST((I30-$L$28)/B15))</f>
        <v>1.93318022811972e-7</v>
      </c>
      <c r="L30" s="62">
        <f>(NORMSDIST((I30-$L$28)/B15)-NORMSDIST((I30-$M$28)/B15))</f>
        <v>0.0164111324937286</v>
      </c>
      <c r="M30" s="63">
        <f>(NORMSDIST((I30-$M$28)/B15)-NORMSDIST((I30-$N$28)/B15))</f>
        <v>0.773735412044128</v>
      </c>
      <c r="N30" s="63">
        <f>(NORMSDIST((I30-$N$28)/B15)-NORMSDIST((I30-$O$28)/B15))</f>
        <v>0.209764175011334</v>
      </c>
      <c r="O30" s="63">
        <f>(NORMSDIST((I30-$O$28)/B15)-NORMSDIST((I30-$P$28)/B15))</f>
        <v>8.90871215725961e-5</v>
      </c>
      <c r="P30" s="63">
        <f>(NORMSDIST((I30-$P$28)/B15)-NORMSDIST((I30-$Q$28)/B15))</f>
        <v>1.12132992883926e-11</v>
      </c>
      <c r="Q30" s="63">
        <f>(NORMSDIST((I30-$Q$28)/B15)-NORMSDIST((I30-$R$28)/B15))</f>
        <v>2.97313678662414e-22</v>
      </c>
      <c r="R30" s="63">
        <f>(NORMSDIST((I30-$R$28)/B15)-NORMSDIST((L30-$S$28)/B15))</f>
        <v>1.5119961800744e-36</v>
      </c>
      <c r="S30" s="63">
        <f>(NORMSDIST((I30-$S$28)/B15)-NORMSDIST((I30-$T$28)/B15))</f>
        <v>1.42076531823494e-54</v>
      </c>
      <c r="T30" s="63"/>
      <c r="U30" s="64">
        <f t="shared" si="1"/>
        <v>0.999999999999999</v>
      </c>
    </row>
    <row r="31" s="14" customFormat="1" ht="18" customHeight="1" spans="1:29">
      <c r="A31" s="65"/>
      <c r="B31" s="65"/>
      <c r="C31" s="56">
        <f t="shared" si="2"/>
        <v>0.249</v>
      </c>
      <c r="D31" s="67"/>
      <c r="E31" s="58">
        <v>33472</v>
      </c>
      <c r="F31" s="59">
        <f t="shared" si="0"/>
        <v>8.334528</v>
      </c>
      <c r="G31" s="59">
        <f t="shared" si="3"/>
        <v>600.086016</v>
      </c>
      <c r="H31" s="60">
        <f t="shared" si="4"/>
        <v>0.983361675273382</v>
      </c>
      <c r="I31" s="61">
        <f t="shared" si="5"/>
        <v>590.101590001889</v>
      </c>
      <c r="J31" s="68"/>
      <c r="K31" s="62">
        <f>(NORMSDIST((I31-$K$28)/B15)-NORMSDIST((I31-$L$28)/B15))</f>
        <v>1.40686728933304e-9</v>
      </c>
      <c r="L31" s="62">
        <f>(NORMSDIST((I31-$L$28)/B15)-NORMSDIST((I31-$M$28)/B15))</f>
        <v>0.00134575734857456</v>
      </c>
      <c r="M31" s="63">
        <f>(NORMSDIST((I31-$M$28)/B15)-NORMSDIST((I31-$N$28)/B15))</f>
        <v>0.474828101300853</v>
      </c>
      <c r="N31" s="69">
        <f>(NORMSDIST((I31-$N$28)/B15)-NORMSDIST((I31-$O$28)/B15))</f>
        <v>0.521846686564109</v>
      </c>
      <c r="O31" s="69">
        <f>(NORMSDIST((I31-$O$28)/B15)-NORMSDIST((I31-$P$28)/B15))</f>
        <v>0.00197945048253771</v>
      </c>
      <c r="P31" s="63">
        <f>(NORMSDIST((I31-$P$28)/B15)-NORMSDIST((I31-$Q$28)/B15))</f>
        <v>2.89705754589865e-9</v>
      </c>
      <c r="Q31" s="63">
        <f>(NORMSDIST((I31-$Q$28)/B15)-NORMSDIST((I31-$R$28)/B15))</f>
        <v>9.44129532882322e-19</v>
      </c>
      <c r="R31" s="63">
        <f>(NORMSDIST((I31-$R$28)/B15)-NORMSDIST((L31-$S$28)/B15))</f>
        <v>6.01171290494092e-32</v>
      </c>
      <c r="S31" s="63">
        <f>(NORMSDIST((I31-$S$28)/B15)-NORMSDIST((I31-$T$28)/B15))</f>
        <v>7.13119938286554e-49</v>
      </c>
      <c r="T31" s="63"/>
      <c r="U31" s="64">
        <f t="shared" si="1"/>
        <v>1</v>
      </c>
    </row>
    <row r="32" s="16" customFormat="1" ht="18" customHeight="1" spans="1:29">
      <c r="A32" s="65"/>
      <c r="B32" s="65"/>
      <c r="C32" s="56">
        <f t="shared" si="2"/>
        <v>0.25</v>
      </c>
      <c r="D32" s="67"/>
      <c r="E32" s="58">
        <v>33472</v>
      </c>
      <c r="F32" s="70">
        <f t="shared" si="0"/>
        <v>8.368</v>
      </c>
      <c r="G32" s="59">
        <f t="shared" si="3"/>
        <v>602.496</v>
      </c>
      <c r="H32" s="71">
        <f t="shared" si="4"/>
        <v>0.981861675273382</v>
      </c>
      <c r="I32" s="61">
        <f t="shared" si="5"/>
        <v>591.567731905511</v>
      </c>
      <c r="J32" s="72"/>
      <c r="K32" s="73">
        <f>(NORMSDIST((I32-$K$28)/B15)-NORMSDIST((I32-$L$28)/B15))</f>
        <v>5.06839015201876e-12</v>
      </c>
      <c r="L32" s="73">
        <f>(NORMSDIST((I32-$L$28)/B15)-NORMSDIST((I32-$M$28)/B15))</f>
        <v>5.59163137983099e-5</v>
      </c>
      <c r="M32" s="73">
        <f>(NORMSDIST((I32-$M$28)/B15)-NORMSDIST((I32-$N$28)/B15))</f>
        <v>0.178157456820775</v>
      </c>
      <c r="N32" s="73">
        <f>(NORMSDIST((I32-$N$28)/B15)-NORMSDIST((I32-$O$28)/B15))</f>
        <v>0.800042041748087</v>
      </c>
      <c r="O32" s="73">
        <f>(NORMSDIST((I32-$O$28)/B15)-NORMSDIST((I32-$P$28)/B15))</f>
        <v>0.0217442329324014</v>
      </c>
      <c r="P32" s="73">
        <f>(NORMSDIST((I32-$P$28)/B15)-NORMSDIST((I32-$Q$28)/B15))</f>
        <v>3.5217986808969e-7</v>
      </c>
      <c r="Q32" s="73">
        <f>(NORMSDIST((I32-$Q$28)/B15)-NORMSDIST((I32-$R$28)/B15))</f>
        <v>1.37966886706971e-15</v>
      </c>
      <c r="R32" s="73">
        <f>(NORMSDIST((I32-$R$28)/B15)-NORMSDIST((L32-$S$28)/B15))</f>
        <v>1.08224036754823e-27</v>
      </c>
      <c r="S32" s="63">
        <f>(NORMSDIST((I32-$S$28)/B15)-NORMSDIST((I32-$T$28)/B15))</f>
        <v>1.59763358224601e-43</v>
      </c>
      <c r="T32" s="63"/>
      <c r="U32" s="64">
        <f t="shared" si="1"/>
        <v>1</v>
      </c>
    </row>
    <row r="33" s="14" customFormat="1" ht="18" customHeight="1" spans="1:21">
      <c r="A33" s="65"/>
      <c r="B33" s="65"/>
      <c r="C33" s="56">
        <f t="shared" si="2"/>
        <v>0.251</v>
      </c>
      <c r="D33" s="76"/>
      <c r="E33" s="58">
        <v>33472</v>
      </c>
      <c r="F33" s="59">
        <f t="shared" si="0"/>
        <v>8.401472</v>
      </c>
      <c r="G33" s="59">
        <f t="shared" si="3"/>
        <v>604.905984</v>
      </c>
      <c r="H33" s="60">
        <f t="shared" si="4"/>
        <v>0.980361675273382</v>
      </c>
      <c r="I33" s="61">
        <f t="shared" si="5"/>
        <v>593.026643857134</v>
      </c>
      <c r="J33" s="72"/>
      <c r="K33" s="62">
        <f>(NORMSDIST((I33-$K$28)/B15)-NORMSDIST((I33-$L$28)/B15))</f>
        <v>9.10382880192628e-15</v>
      </c>
      <c r="L33" s="62">
        <f>(NORMSDIST((I33-$L$28)/B15)-NORMSDIST((I33-$M$28)/B15))</f>
        <v>1.17024038437386e-6</v>
      </c>
      <c r="M33" s="63">
        <f>(NORMSDIST((I33-$M$28)/B15)-NORMSDIST((I33-$N$28)/B15))</f>
        <v>0.0375058291428709</v>
      </c>
      <c r="N33" s="63">
        <f>(NORMSDIST((I33-$N$28)/B15)-NORMSDIST((I33-$O$28)/B15))</f>
        <v>0.839630917660759</v>
      </c>
      <c r="O33" s="63">
        <f>(NORMSDIST((I33-$O$28)/B15)-NORMSDIST((I33-$P$28)/B15))</f>
        <v>0.122841600958201</v>
      </c>
      <c r="P33" s="63">
        <f>(NORMSDIST((I33-$P$28)/B15)-NORMSDIST((I33-$Q$28)/B15))</f>
        <v>2.04819968365869e-5</v>
      </c>
      <c r="Q33" s="63">
        <f>(NORMSDIST((I33-$Q$28)/B15)-NORMSDIST((I33-$R$28)/B15))</f>
        <v>9.39704020018537e-13</v>
      </c>
      <c r="R33" s="63">
        <f>(NORMSDIST((I33-$R$28)/B15)-NORMSDIST((L33-$S$28)/B15))</f>
        <v>8.92540224355899e-24</v>
      </c>
      <c r="S33" s="63">
        <f>(NORMSDIST((I33-$S$28)/B15)-NORMSDIST((I33-$T$28)/B15))</f>
        <v>1.61586796565787e-38</v>
      </c>
      <c r="T33" s="63"/>
      <c r="U33" s="64">
        <f t="shared" si="1"/>
        <v>1</v>
      </c>
    </row>
    <row r="34" s="14" customFormat="1" ht="18" customHeight="1" spans="1:21">
      <c r="A34" s="65"/>
      <c r="B34" s="65"/>
      <c r="C34" s="56">
        <f t="shared" si="2"/>
        <v>0.252</v>
      </c>
      <c r="D34" s="76"/>
      <c r="E34" s="58">
        <v>33472</v>
      </c>
      <c r="F34" s="59">
        <f t="shared" si="0"/>
        <v>8.434944</v>
      </c>
      <c r="G34" s="59">
        <f t="shared" si="3"/>
        <v>607.315968</v>
      </c>
      <c r="H34" s="60">
        <f t="shared" si="4"/>
        <v>0.978861675273382</v>
      </c>
      <c r="I34" s="61">
        <f t="shared" si="5"/>
        <v>594.478325856756</v>
      </c>
      <c r="J34" s="75"/>
      <c r="K34" s="62">
        <f>(NORMSDIST((I34-$K$28)/B15)-NORMSDIST((I34-$L$28)/B15))</f>
        <v>0</v>
      </c>
      <c r="L34" s="62">
        <f>(NORMSDIST((I34-$L$28)/B15)-NORMSDIST((I34-$M$28)/B15))</f>
        <v>1.23420023090404e-8</v>
      </c>
      <c r="M34" s="63">
        <f>(NORMSDIST((I34-$M$28)/B15)-NORMSDIST((I34-$N$28)/B15))</f>
        <v>0.00421541973351924</v>
      </c>
      <c r="N34" s="63">
        <f>(NORMSDIST((I34-$N$28)/B15)-NORMSDIST((I34-$O$28)/B15))</f>
        <v>0.61631231830876</v>
      </c>
      <c r="O34" s="63">
        <f>(NORMSDIST((I34-$O$28)/B15)-NORMSDIST((I34-$P$28)/B15))</f>
        <v>0.378891242327335</v>
      </c>
      <c r="P34" s="63">
        <f>(NORMSDIST((I34-$P$28)/B15)-NORMSDIST((I34-$Q$28)/B15))</f>
        <v>0.000581006986070126</v>
      </c>
      <c r="Q34" s="63">
        <f>(NORMSDIST((I34-$Q$28)/B15)-NORMSDIST((I34-$R$28)/B15))</f>
        <v>3.02313082721967e-10</v>
      </c>
      <c r="R34" s="63">
        <f>(NORMSDIST((I34-$R$28)/B15)-NORMSDIST((L34-$S$28)/B15))</f>
        <v>3.41244179129483e-20</v>
      </c>
      <c r="S34" s="63">
        <f>(NORMSDIST((I34-$S$28)/B15)-NORMSDIST((I34-$T$28)/B15))</f>
        <v>7.46268455772697e-34</v>
      </c>
      <c r="T34" s="63"/>
      <c r="U34" s="64">
        <f t="shared" si="1"/>
        <v>1</v>
      </c>
    </row>
    <row r="35" s="14" customFormat="1" ht="18" customHeight="1" spans="1:21">
      <c r="A35" s="65"/>
      <c r="B35" s="65"/>
      <c r="C35" s="56">
        <f t="shared" si="2"/>
        <v>0.253</v>
      </c>
      <c r="D35" s="76">
        <v>0.26688674888391</v>
      </c>
      <c r="E35" s="58">
        <v>33472</v>
      </c>
      <c r="F35" s="59">
        <f t="shared" si="0"/>
        <v>8.468416</v>
      </c>
      <c r="G35" s="59">
        <f t="shared" si="3"/>
        <v>609.725952</v>
      </c>
      <c r="H35" s="60">
        <f t="shared" si="4"/>
        <v>0.977361675273382</v>
      </c>
      <c r="I35" s="61">
        <f t="shared" si="5"/>
        <v>595.922777904378</v>
      </c>
      <c r="J35" s="77"/>
      <c r="K35" s="62">
        <f>(NORMSDIST((I35-$K$28)/B15)-NORMSDIST((I35-$L$28)/B15))</f>
        <v>0</v>
      </c>
      <c r="L35" s="62">
        <f>(NORMSDIST((I35-$L$28)/B15)-NORMSDIST((I35-$M$28)/B15))</f>
        <v>6.58639809358874e-11</v>
      </c>
      <c r="M35" s="63">
        <f>(NORMSDIST((I35-$M$28)/B15)-NORMSDIST((I35-$N$28)/B15))</f>
        <v>0.00024700167277536</v>
      </c>
      <c r="N35" s="63">
        <f>(NORMSDIST((I35-$N$28)/B15)-NORMSDIST((I35-$O$28)/B15))</f>
        <v>0.293383128768937</v>
      </c>
      <c r="O35" s="63">
        <f>(NORMSDIST((I35-$O$28)/B15)-NORMSDIST((I35-$P$28)/B15))</f>
        <v>0.698135667696484</v>
      </c>
      <c r="P35" s="63">
        <f>(NORMSDIST((I35-$P$28)/B15)-NORMSDIST((I35-$Q$28)/B15))</f>
        <v>0.00823415520520402</v>
      </c>
      <c r="Q35" s="63">
        <f>(NORMSDIST((I35-$Q$28)/B15)-NORMSDIST((I35-$R$28)/B15))</f>
        <v>4.65907356012052e-8</v>
      </c>
      <c r="R35" s="63">
        <f>(NORMSDIST((I35-$R$28)/B15)-NORMSDIST((I35-$S$28)/B15))</f>
        <v>6.12169538793741e-17</v>
      </c>
      <c r="S35" s="63">
        <f>(NORMSDIST((I35-$S$28)/B15)-NORMSDIST((I35-$T$28)/B15))</f>
        <v>1.59186400312421e-29</v>
      </c>
      <c r="T35" s="63"/>
      <c r="U35" s="64">
        <f t="shared" si="1"/>
        <v>1</v>
      </c>
    </row>
    <row r="36" s="16" customFormat="1" ht="18" customHeight="1" spans="1:21">
      <c r="A36" s="65"/>
      <c r="B36" s="65"/>
      <c r="C36" s="78">
        <f t="shared" si="2"/>
        <v>0.254</v>
      </c>
      <c r="D36" s="76">
        <v>0.424199921317756</v>
      </c>
      <c r="E36" s="79">
        <v>33472</v>
      </c>
      <c r="F36" s="80">
        <f t="shared" si="0"/>
        <v>8.501888</v>
      </c>
      <c r="G36" s="80">
        <f t="shared" si="3"/>
        <v>612.135936</v>
      </c>
      <c r="H36" s="81">
        <f t="shared" si="4"/>
        <v>0.975861675273382</v>
      </c>
      <c r="I36" s="82">
        <v>597.36</v>
      </c>
      <c r="J36" s="82" t="s">
        <v>99</v>
      </c>
      <c r="K36" s="83">
        <f>(NORMSDIST((I36-$K$28)/B15)-NORMSDIST((I36-$L$28)/B15))</f>
        <v>0</v>
      </c>
      <c r="L36" s="83">
        <f>(NORMSDIST((I36-$L$28)/B15)-NORMSDIST((I36-$M$28)/B15))</f>
        <v>1.78967951569575e-13</v>
      </c>
      <c r="M36" s="84">
        <f>(NORMSDIST((I36-$M$28)/B15)-NORMSDIST((I36-$N$28)/B15))</f>
        <v>7.47540770507094e-6</v>
      </c>
      <c r="N36" s="84">
        <f>(NORMSDIST((I36-$N$28)/B15)-NORMSDIST((I36-$O$28)/B15))</f>
        <v>0.0825252287224525</v>
      </c>
      <c r="O36" s="84">
        <f>(NORMSDIST((I36-$O$28)/B15)-NORMSDIST((I36-$P$28)/B15))</f>
        <v>0.857248701672167</v>
      </c>
      <c r="P36" s="63">
        <f>(NORMSDIST((I36-$P$28)/B15)-NORMSDIST((I36-$Q$28)/B15))</f>
        <v>0.0602151012474563</v>
      </c>
      <c r="Q36" s="63">
        <f>(NORMSDIST((I36-$Q$28)/B15)-NORMSDIST((I36-$R$28)/B15))</f>
        <v>3.49294998800778e-6</v>
      </c>
      <c r="R36" s="84">
        <f>(NORMSDIST((I36-$R$28)/B15)-NORMSDIST((I36-$S$28)/B15))</f>
        <v>5.21677762599732e-14</v>
      </c>
      <c r="S36" s="84">
        <f>(NORMSDIST((I36-$S$28)/B15)-NORMSDIST((I36-$T$28)/B15))</f>
        <v>1.58644535722566e-25</v>
      </c>
      <c r="T36" s="84"/>
      <c r="U36" s="85">
        <f t="shared" si="1"/>
        <v>1</v>
      </c>
    </row>
    <row r="37" s="14" customFormat="1" ht="18" customHeight="1" spans="1:21">
      <c r="A37" s="65"/>
      <c r="B37" s="65"/>
      <c r="C37" s="56">
        <f t="shared" si="2"/>
        <v>0.255</v>
      </c>
      <c r="D37" s="76">
        <v>0.274703658724321</v>
      </c>
      <c r="E37" s="58">
        <v>33472</v>
      </c>
      <c r="F37" s="59">
        <f t="shared" si="0"/>
        <v>8.53536</v>
      </c>
      <c r="G37" s="59">
        <f t="shared" si="3"/>
        <v>614.54592</v>
      </c>
      <c r="H37" s="60">
        <f t="shared" si="4"/>
        <v>0.974361675273382</v>
      </c>
      <c r="I37" s="61">
        <f>G37*(H36-0.15%)</f>
        <v>598.789992143622</v>
      </c>
      <c r="J37" s="75"/>
      <c r="K37" s="62">
        <f>(NORMSDIST((I37-$K$28)/B15)-NORMSDIST((I37-$L$28)/B15))</f>
        <v>0</v>
      </c>
      <c r="L37" s="62">
        <f>(NORMSDIST((I37-$L$28)/B15)-NORMSDIST((I37-$M$28)/B15))</f>
        <v>0</v>
      </c>
      <c r="M37" s="63">
        <f>(NORMSDIST((I37-$M$28)/B15)-NORMSDIST((I37-$N$28)/B15))</f>
        <v>1.16682013273639e-7</v>
      </c>
      <c r="N37" s="63">
        <f>(NORMSDIST((I37-$N$28)/B15)-NORMSDIST((I37-$O$28)/B15))</f>
        <v>0.0128932970078538</v>
      </c>
      <c r="O37" s="63">
        <f>(NORMSDIST((I37-$O$28)/B15)-NORMSDIST((I37-$P$28)/B15))</f>
        <v>0.74880277161859</v>
      </c>
      <c r="P37" s="63">
        <f>(NORMSDIST((I37-$P$28)/B15)-NORMSDIST((I37-$Q$28)/B15))</f>
        <v>0.238174190206339</v>
      </c>
      <c r="Q37" s="63">
        <f>(NORMSDIST((I37-$Q$28)/B15)-NORMSDIST((I37-$R$28)/B15))</f>
        <v>0.00012962446381505</v>
      </c>
      <c r="R37" s="63">
        <f>(NORMSDIST((I37-$R$28)/B15)-NORMSDIST((I37-$S$28)/B15))</f>
        <v>2.13889531548425e-11</v>
      </c>
      <c r="S37" s="63">
        <f>(NORMSDIST((I37-$S$28)/B15)-NORMSDIST((I37-$T$28)/B15))</f>
        <v>7.47273194402539e-22</v>
      </c>
      <c r="T37" s="63"/>
      <c r="U37" s="64">
        <f t="shared" si="1"/>
        <v>1</v>
      </c>
    </row>
    <row r="38" s="14" customFormat="1" ht="18" customHeight="1" spans="1:21">
      <c r="A38" s="65"/>
      <c r="B38" s="65"/>
      <c r="C38" s="56">
        <f t="shared" si="2"/>
        <v>0.256</v>
      </c>
      <c r="D38" s="76">
        <v>0.0342096710740126</v>
      </c>
      <c r="E38" s="58">
        <v>33472</v>
      </c>
      <c r="F38" s="59">
        <f t="shared" si="0"/>
        <v>8.568832</v>
      </c>
      <c r="G38" s="59">
        <f t="shared" si="3"/>
        <v>616.955904</v>
      </c>
      <c r="H38" s="60">
        <f t="shared" si="4"/>
        <v>0.972861675273382</v>
      </c>
      <c r="I38" s="61">
        <f t="shared" ref="I38:I48" si="6">G38*(H37-0.15%)</f>
        <v>600.212754335244</v>
      </c>
      <c r="J38" s="61"/>
      <c r="K38" s="62">
        <f>(NORMSDIST((I38-$K$28)/B15)-NORMSDIST((I38-$L$28)/B15))</f>
        <v>0</v>
      </c>
      <c r="L38" s="62">
        <f>(NORMSDIST((I38-$L$28)/B15)-NORMSDIST((I38-$M$28)/B15))</f>
        <v>0</v>
      </c>
      <c r="M38" s="63">
        <f>(NORMSDIST((I38-$M$28)/B15)-NORMSDIST((I38-$N$28)/B15))</f>
        <v>9.42014244387224e-10</v>
      </c>
      <c r="N38" s="63">
        <f>(NORMSDIST((I38-$N$28)/B15)-NORMSDIST((I38-$O$28)/B15))</f>
        <v>0.00108353325744881</v>
      </c>
      <c r="O38" s="63">
        <f>(NORMSDIST((I38-$O$28)/B15)-NORMSDIST((I38-$P$28)/B15))</f>
        <v>0.44911902065693</v>
      </c>
      <c r="P38" s="63">
        <f>(NORMSDIST((I38-$P$28)/B15)-NORMSDIST((I38-$Q$28)/B15))</f>
        <v>0.547366365082585</v>
      </c>
      <c r="Q38" s="63">
        <f>(NORMSDIST((I38-$Q$28)/B15)-NORMSDIST((I38-$R$28)/B15))</f>
        <v>0.00243107578507814</v>
      </c>
      <c r="R38" s="63">
        <f>(NORMSDIST((I38-$R$28)/B15)-NORMSDIST((I38-$S$28)/B15))</f>
        <v>4.27594396028973e-9</v>
      </c>
      <c r="S38" s="63">
        <f>(NORMSDIST((I38-$S$28)/B15)-NORMSDIST((I38-$T$28)/B15))</f>
        <v>1.68328070994035e-18</v>
      </c>
      <c r="T38" s="63"/>
      <c r="U38" s="64">
        <f t="shared" si="1"/>
        <v>1</v>
      </c>
    </row>
    <row r="39" s="14" customFormat="1" ht="18" customHeight="1" spans="1:21">
      <c r="A39" s="65"/>
      <c r="B39" s="65"/>
      <c r="C39" s="56">
        <f t="shared" si="2"/>
        <v>0.257</v>
      </c>
      <c r="D39" s="76">
        <v>0</v>
      </c>
      <c r="E39" s="58">
        <v>33472</v>
      </c>
      <c r="F39" s="59">
        <f t="shared" si="0"/>
        <v>8.602304</v>
      </c>
      <c r="G39" s="59">
        <f t="shared" si="3"/>
        <v>619.365888</v>
      </c>
      <c r="H39" s="60">
        <f t="shared" si="4"/>
        <v>0.971361675273382</v>
      </c>
      <c r="I39" s="61">
        <f t="shared" si="6"/>
        <v>601.628286574866</v>
      </c>
      <c r="J39" s="61"/>
      <c r="K39" s="62">
        <f>(NORMSDIST((I39-$K$28)/B15)-NORMSDIST((I39-$L$28)/B15))</f>
        <v>0</v>
      </c>
      <c r="L39" s="62">
        <f>(NORMSDIST((I39-$L$28)/B15)-NORMSDIST((I39-$M$28)/B15))</f>
        <v>0</v>
      </c>
      <c r="M39" s="63">
        <f>(NORMSDIST((I39-$M$28)/B15)-NORMSDIST((I39-$N$28)/B15))</f>
        <v>3.9549474806222e-12</v>
      </c>
      <c r="N39" s="63">
        <f>(NORMSDIST((I39-$N$28)/B15)-NORMSDIST((I39-$O$28)/B15))</f>
        <v>4.82969583464055e-5</v>
      </c>
      <c r="O39" s="63">
        <f>(NORMSDIST((I39-$O$28)/B15)-NORMSDIST((I39-$P$28)/B15))</f>
        <v>0.169029570588402</v>
      </c>
      <c r="P39" s="63">
        <f>(NORMSDIST((I39-$P$28)/B15)-NORMSDIST((I39-$Q$28)/B15))</f>
        <v>0.807258563345535</v>
      </c>
      <c r="Q39" s="63">
        <f>(NORMSDIST((I39-$Q$28)/B15)-NORMSDIST((I39-$R$28)/B15))</f>
        <v>0.0236631463027867</v>
      </c>
      <c r="R39" s="63">
        <f>(NORMSDIST((I39-$R$28)/B15)-NORMSDIST((I39-$S$28)/B15))</f>
        <v>4.22800973135462e-7</v>
      </c>
      <c r="S39" s="63">
        <f>(NORMSDIST((I39-$S$28)/B15)-NORMSDIST((I39-$T$28)/B15))</f>
        <v>1.83499392738562e-15</v>
      </c>
      <c r="T39" s="63"/>
      <c r="U39" s="64">
        <f t="shared" si="1"/>
        <v>1</v>
      </c>
    </row>
    <row r="40" s="14" customFormat="1" ht="18" customHeight="1" spans="1:21">
      <c r="A40" s="65"/>
      <c r="B40" s="65"/>
      <c r="C40" s="56">
        <f t="shared" si="2"/>
        <v>0.258</v>
      </c>
      <c r="D40" s="76"/>
      <c r="E40" s="58">
        <v>33472</v>
      </c>
      <c r="F40" s="59">
        <f t="shared" si="0"/>
        <v>8.635776</v>
      </c>
      <c r="G40" s="59">
        <f t="shared" si="3"/>
        <v>621.775872</v>
      </c>
      <c r="H40" s="60">
        <f t="shared" si="4"/>
        <v>0.969861675273382</v>
      </c>
      <c r="I40" s="61">
        <f t="shared" si="6"/>
        <v>603.036588862488</v>
      </c>
      <c r="J40" s="61"/>
      <c r="K40" s="62">
        <f>(NORMSDIST((I40-$K$28)/B15)-NORMSDIST((I40-$L$28)/B15))</f>
        <v>0</v>
      </c>
      <c r="L40" s="62">
        <f>(NORMSDIST((I40-$L$28)/B15)-NORMSDIST((I40-$M$28)/B15))</f>
        <v>0</v>
      </c>
      <c r="M40" s="63">
        <f>(NORMSDIST((I40-$M$28)/B15)-NORMSDIST((I40-$N$28)/B15))</f>
        <v>8.65973959207622e-15</v>
      </c>
      <c r="N40" s="63">
        <f>(NORMSDIST((I40-$N$28)/B15)-NORMSDIST((I40-$O$28)/B15))</f>
        <v>1.13703579907032e-6</v>
      </c>
      <c r="O40" s="63">
        <f>(NORMSDIST((I40-$O$28)/B15)-NORMSDIST((I40-$P$28)/B15))</f>
        <v>0.0370299774857686</v>
      </c>
      <c r="P40" s="63">
        <f>(NORMSDIST((I40-$P$28)/B15)-NORMSDIST((I40-$Q$28)/B15))</f>
        <v>0.838912969063851</v>
      </c>
      <c r="Q40" s="63">
        <f>(NORMSDIST((I40-$Q$28)/B15)-NORMSDIST((I40-$R$28)/B15))</f>
        <v>0.124034910184665</v>
      </c>
      <c r="R40" s="63">
        <f>(NORMSDIST((I40-$R$28)/B15)-NORMSDIST((I40-$S$28)/B15))</f>
        <v>2.10062289275352e-5</v>
      </c>
      <c r="S40" s="63">
        <f>(NORMSDIST((I40-$S$28)/B15)-NORMSDIST((I40-$T$28)/B15))</f>
        <v>9.79998129215829e-13</v>
      </c>
      <c r="T40" s="63"/>
      <c r="U40" s="64">
        <f t="shared" si="1"/>
        <v>1</v>
      </c>
    </row>
    <row r="41" s="14" customFormat="1" ht="18" customHeight="1" spans="1:21">
      <c r="A41" s="65"/>
      <c r="B41" s="65"/>
      <c r="C41" s="56">
        <f t="shared" si="2"/>
        <v>0.259</v>
      </c>
      <c r="D41" s="76"/>
      <c r="E41" s="58">
        <v>33472</v>
      </c>
      <c r="F41" s="59">
        <f t="shared" si="0"/>
        <v>8.669248</v>
      </c>
      <c r="G41" s="59">
        <f t="shared" si="3"/>
        <v>624.185856</v>
      </c>
      <c r="H41" s="60">
        <f t="shared" si="4"/>
        <v>0.968361675273382</v>
      </c>
      <c r="I41" s="61">
        <f t="shared" si="6"/>
        <v>604.43766119811</v>
      </c>
      <c r="J41" s="61"/>
      <c r="K41" s="62">
        <f>(NORMSDIST((I41-$K$28)/B15)-NORMSDIST((I41-$L$28)/B15))</f>
        <v>0</v>
      </c>
      <c r="L41" s="62">
        <f>(NORMSDIST((I41-$L$28)/B15)-NORMSDIST((I41-$M$28)/B15))</f>
        <v>0</v>
      </c>
      <c r="M41" s="63">
        <f>(NORMSDIST((I41-$M$28)/B15)-NORMSDIST((I41-$N$28)/B15))</f>
        <v>0</v>
      </c>
      <c r="N41" s="63">
        <f>(NORMSDIST((I41-$N$28)/B15)-NORMSDIST((I41-$O$28)/B15))</f>
        <v>1.41561369293441e-8</v>
      </c>
      <c r="O41" s="63">
        <f>(NORMSDIST((I41-$O$28)/B15)-NORMSDIST((I41-$P$28)/B15))</f>
        <v>0.00452195247173004</v>
      </c>
      <c r="P41" s="63">
        <f>(NORMSDIST((I41-$P$28)/B15)-NORMSDIST((I41-$Q$28)/B15))</f>
        <v>0.625075543188208</v>
      </c>
      <c r="Q41" s="63">
        <f>(NORMSDIST((I41-$Q$28)/B15)-NORMSDIST((I41-$R$28)/B15))</f>
        <v>0.369868474312872</v>
      </c>
      <c r="R41" s="63">
        <f>(NORMSDIST((I41-$R$28)/B15)-NORMSDIST((I41-$S$28)/B15))</f>
        <v>0.000534015611373852</v>
      </c>
      <c r="S41" s="63">
        <f>(NORMSDIST((I41-$S$28)/B15)-NORMSDIST((I41-$T$28)/B15))</f>
        <v>2.59679904486868e-10</v>
      </c>
      <c r="T41" s="63"/>
      <c r="U41" s="64">
        <f t="shared" si="1"/>
        <v>1</v>
      </c>
    </row>
    <row r="42" s="14" customFormat="1" ht="18" customHeight="1" spans="1:21">
      <c r="A42" s="65"/>
      <c r="B42" s="65"/>
      <c r="C42" s="56">
        <f t="shared" si="2"/>
        <v>0.26</v>
      </c>
      <c r="D42" s="76"/>
      <c r="E42" s="58">
        <v>33472</v>
      </c>
      <c r="F42" s="59">
        <f t="shared" si="0"/>
        <v>8.70272</v>
      </c>
      <c r="G42" s="59">
        <f t="shared" si="3"/>
        <v>626.59584</v>
      </c>
      <c r="H42" s="60">
        <f t="shared" si="4"/>
        <v>0.966861675273382</v>
      </c>
      <c r="I42" s="61">
        <f t="shared" si="6"/>
        <v>605.831503581732</v>
      </c>
      <c r="J42" s="61"/>
      <c r="K42" s="62">
        <f>(NORMSDIST((I42-$K$28)/B15)-NORMSDIST((I42-$L$28)/B15))</f>
        <v>0</v>
      </c>
      <c r="L42" s="62">
        <f>(NORMSDIST((I42-$L$28)/B15)-NORMSDIST((I42-$M$28)/B15))</f>
        <v>0</v>
      </c>
      <c r="M42" s="63">
        <f>(NORMSDIST((I42-$M$28)/B15)-NORMSDIST((I42-$N$28)/B15))</f>
        <v>0</v>
      </c>
      <c r="N42" s="63">
        <f>(NORMSDIST((I42-$N$28)/B15)-NORMSDIST((I42-$O$28)/B15))</f>
        <v>9.36107857896218e-11</v>
      </c>
      <c r="O42" s="63">
        <f>(NORMSDIST((I42-$O$28)/B15)-NORMSDIST((I42-$P$28)/B15))</f>
        <v>0.000301461228582212</v>
      </c>
      <c r="P42" s="63">
        <f>(NORMSDIST((I42-$P$28)/B15)-NORMSDIST((I42-$Q$28)/B15))</f>
        <v>0.31207699716826</v>
      </c>
      <c r="Q42" s="63">
        <f>(NORMSDIST((I42-$Q$28)/B15)-NORMSDIST((I42-$R$28)/B15))</f>
        <v>0.68051942794046</v>
      </c>
      <c r="R42" s="63">
        <f>(NORMSDIST((I42-$R$28)/B15)-NORMSDIST((I42-$S$28)/B15))</f>
        <v>0.00710207896856041</v>
      </c>
      <c r="S42" s="63">
        <f>(NORMSDIST((I42-$S$28)/B15)-NORMSDIST((I42-$T$28)/B15))</f>
        <v>3.46005258436013e-8</v>
      </c>
      <c r="T42" s="63"/>
      <c r="U42" s="64">
        <f t="shared" si="1"/>
        <v>1</v>
      </c>
    </row>
    <row r="43" s="14" customFormat="1" ht="18" hidden="1" customHeight="1" spans="1:21">
      <c r="A43" s="65"/>
      <c r="B43" s="65"/>
      <c r="C43" s="56">
        <f t="shared" si="2"/>
        <v>0.261</v>
      </c>
      <c r="D43" s="76"/>
      <c r="E43" s="58">
        <v>33472</v>
      </c>
      <c r="F43" s="59">
        <f t="shared" si="0"/>
        <v>8.736192</v>
      </c>
      <c r="G43" s="59">
        <f t="shared" si="3"/>
        <v>629.005824</v>
      </c>
      <c r="H43" s="60">
        <f t="shared" si="4"/>
        <v>0.965361675273382</v>
      </c>
      <c r="I43" s="61">
        <f t="shared" si="6"/>
        <v>607.218116013354</v>
      </c>
      <c r="J43" s="61"/>
      <c r="K43" s="62">
        <f>(NORMSDIST((I43-$K$28)/B15)-NORMSDIST((I43-$L$28)/B15))</f>
        <v>0</v>
      </c>
      <c r="L43" s="62">
        <f>(NORMSDIST((I43-$L$28)/B15)-NORMSDIST((I43-$M$28)/B15))</f>
        <v>0</v>
      </c>
      <c r="M43" s="63">
        <f>(NORMSDIST((I43-$M$28)/B15)-NORMSDIST((I43-$N$28)/B15))</f>
        <v>0</v>
      </c>
      <c r="N43" s="63">
        <f>(NORMSDIST((I43-$N$28)/B15)-NORMSDIST((I43-$O$28)/B15))</f>
        <v>3.30846461338297e-13</v>
      </c>
      <c r="O43" s="63">
        <f>(NORMSDIST((I43-$O$28)/B15)-NORMSDIST((I43-$P$28)/B15))</f>
        <v>1.08834292807947e-5</v>
      </c>
      <c r="P43" s="63">
        <f>(NORMSDIST((I43-$P$28)/B15)-NORMSDIST((I43-$Q$28)/B15))</f>
        <v>0.0959740026616138</v>
      </c>
      <c r="Q43" s="63">
        <f>(NORMSDIST((I43-$Q$28)/B15)-NORMSDIST((I43-$R$28)/B15))</f>
        <v>0.853137409549888</v>
      </c>
      <c r="R43" s="63">
        <f>(NORMSDIST((I43-$R$28)/B15)-NORMSDIST((I43-$S$28)/B15))</f>
        <v>0.0508753524159654</v>
      </c>
      <c r="S43" s="63">
        <f>(NORMSDIST((I43-$S$28)/B15)-NORMSDIST((I43-$T$28)/B15))</f>
        <v>2.35194289320769e-6</v>
      </c>
      <c r="T43" s="63"/>
      <c r="U43" s="64">
        <f t="shared" si="1"/>
        <v>0.999999999999972</v>
      </c>
    </row>
    <row r="44" s="14" customFormat="1" ht="18" hidden="1" customHeight="1" spans="1:21">
      <c r="A44" s="65"/>
      <c r="B44" s="65"/>
      <c r="C44" s="56">
        <f t="shared" si="2"/>
        <v>0.262</v>
      </c>
      <c r="D44" s="76"/>
      <c r="E44" s="58">
        <v>33472</v>
      </c>
      <c r="F44" s="59">
        <f t="shared" si="0"/>
        <v>8.769664</v>
      </c>
      <c r="G44" s="59">
        <f t="shared" si="3"/>
        <v>631.415808</v>
      </c>
      <c r="H44" s="60">
        <f t="shared" si="4"/>
        <v>0.963861675273382</v>
      </c>
      <c r="I44" s="61">
        <f t="shared" si="6"/>
        <v>608.597498492976</v>
      </c>
      <c r="J44" s="61"/>
      <c r="K44" s="62">
        <f>(NORMSDIST((I44-$K$28)/B15)-NORMSDIST((I44-$L$28)/B15))</f>
        <v>0</v>
      </c>
      <c r="L44" s="62">
        <f>(NORMSDIST((I44-$L$28)/B15)-NORMSDIST((I44-$M$28)/B15))</f>
        <v>0</v>
      </c>
      <c r="M44" s="63">
        <f>(NORMSDIST((I44-$M$28)/B15)-NORMSDIST((I44-$N$28)/B15))</f>
        <v>0</v>
      </c>
      <c r="N44" s="63">
        <f>(NORMSDIST((I44-$N$28)/B15)-NORMSDIST((I44-$O$28)/B15))</f>
        <v>6.66133814775094e-16</v>
      </c>
      <c r="O44" s="63">
        <f>(NORMSDIST((I44-$O$28)/B15)-NORMSDIST((I44-$P$28)/B15))</f>
        <v>2.12558997847445e-7</v>
      </c>
      <c r="P44" s="63">
        <f>(NORMSDIST((I44-$P$28)/B15)-NORMSDIST((I44-$Q$28)/B15))</f>
        <v>0.0171647259250167</v>
      </c>
      <c r="Q44" s="63">
        <f>(NORMSDIST((I44-$Q$28)/B15)-NORMSDIST((I44-$R$28)/B15))</f>
        <v>0.778149517811922</v>
      </c>
      <c r="R44" s="63">
        <f>(NORMSDIST((I44-$R$28)/B15)-NORMSDIST((I44-$S$28)/B15))</f>
        <v>0.204602660674844</v>
      </c>
      <c r="S44" s="63">
        <f>(NORMSDIST((I44-$S$28)/B15)-NORMSDIST((I44-$T$28)/B15))</f>
        <v>8.28830193097678e-5</v>
      </c>
      <c r="T44" s="63"/>
      <c r="U44" s="64">
        <f t="shared" si="1"/>
        <v>0.999999999990091</v>
      </c>
    </row>
    <row r="45" s="14" customFormat="1" ht="18" hidden="1" customHeight="1" spans="1:21">
      <c r="A45" s="65"/>
      <c r="B45" s="65"/>
      <c r="C45" s="56">
        <f t="shared" si="2"/>
        <v>0.263</v>
      </c>
      <c r="D45" s="87"/>
      <c r="E45" s="58">
        <v>33472</v>
      </c>
      <c r="F45" s="59">
        <f t="shared" si="0"/>
        <v>8.803136</v>
      </c>
      <c r="G45" s="59">
        <f t="shared" si="3"/>
        <v>633.825792</v>
      </c>
      <c r="H45" s="60">
        <f t="shared" si="4"/>
        <v>0.962361675273382</v>
      </c>
      <c r="I45" s="61">
        <f t="shared" si="6"/>
        <v>609.969651020598</v>
      </c>
      <c r="J45" s="61"/>
      <c r="K45" s="62">
        <f>(NORMSDIST((I45-$K$28)/B15)-NORMSDIST((I45-$L$28)/B15))</f>
        <v>0</v>
      </c>
      <c r="L45" s="62">
        <f>(NORMSDIST((I45-$L$28)/B15)-NORMSDIST((I45-$M$28)/B15))</f>
        <v>0</v>
      </c>
      <c r="M45" s="63">
        <f>(NORMSDIST((I45-$M$28)/B15)-NORMSDIST((I45-$N$28)/B15))</f>
        <v>0</v>
      </c>
      <c r="N45" s="63">
        <f>(NORMSDIST((I45-$N$28)/B15)-NORMSDIST((I45-$O$28)/B15))</f>
        <v>0</v>
      </c>
      <c r="O45" s="63">
        <f>(NORMSDIST((I45-$O$28)/B15)-NORMSDIST((I45-$P$28)/B15))</f>
        <v>2.25243235174588e-9</v>
      </c>
      <c r="P45" s="63">
        <f>(NORMSDIST((I45-$P$28)/B15)-NORMSDIST((I45-$Q$28)/B15))</f>
        <v>0.00173157676106139</v>
      </c>
      <c r="Q45" s="63">
        <f>(NORMSDIST((I45-$Q$28)/B15)-NORMSDIST((I45-$R$28)/B15))</f>
        <v>0.505390096256641</v>
      </c>
      <c r="R45" s="63">
        <f>(NORMSDIST((I45-$R$28)/B15)-NORMSDIST((I45-$S$28)/B15))</f>
        <v>0.491335273495652</v>
      </c>
      <c r="S45" s="63">
        <f>(NORMSDIST((I45-$S$28)/B15)-NORMSDIST((I45-$T$28)/B15))</f>
        <v>0.00154304941896525</v>
      </c>
      <c r="T45" s="63"/>
      <c r="U45" s="64">
        <f t="shared" si="1"/>
        <v>0.999999998184752</v>
      </c>
    </row>
    <row r="46" s="14" customFormat="1" ht="18" hidden="1" customHeight="1" spans="1:21">
      <c r="A46" s="65"/>
      <c r="B46" s="65"/>
      <c r="C46" s="56">
        <f t="shared" si="2"/>
        <v>0.264</v>
      </c>
      <c r="D46" s="87"/>
      <c r="E46" s="58">
        <v>33472</v>
      </c>
      <c r="F46" s="59">
        <f t="shared" si="0"/>
        <v>8.836608</v>
      </c>
      <c r="G46" s="59">
        <f t="shared" si="3"/>
        <v>636.235776</v>
      </c>
      <c r="H46" s="60">
        <f t="shared" si="4"/>
        <v>0.960861675273382</v>
      </c>
      <c r="I46" s="61">
        <f t="shared" si="6"/>
        <v>611.33457359622</v>
      </c>
      <c r="J46" s="61"/>
      <c r="K46" s="62">
        <f>(NORMSDIST((I46-$K$28)/B15)-NORMSDIST((I46-$L$28)/B15))</f>
        <v>0</v>
      </c>
      <c r="L46" s="62">
        <f>(NORMSDIST((I46-$L$28)/B15)-NORMSDIST((I46-$M$28)/B15))</f>
        <v>0</v>
      </c>
      <c r="M46" s="63">
        <f>(NORMSDIST((I46-$M$28)/B15)-NORMSDIST((I46-$N$28)/B15))</f>
        <v>0</v>
      </c>
      <c r="N46" s="63">
        <f>(NORMSDIST((I46-$N$28)/B15)-NORMSDIST((I46-$O$28)/B15))</f>
        <v>0</v>
      </c>
      <c r="O46" s="63">
        <f>(NORMSDIST((I46-$O$28)/B15)-NORMSDIST((I46-$P$28)/B15))</f>
        <v>1.30190302982669e-11</v>
      </c>
      <c r="P46" s="63">
        <f>(NORMSDIST((I46-$P$28)/B15)-NORMSDIST((I46-$Q$28)/B15))</f>
        <v>9.7186463064336e-5</v>
      </c>
      <c r="Q46" s="63">
        <f>(NORMSDIST((I46-$Q$28)/B15)-NORMSDIST((I46-$R$28)/B15))</f>
        <v>0.216116906766733</v>
      </c>
      <c r="R46" s="63">
        <f>(NORMSDIST((I46-$R$28)/B15)-NORMSDIST((I46-$S$28)/B15))</f>
        <v>0.768249273051338</v>
      </c>
      <c r="S46" s="63">
        <f>(NORMSDIST((I46-$S$28)/B15)-NORMSDIST((I46-$T$28)/B15))</f>
        <v>0.0155364614485717</v>
      </c>
      <c r="T46" s="63"/>
      <c r="U46" s="64">
        <f t="shared" si="1"/>
        <v>0.999999827742726</v>
      </c>
    </row>
    <row r="47" s="14" customFormat="1" ht="18" hidden="1" customHeight="1" spans="1:21">
      <c r="A47" s="65"/>
      <c r="B47" s="65"/>
      <c r="C47" s="56">
        <f t="shared" si="2"/>
        <v>0.265</v>
      </c>
      <c r="D47" s="87"/>
      <c r="E47" s="58">
        <v>33472</v>
      </c>
      <c r="F47" s="59">
        <f t="shared" si="0"/>
        <v>8.87008</v>
      </c>
      <c r="G47" s="59">
        <f t="shared" si="3"/>
        <v>638.64576</v>
      </c>
      <c r="H47" s="60">
        <f t="shared" si="4"/>
        <v>0.959361675273382</v>
      </c>
      <c r="I47" s="61">
        <f t="shared" si="6"/>
        <v>612.692266219843</v>
      </c>
      <c r="J47" s="61"/>
      <c r="K47" s="62">
        <f>(NORMSDIST((I47-$K$28)/B15)-NORMSDIST((I47-$L$28)/B15))</f>
        <v>0</v>
      </c>
      <c r="L47" s="62">
        <f>(NORMSDIST((I47-$L$28)/B15)-NORMSDIST((I47-$M$28)/B15))</f>
        <v>0</v>
      </c>
      <c r="M47" s="63">
        <f>(NORMSDIST((I47-$M$28)/B15)-NORMSDIST((I47-$N$28)/B15))</f>
        <v>0</v>
      </c>
      <c r="N47" s="63">
        <f>(NORMSDIST((I47-$N$28)/B15)-NORMSDIST((I47-$O$28)/B15))</f>
        <v>0</v>
      </c>
      <c r="O47" s="63">
        <f>(NORMSDIST((I47-$O$28)/B15)-NORMSDIST((I47-$P$28)/B15))</f>
        <v>4.13002965160558e-14</v>
      </c>
      <c r="P47" s="63">
        <f>(NORMSDIST((I47-$P$28)/B15)-NORMSDIST((I47-$Q$28)/B15))</f>
        <v>3.02173941102435e-6</v>
      </c>
      <c r="Q47" s="63">
        <f>(NORMSDIST((I47-$Q$28)/B15)-NORMSDIST((I47-$R$28)/B15))</f>
        <v>0.0566295730720112</v>
      </c>
      <c r="R47" s="63">
        <f>(NORMSDIST((I47-$R$28)/B15)-NORMSDIST((I47-$S$28)/B15))</f>
        <v>0.856054693677935</v>
      </c>
      <c r="S47" s="63">
        <f>(NORMSDIST((I47-$S$28)/B15)-NORMSDIST((I47-$T$28)/B15))</f>
        <v>0.0873041200874983</v>
      </c>
      <c r="T47" s="63"/>
      <c r="U47" s="64">
        <f t="shared" si="1"/>
        <v>0.999991408576897</v>
      </c>
    </row>
    <row r="48" s="14" customFormat="1" ht="18" hidden="1" customHeight="1" spans="1:21">
      <c r="A48" s="65"/>
      <c r="B48" s="65"/>
      <c r="C48" s="56">
        <f t="shared" si="2"/>
        <v>0.266</v>
      </c>
      <c r="D48" s="87"/>
      <c r="E48" s="58">
        <v>33472</v>
      </c>
      <c r="F48" s="59">
        <f t="shared" si="0"/>
        <v>8.903552</v>
      </c>
      <c r="G48" s="59">
        <f t="shared" si="3"/>
        <v>641.055744</v>
      </c>
      <c r="H48" s="60">
        <f t="shared" si="4"/>
        <v>0.957861675273383</v>
      </c>
      <c r="I48" s="61">
        <f t="shared" si="6"/>
        <v>614.042728891465</v>
      </c>
      <c r="J48" s="61"/>
      <c r="K48" s="62">
        <f>(NORMSDIST((I48-$K$28)/B15)-NORMSDIST((I48-$L$28)/B15))</f>
        <v>0</v>
      </c>
      <c r="L48" s="62">
        <f>(NORMSDIST((I48-$L$28)/B15)-NORMSDIST((I48-$M$28)/B15))</f>
        <v>0</v>
      </c>
      <c r="M48" s="63">
        <f>(NORMSDIST((I48-$M$28)/B15)-NORMSDIST((I48-$N$28)/B15))</f>
        <v>0</v>
      </c>
      <c r="N48" s="63">
        <f>(NORMSDIST((I48-$N$28)/B15)-NORMSDIST((I48-$O$28)/B15))</f>
        <v>0</v>
      </c>
      <c r="O48" s="63">
        <f>(NORMSDIST((I48-$O$28)/B15)-NORMSDIST((I48-$P$28)/B15))</f>
        <v>0</v>
      </c>
      <c r="P48" s="63">
        <f>(NORMSDIST((I48-$P$28)/B15)-NORMSDIST((I48-$Q$28)/B15))</f>
        <v>5.20972841533407e-8</v>
      </c>
      <c r="Q48" s="63">
        <f>(NORMSDIST((I48-$Q$28)/B15)-NORMSDIST((I48-$R$28)/B15))</f>
        <v>0.00870157147763873</v>
      </c>
      <c r="R48" s="63">
        <f>(NORMSDIST((I48-$R$28)/B15)-NORMSDIST((I48-$S$28)/B15))</f>
        <v>0.704615202676621</v>
      </c>
      <c r="S48" s="63">
        <f>(NORMSDIST((I48-$S$28)/B15)-NORMSDIST((I48-$T$28)/B15))</f>
        <v>0.286454249429832</v>
      </c>
      <c r="T48" s="63"/>
      <c r="U48" s="64">
        <f t="shared" si="1"/>
        <v>0.999771075681377</v>
      </c>
    </row>
    <row r="49" s="14" customFormat="1" ht="9.6" customHeight="1" spans="4:21">
      <c r="D49" s="88"/>
    </row>
    <row r="50" s="14" customFormat="1" ht="18" customHeight="1" spans="4:21">
      <c r="D50" s="89"/>
      <c r="I50" s="90" t="s">
        <v>90</v>
      </c>
      <c r="J50" s="90" t="s">
        <v>89</v>
      </c>
      <c r="K50" s="53">
        <f>K28</f>
        <v>575</v>
      </c>
      <c r="L50" s="53">
        <f t="shared" ref="L50:T50" si="7">L28</f>
        <v>580</v>
      </c>
      <c r="M50" s="53">
        <f t="shared" si="7"/>
        <v>585</v>
      </c>
      <c r="N50" s="53">
        <f t="shared" si="7"/>
        <v>590</v>
      </c>
      <c r="O50" s="53">
        <f t="shared" si="7"/>
        <v>595</v>
      </c>
      <c r="P50" s="53">
        <f t="shared" si="7"/>
        <v>600</v>
      </c>
      <c r="Q50" s="53">
        <f t="shared" si="7"/>
        <v>605</v>
      </c>
      <c r="R50" s="53">
        <f t="shared" si="7"/>
        <v>610</v>
      </c>
      <c r="S50" s="53">
        <f t="shared" si="7"/>
        <v>615</v>
      </c>
      <c r="T50" s="53">
        <f t="shared" si="7"/>
        <v>620</v>
      </c>
      <c r="U50" s="54" t="s">
        <v>96</v>
      </c>
    </row>
    <row r="51" s="14" customFormat="1" ht="18" customHeight="1" spans="4:21">
      <c r="I51" s="91">
        <f t="shared" ref="I51:I70" si="8">D29</f>
        <v>0</v>
      </c>
      <c r="J51" s="56">
        <f t="shared" ref="J51:J70" si="9">C29</f>
        <v>0.247</v>
      </c>
      <c r="K51" s="63">
        <f t="shared" ref="K51:K70" si="10">D29*K29</f>
        <v>0</v>
      </c>
      <c r="L51" s="63">
        <f t="shared" ref="L51:L70" si="11">D29*L29</f>
        <v>0</v>
      </c>
      <c r="M51" s="63">
        <f t="shared" ref="M51:M70" si="12">D29*M29</f>
        <v>0</v>
      </c>
      <c r="N51" s="63">
        <f t="shared" ref="N51:N70" si="13">D29*N29</f>
        <v>0</v>
      </c>
      <c r="O51" s="63">
        <f t="shared" ref="O51:O70" si="14">D29*O29</f>
        <v>0</v>
      </c>
      <c r="P51" s="63">
        <f t="shared" ref="P51:P70" si="15">D29*P29</f>
        <v>0</v>
      </c>
      <c r="Q51" s="63">
        <f t="shared" ref="Q51:Q70" si="16">D29*Q29</f>
        <v>0</v>
      </c>
      <c r="R51" s="63">
        <f t="shared" ref="R51:R70" si="17">D29*R29</f>
        <v>0</v>
      </c>
      <c r="S51" s="63">
        <f t="shared" ref="S51:S70" si="18">S29*D29</f>
        <v>0</v>
      </c>
      <c r="T51" s="63"/>
      <c r="U51" s="64"/>
    </row>
    <row r="52" s="14" customFormat="1" ht="18" customHeight="1" spans="4:21">
      <c r="I52" s="91">
        <f t="shared" si="8"/>
        <v>0</v>
      </c>
      <c r="J52" s="56">
        <f t="shared" si="9"/>
        <v>0.248</v>
      </c>
      <c r="K52" s="63">
        <f t="shared" si="10"/>
        <v>0</v>
      </c>
      <c r="L52" s="63">
        <f t="shared" si="11"/>
        <v>0</v>
      </c>
      <c r="M52" s="63">
        <f t="shared" si="12"/>
        <v>0</v>
      </c>
      <c r="N52" s="63">
        <f t="shared" si="13"/>
        <v>0</v>
      </c>
      <c r="O52" s="63">
        <f t="shared" si="14"/>
        <v>0</v>
      </c>
      <c r="P52" s="63">
        <f t="shared" si="15"/>
        <v>0</v>
      </c>
      <c r="Q52" s="63">
        <f t="shared" si="16"/>
        <v>0</v>
      </c>
      <c r="R52" s="63">
        <f t="shared" si="17"/>
        <v>0</v>
      </c>
      <c r="S52" s="63">
        <f t="shared" si="18"/>
        <v>0</v>
      </c>
      <c r="T52" s="63"/>
      <c r="U52" s="64"/>
    </row>
    <row r="53" s="14" customFormat="1" ht="18" customHeight="1" spans="4:21">
      <c r="I53" s="91">
        <f t="shared" si="8"/>
        <v>0</v>
      </c>
      <c r="J53" s="56">
        <f t="shared" si="9"/>
        <v>0.249</v>
      </c>
      <c r="K53" s="63">
        <f t="shared" si="10"/>
        <v>0</v>
      </c>
      <c r="L53" s="63">
        <f t="shared" si="11"/>
        <v>0</v>
      </c>
      <c r="M53" s="63">
        <f t="shared" si="12"/>
        <v>0</v>
      </c>
      <c r="N53" s="63">
        <f t="shared" si="13"/>
        <v>0</v>
      </c>
      <c r="O53" s="63">
        <f t="shared" si="14"/>
        <v>0</v>
      </c>
      <c r="P53" s="63">
        <f t="shared" si="15"/>
        <v>0</v>
      </c>
      <c r="Q53" s="63">
        <f t="shared" si="16"/>
        <v>0</v>
      </c>
      <c r="R53" s="63">
        <f t="shared" si="17"/>
        <v>0</v>
      </c>
      <c r="S53" s="63">
        <f t="shared" si="18"/>
        <v>0</v>
      </c>
      <c r="T53" s="63"/>
      <c r="U53" s="64"/>
    </row>
    <row r="54" s="14" customFormat="1" ht="18" customHeight="1" spans="4:21">
      <c r="I54" s="91">
        <f t="shared" si="8"/>
        <v>0</v>
      </c>
      <c r="J54" s="56">
        <f t="shared" si="9"/>
        <v>0.25</v>
      </c>
      <c r="K54" s="73">
        <f t="shared" si="10"/>
        <v>0</v>
      </c>
      <c r="L54" s="73">
        <f t="shared" si="11"/>
        <v>0</v>
      </c>
      <c r="M54" s="73">
        <f t="shared" si="12"/>
        <v>0</v>
      </c>
      <c r="N54" s="73">
        <f t="shared" si="13"/>
        <v>0</v>
      </c>
      <c r="O54" s="73">
        <f t="shared" si="14"/>
        <v>0</v>
      </c>
      <c r="P54" s="73">
        <f t="shared" si="15"/>
        <v>0</v>
      </c>
      <c r="Q54" s="73">
        <f t="shared" si="16"/>
        <v>0</v>
      </c>
      <c r="R54" s="73">
        <f t="shared" si="17"/>
        <v>0</v>
      </c>
      <c r="S54" s="73">
        <f t="shared" si="18"/>
        <v>0</v>
      </c>
      <c r="T54" s="63"/>
      <c r="U54" s="64"/>
    </row>
    <row r="55" s="14" customFormat="1" ht="18" customHeight="1" spans="4:21">
      <c r="I55" s="91">
        <f t="shared" si="8"/>
        <v>0</v>
      </c>
      <c r="J55" s="56">
        <f t="shared" si="9"/>
        <v>0.251</v>
      </c>
      <c r="K55" s="63">
        <f t="shared" si="10"/>
        <v>0</v>
      </c>
      <c r="L55" s="63">
        <f t="shared" si="11"/>
        <v>0</v>
      </c>
      <c r="M55" s="63">
        <f t="shared" si="12"/>
        <v>0</v>
      </c>
      <c r="N55" s="63">
        <f t="shared" si="13"/>
        <v>0</v>
      </c>
      <c r="O55" s="63">
        <f t="shared" si="14"/>
        <v>0</v>
      </c>
      <c r="P55" s="63">
        <f t="shared" si="15"/>
        <v>0</v>
      </c>
      <c r="Q55" s="63">
        <f t="shared" si="16"/>
        <v>0</v>
      </c>
      <c r="R55" s="63">
        <f t="shared" si="17"/>
        <v>0</v>
      </c>
      <c r="S55" s="63">
        <f t="shared" si="18"/>
        <v>0</v>
      </c>
      <c r="T55" s="63"/>
      <c r="U55" s="64"/>
    </row>
    <row r="56" s="14" customFormat="1" ht="18" customHeight="1" spans="4:21">
      <c r="I56" s="91">
        <f t="shared" si="8"/>
        <v>0</v>
      </c>
      <c r="J56" s="56">
        <f t="shared" si="9"/>
        <v>0.252</v>
      </c>
      <c r="K56" s="63">
        <f t="shared" si="10"/>
        <v>0</v>
      </c>
      <c r="L56" s="63">
        <f t="shared" si="11"/>
        <v>0</v>
      </c>
      <c r="M56" s="63">
        <f t="shared" si="12"/>
        <v>0</v>
      </c>
      <c r="N56" s="63">
        <f t="shared" si="13"/>
        <v>0</v>
      </c>
      <c r="O56" s="63">
        <f t="shared" si="14"/>
        <v>0</v>
      </c>
      <c r="P56" s="63">
        <f t="shared" si="15"/>
        <v>0</v>
      </c>
      <c r="Q56" s="63">
        <f t="shared" si="16"/>
        <v>0</v>
      </c>
      <c r="R56" s="63">
        <f t="shared" si="17"/>
        <v>0</v>
      </c>
      <c r="S56" s="63">
        <f t="shared" si="18"/>
        <v>0</v>
      </c>
      <c r="T56" s="63"/>
      <c r="U56" s="64"/>
    </row>
    <row r="57" s="14" customFormat="1" ht="18" customHeight="1" spans="4:21">
      <c r="I57" s="91">
        <f t="shared" si="8"/>
        <v>0.26688674888391</v>
      </c>
      <c r="J57" s="56">
        <f t="shared" si="9"/>
        <v>0.253</v>
      </c>
      <c r="K57" s="63">
        <f t="shared" si="10"/>
        <v>0</v>
      </c>
      <c r="L57" s="63">
        <f t="shared" si="11"/>
        <v>1.75782237405308e-11</v>
      </c>
      <c r="M57" s="63">
        <f t="shared" si="12"/>
        <v>6.59214734159032e-5</v>
      </c>
      <c r="N57" s="63">
        <f t="shared" si="13"/>
        <v>0.0783000694145311</v>
      </c>
      <c r="O57" s="63">
        <f t="shared" si="14"/>
        <v>0.186323158631412</v>
      </c>
      <c r="P57" s="63">
        <f t="shared" si="15"/>
        <v>0.00219758691252242</v>
      </c>
      <c r="Q57" s="63">
        <f t="shared" si="16"/>
        <v>1.24344499527155e-8</v>
      </c>
      <c r="R57" s="63">
        <f t="shared" si="17"/>
        <v>1.63379937974424e-17</v>
      </c>
      <c r="S57" s="63">
        <f t="shared" si="18"/>
        <v>4.24847408459148e-30</v>
      </c>
      <c r="T57" s="63"/>
      <c r="U57" s="64"/>
    </row>
    <row r="58" s="14" customFormat="1" ht="18" customHeight="1" spans="4:21">
      <c r="I58" s="91">
        <f t="shared" si="8"/>
        <v>0.424199921317756</v>
      </c>
      <c r="J58" s="56">
        <f t="shared" si="9"/>
        <v>0.254</v>
      </c>
      <c r="K58" s="63">
        <f t="shared" si="10"/>
        <v>0</v>
      </c>
      <c r="L58" s="63">
        <f t="shared" si="11"/>
        <v>7.59181909742138e-14</v>
      </c>
      <c r="M58" s="63">
        <f t="shared" si="12"/>
        <v>3.17106736030924e-6</v>
      </c>
      <c r="N58" s="63">
        <f t="shared" si="13"/>
        <v>0.0350071955307942</v>
      </c>
      <c r="O58" s="63">
        <f t="shared" si="14"/>
        <v>0.363644831799082</v>
      </c>
      <c r="P58" s="63">
        <f t="shared" si="15"/>
        <v>0.0255432412113117</v>
      </c>
      <c r="Q58" s="63">
        <f t="shared" si="16"/>
        <v>1.48170911007976e-6</v>
      </c>
      <c r="R58" s="63">
        <f t="shared" si="17"/>
        <v>2.21295665848029e-14</v>
      </c>
      <c r="S58" s="63">
        <f t="shared" si="18"/>
        <v>6.72969995710044e-26</v>
      </c>
      <c r="T58" s="63"/>
      <c r="U58" s="64"/>
    </row>
    <row r="59" s="14" customFormat="1" ht="18" customHeight="1" spans="4:21">
      <c r="I59" s="91">
        <f t="shared" si="8"/>
        <v>0.274703658724321</v>
      </c>
      <c r="J59" s="56">
        <f t="shared" si="9"/>
        <v>0.255</v>
      </c>
      <c r="K59" s="63">
        <f t="shared" si="10"/>
        <v>0</v>
      </c>
      <c r="L59" s="63">
        <f t="shared" si="11"/>
        <v>0</v>
      </c>
      <c r="M59" s="63">
        <f t="shared" si="12"/>
        <v>3.20529759535884e-8</v>
      </c>
      <c r="N59" s="63">
        <f t="shared" si="13"/>
        <v>0.00354183586107678</v>
      </c>
      <c r="O59" s="63">
        <f t="shared" si="14"/>
        <v>0.205698861026539</v>
      </c>
      <c r="P59" s="63">
        <f t="shared" si="15"/>
        <v>0.0654273214633837</v>
      </c>
      <c r="Q59" s="63">
        <f t="shared" si="16"/>
        <v>3.56083144701725e-5</v>
      </c>
      <c r="R59" s="63">
        <f t="shared" si="17"/>
        <v>5.87562368791835e-12</v>
      </c>
      <c r="S59" s="63">
        <f t="shared" si="18"/>
        <v>2.05278680568988e-22</v>
      </c>
      <c r="T59" s="63"/>
      <c r="U59" s="64"/>
    </row>
    <row r="60" s="14" customFormat="1" ht="18" customHeight="1" spans="4:21">
      <c r="I60" s="91">
        <f t="shared" si="8"/>
        <v>0.0342096710740126</v>
      </c>
      <c r="J60" s="56">
        <f t="shared" si="9"/>
        <v>0.256</v>
      </c>
      <c r="K60" s="63">
        <f t="shared" si="10"/>
        <v>0</v>
      </c>
      <c r="L60" s="63">
        <f t="shared" si="11"/>
        <v>0</v>
      </c>
      <c r="M60" s="63">
        <f t="shared" si="12"/>
        <v>3.22259974475214e-11</v>
      </c>
      <c r="N60" s="63">
        <f t="shared" si="13"/>
        <v>3.70673163350772e-5</v>
      </c>
      <c r="O60" s="63">
        <f t="shared" si="14"/>
        <v>0.0153642139697562</v>
      </c>
      <c r="P60" s="63">
        <f t="shared" si="15"/>
        <v>0.0187252233064531</v>
      </c>
      <c r="Q60" s="63">
        <f t="shared" si="16"/>
        <v>8.31663029635202e-5</v>
      </c>
      <c r="R60" s="63">
        <f t="shared" si="17"/>
        <v>1.46278636412423e-10</v>
      </c>
      <c r="S60" s="63">
        <f t="shared" si="18"/>
        <v>5.75844794122897e-20</v>
      </c>
      <c r="T60" s="63"/>
      <c r="U60" s="64"/>
    </row>
    <row r="61" s="14" customFormat="1" ht="18" customHeight="1" spans="4:21">
      <c r="I61" s="91">
        <f t="shared" si="8"/>
        <v>0</v>
      </c>
      <c r="J61" s="56">
        <f t="shared" si="9"/>
        <v>0.257</v>
      </c>
      <c r="K61" s="63">
        <f t="shared" si="10"/>
        <v>0</v>
      </c>
      <c r="L61" s="63">
        <f t="shared" si="11"/>
        <v>0</v>
      </c>
      <c r="M61" s="63">
        <f t="shared" si="12"/>
        <v>0</v>
      </c>
      <c r="N61" s="63">
        <f t="shared" si="13"/>
        <v>0</v>
      </c>
      <c r="O61" s="63">
        <f t="shared" si="14"/>
        <v>0</v>
      </c>
      <c r="P61" s="63">
        <f t="shared" si="15"/>
        <v>0</v>
      </c>
      <c r="Q61" s="63">
        <f t="shared" si="16"/>
        <v>0</v>
      </c>
      <c r="R61" s="63">
        <f t="shared" si="17"/>
        <v>0</v>
      </c>
      <c r="S61" s="63">
        <f t="shared" si="18"/>
        <v>0</v>
      </c>
      <c r="T61" s="63"/>
      <c r="U61" s="64"/>
    </row>
    <row r="62" s="14" customFormat="1" ht="18" customHeight="1" spans="4:21">
      <c r="I62" s="91">
        <f t="shared" si="8"/>
        <v>0</v>
      </c>
      <c r="J62" s="56">
        <f t="shared" si="9"/>
        <v>0.258</v>
      </c>
      <c r="K62" s="63">
        <f t="shared" si="10"/>
        <v>0</v>
      </c>
      <c r="L62" s="63">
        <f t="shared" si="11"/>
        <v>0</v>
      </c>
      <c r="M62" s="63">
        <f t="shared" si="12"/>
        <v>0</v>
      </c>
      <c r="N62" s="63">
        <f t="shared" si="13"/>
        <v>0</v>
      </c>
      <c r="O62" s="63">
        <f t="shared" si="14"/>
        <v>0</v>
      </c>
      <c r="P62" s="63">
        <f t="shared" si="15"/>
        <v>0</v>
      </c>
      <c r="Q62" s="63">
        <f t="shared" si="16"/>
        <v>0</v>
      </c>
      <c r="R62" s="63">
        <f t="shared" si="17"/>
        <v>0</v>
      </c>
      <c r="S62" s="63">
        <f t="shared" si="18"/>
        <v>0</v>
      </c>
      <c r="T62" s="63"/>
      <c r="U62" s="64"/>
    </row>
    <row r="63" s="14" customFormat="1" ht="18" customHeight="1" spans="4:21">
      <c r="I63" s="91">
        <f t="shared" si="8"/>
        <v>0</v>
      </c>
      <c r="J63" s="56">
        <f t="shared" si="9"/>
        <v>0.259</v>
      </c>
      <c r="K63" s="63">
        <f t="shared" si="10"/>
        <v>0</v>
      </c>
      <c r="L63" s="63">
        <f t="shared" si="11"/>
        <v>0</v>
      </c>
      <c r="M63" s="63">
        <f t="shared" si="12"/>
        <v>0</v>
      </c>
      <c r="N63" s="63">
        <f t="shared" si="13"/>
        <v>0</v>
      </c>
      <c r="O63" s="63">
        <f t="shared" si="14"/>
        <v>0</v>
      </c>
      <c r="P63" s="63">
        <f t="shared" si="15"/>
        <v>0</v>
      </c>
      <c r="Q63" s="63">
        <f t="shared" si="16"/>
        <v>0</v>
      </c>
      <c r="R63" s="63">
        <f t="shared" si="17"/>
        <v>0</v>
      </c>
      <c r="S63" s="63">
        <f t="shared" si="18"/>
        <v>0</v>
      </c>
      <c r="T63" s="63"/>
      <c r="U63" s="64"/>
    </row>
    <row r="64" s="14" customFormat="1" ht="18" customHeight="1" spans="4:21">
      <c r="I64" s="91">
        <f t="shared" si="8"/>
        <v>0</v>
      </c>
      <c r="J64" s="56">
        <f t="shared" si="9"/>
        <v>0.26</v>
      </c>
      <c r="K64" s="63">
        <f t="shared" si="10"/>
        <v>0</v>
      </c>
      <c r="L64" s="63">
        <f t="shared" si="11"/>
        <v>0</v>
      </c>
      <c r="M64" s="63">
        <f t="shared" si="12"/>
        <v>0</v>
      </c>
      <c r="N64" s="63">
        <f t="shared" si="13"/>
        <v>0</v>
      </c>
      <c r="O64" s="63">
        <f t="shared" si="14"/>
        <v>0</v>
      </c>
      <c r="P64" s="63">
        <f t="shared" si="15"/>
        <v>0</v>
      </c>
      <c r="Q64" s="63">
        <f t="shared" si="16"/>
        <v>0</v>
      </c>
      <c r="R64" s="63">
        <f t="shared" si="17"/>
        <v>0</v>
      </c>
      <c r="S64" s="63">
        <f t="shared" si="18"/>
        <v>0</v>
      </c>
      <c r="T64" s="63"/>
      <c r="U64" s="64"/>
    </row>
    <row r="65" s="14" customFormat="1" ht="18" customHeight="1" spans="1:21">
      <c r="I65" s="91">
        <f t="shared" si="8"/>
        <v>0</v>
      </c>
      <c r="J65" s="56">
        <f t="shared" si="9"/>
        <v>0.261</v>
      </c>
      <c r="K65" s="63">
        <f t="shared" si="10"/>
        <v>0</v>
      </c>
      <c r="L65" s="63">
        <f t="shared" si="11"/>
        <v>0</v>
      </c>
      <c r="M65" s="63">
        <f t="shared" si="12"/>
        <v>0</v>
      </c>
      <c r="N65" s="63">
        <f t="shared" si="13"/>
        <v>0</v>
      </c>
      <c r="O65" s="63">
        <f t="shared" si="14"/>
        <v>0</v>
      </c>
      <c r="P65" s="63">
        <f t="shared" si="15"/>
        <v>0</v>
      </c>
      <c r="Q65" s="63">
        <f t="shared" si="16"/>
        <v>0</v>
      </c>
      <c r="R65" s="63">
        <f t="shared" si="17"/>
        <v>0</v>
      </c>
      <c r="S65" s="63">
        <f t="shared" si="18"/>
        <v>0</v>
      </c>
      <c r="T65" s="63"/>
      <c r="U65" s="64"/>
    </row>
    <row r="66" s="14" customFormat="1" ht="18" customHeight="1" spans="1:21">
      <c r="I66" s="91">
        <f t="shared" si="8"/>
        <v>0</v>
      </c>
      <c r="J66" s="56">
        <f t="shared" si="9"/>
        <v>0.262</v>
      </c>
      <c r="K66" s="63">
        <f t="shared" si="10"/>
        <v>0</v>
      </c>
      <c r="L66" s="63">
        <f t="shared" si="11"/>
        <v>0</v>
      </c>
      <c r="M66" s="63">
        <f t="shared" si="12"/>
        <v>0</v>
      </c>
      <c r="N66" s="63">
        <f t="shared" si="13"/>
        <v>0</v>
      </c>
      <c r="O66" s="63">
        <f t="shared" si="14"/>
        <v>0</v>
      </c>
      <c r="P66" s="63">
        <f t="shared" si="15"/>
        <v>0</v>
      </c>
      <c r="Q66" s="63">
        <f t="shared" si="16"/>
        <v>0</v>
      </c>
      <c r="R66" s="63">
        <f t="shared" si="17"/>
        <v>0</v>
      </c>
      <c r="S66" s="63">
        <f t="shared" si="18"/>
        <v>0</v>
      </c>
      <c r="T66" s="63"/>
      <c r="U66" s="64"/>
    </row>
    <row r="67" s="14" customFormat="1" ht="18" customHeight="1" spans="1:21">
      <c r="I67" s="91">
        <f t="shared" si="8"/>
        <v>0</v>
      </c>
      <c r="J67" s="56">
        <f t="shared" si="9"/>
        <v>0.263</v>
      </c>
      <c r="K67" s="63">
        <f t="shared" si="10"/>
        <v>0</v>
      </c>
      <c r="L67" s="63">
        <f t="shared" si="11"/>
        <v>0</v>
      </c>
      <c r="M67" s="63">
        <f t="shared" si="12"/>
        <v>0</v>
      </c>
      <c r="N67" s="63">
        <f t="shared" si="13"/>
        <v>0</v>
      </c>
      <c r="O67" s="63">
        <f t="shared" si="14"/>
        <v>0</v>
      </c>
      <c r="P67" s="63">
        <f t="shared" si="15"/>
        <v>0</v>
      </c>
      <c r="Q67" s="63">
        <f t="shared" si="16"/>
        <v>0</v>
      </c>
      <c r="R67" s="63">
        <f t="shared" si="17"/>
        <v>0</v>
      </c>
      <c r="S67" s="63">
        <f t="shared" si="18"/>
        <v>0</v>
      </c>
      <c r="T67" s="63"/>
      <c r="U67" s="64"/>
    </row>
    <row r="68" s="14" customFormat="1" ht="18" customHeight="1" spans="1:21">
      <c r="I68" s="91">
        <f t="shared" si="8"/>
        <v>0</v>
      </c>
      <c r="J68" s="56">
        <f t="shared" si="9"/>
        <v>0.264</v>
      </c>
      <c r="K68" s="63">
        <f t="shared" si="10"/>
        <v>0</v>
      </c>
      <c r="L68" s="63">
        <f t="shared" si="11"/>
        <v>0</v>
      </c>
      <c r="M68" s="63">
        <f t="shared" si="12"/>
        <v>0</v>
      </c>
      <c r="N68" s="63">
        <f t="shared" si="13"/>
        <v>0</v>
      </c>
      <c r="O68" s="63">
        <f t="shared" si="14"/>
        <v>0</v>
      </c>
      <c r="P68" s="63">
        <f t="shared" si="15"/>
        <v>0</v>
      </c>
      <c r="Q68" s="63">
        <f t="shared" si="16"/>
        <v>0</v>
      </c>
      <c r="R68" s="63">
        <f t="shared" si="17"/>
        <v>0</v>
      </c>
      <c r="S68" s="63">
        <f t="shared" si="18"/>
        <v>0</v>
      </c>
      <c r="T68" s="63"/>
      <c r="U68" s="64"/>
    </row>
    <row r="69" s="14" customFormat="1" ht="18" customHeight="1" spans="1:21">
      <c r="I69" s="91">
        <f t="shared" si="8"/>
        <v>0</v>
      </c>
      <c r="J69" s="56">
        <f t="shared" si="9"/>
        <v>0.265</v>
      </c>
      <c r="K69" s="63">
        <f t="shared" si="10"/>
        <v>0</v>
      </c>
      <c r="L69" s="63">
        <f t="shared" si="11"/>
        <v>0</v>
      </c>
      <c r="M69" s="63">
        <f t="shared" si="12"/>
        <v>0</v>
      </c>
      <c r="N69" s="63">
        <f t="shared" si="13"/>
        <v>0</v>
      </c>
      <c r="O69" s="63">
        <f t="shared" si="14"/>
        <v>0</v>
      </c>
      <c r="P69" s="63">
        <f t="shared" si="15"/>
        <v>0</v>
      </c>
      <c r="Q69" s="63">
        <f t="shared" si="16"/>
        <v>0</v>
      </c>
      <c r="R69" s="63">
        <f t="shared" si="17"/>
        <v>0</v>
      </c>
      <c r="S69" s="63">
        <f t="shared" si="18"/>
        <v>0</v>
      </c>
      <c r="T69" s="63"/>
      <c r="U69" s="64"/>
    </row>
    <row r="70" s="14" customFormat="1" ht="18" customHeight="1" spans="1:21">
      <c r="I70" s="91">
        <f t="shared" si="8"/>
        <v>0</v>
      </c>
      <c r="J70" s="56">
        <f t="shared" si="9"/>
        <v>0.266</v>
      </c>
      <c r="K70" s="63">
        <f t="shared" si="10"/>
        <v>0</v>
      </c>
      <c r="L70" s="63">
        <f t="shared" si="11"/>
        <v>0</v>
      </c>
      <c r="M70" s="63">
        <f t="shared" si="12"/>
        <v>0</v>
      </c>
      <c r="N70" s="63">
        <f t="shared" si="13"/>
        <v>0</v>
      </c>
      <c r="O70" s="63">
        <f t="shared" si="14"/>
        <v>0</v>
      </c>
      <c r="P70" s="63">
        <f t="shared" si="15"/>
        <v>0</v>
      </c>
      <c r="Q70" s="63">
        <f t="shared" si="16"/>
        <v>0</v>
      </c>
      <c r="R70" s="63">
        <f t="shared" si="17"/>
        <v>0</v>
      </c>
      <c r="S70" s="63">
        <f t="shared" si="18"/>
        <v>0</v>
      </c>
      <c r="T70" s="63"/>
      <c r="U70" s="64"/>
    </row>
    <row r="71" s="14" customFormat="1" ht="18" customHeight="1" spans="1:21">
      <c r="I71" s="92" t="s">
        <v>100</v>
      </c>
      <c r="J71" s="93"/>
      <c r="K71" s="94">
        <f t="shared" ref="K71:S71" si="19">SUM(K51:K70)</f>
        <v>0</v>
      </c>
      <c r="L71" s="94">
        <f t="shared" si="19"/>
        <v>1.7654141931505e-11</v>
      </c>
      <c r="M71" s="94">
        <f t="shared" si="19"/>
        <v>6.91246259781635e-5</v>
      </c>
      <c r="N71" s="94">
        <f t="shared" si="19"/>
        <v>0.116886168122737</v>
      </c>
      <c r="O71" s="94">
        <f t="shared" si="19"/>
        <v>0.771031065426789</v>
      </c>
      <c r="P71" s="164">
        <f t="shared" si="19"/>
        <v>0.111893372893671</v>
      </c>
      <c r="Q71" s="164">
        <f t="shared" si="19"/>
        <v>0.000120268760993725</v>
      </c>
      <c r="R71" s="94">
        <f t="shared" si="19"/>
        <v>1.52176406004919e-10</v>
      </c>
      <c r="S71" s="94">
        <f t="shared" si="19"/>
        <v>5.77898253941067e-20</v>
      </c>
      <c r="T71" s="94"/>
      <c r="U71" s="95">
        <f>SUM(K71:T71)</f>
        <v>0.999999999999999</v>
      </c>
    </row>
    <row r="72" ht="18" customHeight="1" spans="1:21">
      <c r="K72" s="53">
        <f>K50</f>
        <v>575</v>
      </c>
      <c r="L72" s="53">
        <f t="shared" ref="L72:T72" si="20">L50</f>
        <v>580</v>
      </c>
      <c r="M72" s="53">
        <f t="shared" si="20"/>
        <v>585</v>
      </c>
      <c r="N72" s="53">
        <f t="shared" si="20"/>
        <v>590</v>
      </c>
      <c r="O72" s="53">
        <f t="shared" si="20"/>
        <v>595</v>
      </c>
      <c r="P72" s="53">
        <f t="shared" si="20"/>
        <v>600</v>
      </c>
      <c r="Q72" s="53">
        <f t="shared" si="20"/>
        <v>605</v>
      </c>
      <c r="R72" s="53">
        <f t="shared" si="20"/>
        <v>610</v>
      </c>
      <c r="S72" s="53">
        <f t="shared" si="20"/>
        <v>615</v>
      </c>
      <c r="T72" s="53">
        <f t="shared" si="20"/>
        <v>620</v>
      </c>
    </row>
    <row r="73" ht="4.8" customHeight="1" spans="1:21">
      <c r="I73" s="96"/>
    </row>
    <row r="74" ht="4.8" customHeight="1" spans="1:21">
      <c r="I74" s="96"/>
    </row>
    <row r="75" ht="4.8" customHeight="1" spans="1:21">
      <c r="I75" s="96"/>
    </row>
    <row r="76" ht="26.4" customHeight="1" spans="1:21">
      <c r="A76" s="97" t="s">
        <v>101</v>
      </c>
      <c r="B76" s="98" t="s">
        <v>89</v>
      </c>
      <c r="C76" s="98" t="str">
        <f>C9</f>
        <v>芜湖</v>
      </c>
      <c r="D76" s="98" t="str">
        <f t="shared" ref="D76:O76" si="21">D9</f>
        <v>弘元</v>
      </c>
      <c r="E76" s="98" t="str">
        <f t="shared" si="21"/>
        <v>英发</v>
      </c>
      <c r="F76" s="98" t="str">
        <f t="shared" si="21"/>
        <v>润阳</v>
      </c>
      <c r="G76" s="98" t="str">
        <f t="shared" si="21"/>
        <v>和光同程</v>
      </c>
      <c r="H76" s="98" t="str">
        <f t="shared" si="21"/>
        <v>中润</v>
      </c>
      <c r="I76" s="98" t="str">
        <f t="shared" si="21"/>
        <v>通威</v>
      </c>
      <c r="J76" s="98" t="str">
        <f t="shared" si="21"/>
        <v>赛福天</v>
      </c>
      <c r="K76" s="98" t="str">
        <f t="shared" si="21"/>
        <v>卓耀</v>
      </c>
      <c r="L76" s="98" t="str">
        <f t="shared" si="21"/>
        <v>爱旭</v>
      </c>
      <c r="M76" s="98" t="str">
        <f t="shared" si="21"/>
        <v>厂家11</v>
      </c>
      <c r="N76" s="98" t="str">
        <f t="shared" si="21"/>
        <v>厂家12</v>
      </c>
      <c r="O76" s="98" t="str">
        <f t="shared" si="21"/>
        <v>厂家13</v>
      </c>
      <c r="P76" s="165"/>
    </row>
    <row r="77" ht="17.4" customHeight="1" spans="1:21">
      <c r="A77" s="97"/>
      <c r="B77" s="99">
        <f>C29</f>
        <v>0.247</v>
      </c>
      <c r="C77" s="100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</row>
    <row r="78" ht="17.4" customHeight="1" spans="1:21">
      <c r="A78" s="97"/>
      <c r="B78" s="99">
        <f t="shared" ref="B78:B96" si="22">C30</f>
        <v>0.248</v>
      </c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</row>
    <row r="79" ht="17.4" customHeight="1" spans="1:21">
      <c r="A79" s="97"/>
      <c r="B79" s="99">
        <f t="shared" si="22"/>
        <v>0.249</v>
      </c>
      <c r="C79" s="100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</row>
    <row r="80" ht="17.4" customHeight="1" spans="1:21">
      <c r="A80" s="97"/>
      <c r="B80" s="99">
        <f t="shared" si="22"/>
        <v>0.25</v>
      </c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</row>
    <row r="81" ht="17.4" customHeight="1" spans="1:15">
      <c r="A81" s="97"/>
      <c r="B81" s="99">
        <f t="shared" si="22"/>
        <v>0.251</v>
      </c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</row>
    <row r="82" ht="17.4" customHeight="1" spans="1:15">
      <c r="A82" s="97"/>
      <c r="B82" s="99">
        <f t="shared" si="22"/>
        <v>0.252</v>
      </c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</row>
    <row r="83" ht="17.4" customHeight="1" spans="1:15">
      <c r="A83" s="97"/>
      <c r="B83" s="99">
        <f t="shared" si="22"/>
        <v>0.253</v>
      </c>
      <c r="C83" s="100">
        <v>0.106283422459893</v>
      </c>
      <c r="D83" s="100"/>
      <c r="E83" s="100"/>
      <c r="F83" s="100"/>
      <c r="G83" s="100"/>
      <c r="H83" s="100">
        <v>0.0389817590569585</v>
      </c>
      <c r="I83" s="100">
        <v>0.0425531914893617</v>
      </c>
      <c r="J83" s="100"/>
      <c r="K83" s="100"/>
      <c r="L83" s="100"/>
      <c r="M83" s="100"/>
      <c r="N83" s="100"/>
      <c r="O83" s="100"/>
    </row>
    <row r="84" ht="17.4" customHeight="1" spans="1:15">
      <c r="A84" s="97"/>
      <c r="B84" s="99">
        <f t="shared" si="22"/>
        <v>0.254</v>
      </c>
      <c r="C84" s="100">
        <v>0.195187165775401</v>
      </c>
      <c r="D84" s="100"/>
      <c r="E84" s="100"/>
      <c r="F84" s="100"/>
      <c r="G84" s="100"/>
      <c r="H84" s="100">
        <v>0.21751943498806</v>
      </c>
      <c r="I84" s="100">
        <v>0.372340425531915</v>
      </c>
      <c r="J84" s="100"/>
      <c r="K84" s="100"/>
      <c r="L84" s="100"/>
      <c r="M84" s="100"/>
      <c r="N84" s="100"/>
      <c r="O84" s="100"/>
    </row>
    <row r="85" ht="17.4" customHeight="1" spans="1:15">
      <c r="A85" s="97"/>
      <c r="B85" s="99">
        <f t="shared" si="22"/>
        <v>0.255</v>
      </c>
      <c r="C85" s="166">
        <v>0.372103386809269</v>
      </c>
      <c r="D85" s="100"/>
      <c r="E85" s="100"/>
      <c r="F85" s="100"/>
      <c r="G85" s="100"/>
      <c r="H85" s="100">
        <v>0.519587419338448</v>
      </c>
      <c r="I85" s="100">
        <v>0.531914893617021</v>
      </c>
      <c r="J85" s="100"/>
      <c r="K85" s="100"/>
      <c r="L85" s="100"/>
      <c r="M85" s="100"/>
      <c r="N85" s="100"/>
      <c r="O85" s="100"/>
    </row>
    <row r="86" ht="17.4" customHeight="1" spans="1:15">
      <c r="A86" s="97"/>
      <c r="B86" s="99">
        <f t="shared" si="22"/>
        <v>0.256</v>
      </c>
      <c r="C86" s="166">
        <v>0.301916221033868</v>
      </c>
      <c r="D86" s="100"/>
      <c r="E86" s="100"/>
      <c r="F86" s="100"/>
      <c r="G86" s="100"/>
      <c r="H86" s="100">
        <v>0.212346933590773</v>
      </c>
      <c r="I86" s="100">
        <v>0.0531914893617021</v>
      </c>
      <c r="J86" s="100"/>
      <c r="K86" s="100"/>
      <c r="L86" s="100"/>
      <c r="M86" s="100"/>
      <c r="N86" s="100"/>
      <c r="O86" s="100"/>
    </row>
    <row r="87" ht="17.4" customHeight="1" spans="1:15">
      <c r="A87" s="97"/>
      <c r="B87" s="99">
        <f t="shared" si="22"/>
        <v>0.257</v>
      </c>
      <c r="C87" s="166">
        <v>0.0245098039215686</v>
      </c>
      <c r="D87" s="100"/>
      <c r="E87" s="100"/>
      <c r="F87" s="100"/>
      <c r="G87" s="100"/>
      <c r="H87" s="100">
        <v>0.011554290940501</v>
      </c>
      <c r="I87" s="100"/>
      <c r="J87" s="100"/>
      <c r="K87" s="100"/>
      <c r="L87" s="100"/>
      <c r="M87" s="100"/>
      <c r="N87" s="100"/>
      <c r="O87" s="100"/>
    </row>
    <row r="88" ht="17.4" customHeight="1" spans="1:15">
      <c r="A88" s="97"/>
      <c r="B88" s="99">
        <f t="shared" si="22"/>
        <v>0.258</v>
      </c>
      <c r="C88" s="166">
        <v>0</v>
      </c>
      <c r="D88" s="100"/>
      <c r="E88" s="100"/>
      <c r="F88" s="100"/>
      <c r="G88" s="100"/>
      <c r="H88" s="100">
        <v>1.01620852598953e-5</v>
      </c>
      <c r="I88" s="100"/>
      <c r="J88" s="100"/>
      <c r="K88" s="100"/>
      <c r="L88" s="100"/>
      <c r="M88" s="100"/>
      <c r="N88" s="100"/>
      <c r="O88" s="100"/>
    </row>
    <row r="89" ht="17.4" customHeight="1" spans="1:15">
      <c r="A89" s="97"/>
      <c r="B89" s="99">
        <f t="shared" si="22"/>
        <v>0.259</v>
      </c>
      <c r="C89" s="166">
        <v>0</v>
      </c>
      <c r="D89" s="100"/>
      <c r="E89" s="100"/>
      <c r="F89" s="100"/>
      <c r="G89" s="100"/>
      <c r="H89" s="100">
        <v>0</v>
      </c>
      <c r="I89" s="100"/>
      <c r="J89" s="100"/>
      <c r="K89" s="100"/>
      <c r="L89" s="100"/>
      <c r="M89" s="100"/>
      <c r="N89" s="100"/>
      <c r="O89" s="100"/>
    </row>
    <row r="90" ht="17.4" customHeight="1" spans="1:15">
      <c r="A90" s="97"/>
      <c r="B90" s="99">
        <f t="shared" si="22"/>
        <v>0.26</v>
      </c>
      <c r="C90" s="166"/>
      <c r="D90" s="100"/>
      <c r="E90" s="100"/>
      <c r="F90" s="100"/>
      <c r="G90" s="100"/>
      <c r="H90" s="100"/>
      <c r="I90" s="100"/>
      <c r="J90" s="100"/>
      <c r="K90" s="100"/>
      <c r="L90" s="100"/>
      <c r="M90" s="100"/>
      <c r="N90" s="100"/>
      <c r="O90" s="100"/>
    </row>
    <row r="91" ht="17.4" customHeight="1" spans="1:15">
      <c r="A91" s="97"/>
      <c r="B91" s="99">
        <f t="shared" si="22"/>
        <v>0.261</v>
      </c>
      <c r="C91" s="166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</row>
    <row r="92" ht="17.4" customHeight="1" spans="1:15">
      <c r="A92" s="97"/>
      <c r="B92" s="99">
        <f t="shared" si="22"/>
        <v>0.262</v>
      </c>
      <c r="C92" s="166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</row>
    <row r="93" ht="17.4" customHeight="1" spans="1:15">
      <c r="A93" s="97"/>
      <c r="B93" s="99">
        <f t="shared" si="22"/>
        <v>0.263</v>
      </c>
      <c r="C93" s="166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</row>
    <row r="94" ht="17.4" customHeight="1" spans="1:15">
      <c r="A94" s="97"/>
      <c r="B94" s="99">
        <f t="shared" si="22"/>
        <v>0.264</v>
      </c>
      <c r="C94" s="166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</row>
    <row r="95" ht="17.4" customHeight="1" spans="1:15">
      <c r="A95" s="97"/>
      <c r="B95" s="99">
        <f t="shared" si="22"/>
        <v>0.265</v>
      </c>
      <c r="C95" s="166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</row>
    <row r="96" ht="17.4" customHeight="1" spans="1:15">
      <c r="A96" s="97"/>
      <c r="B96" s="99">
        <f t="shared" si="22"/>
        <v>0.266</v>
      </c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</row>
  </sheetData>
  <sheetProtection formatCells="0" formatColumns="0" formatRows="0" insertRows="0" insertColumns="0" insertHyperlinks="0" deleteColumns="0" deleteRows="0" sort="0" autoFilter="0" pivotTables="0"/>
  <mergeCells count="22">
    <mergeCell ref="A1:F1"/>
    <mergeCell ref="G1:I1"/>
    <mergeCell ref="L1:O1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{f35872c5-ff57-4725-9210-00fb4fa1e1b1}</x14:id>
        </ext>
      </extLst>
    </cfRule>
  </conditionalFormatting>
  <conditionalFormatting sqref="D3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{877f30ba-25d9-4bac-8b27-a91962e83f1f}</x14:id>
        </ext>
      </extLst>
    </cfRule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{8181bcee-9d9c-46a9-9999-2b0e5d396bc0}</x14:id>
        </ext>
      </extLst>
    </cfRule>
  </conditionalFormatting>
  <conditionalFormatting sqref="C85:C95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{a06c89c0-3f54-4964-ab0c-4d2b26774c8f}</x14:id>
        </ext>
      </extLst>
    </cfRule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{2aa92fb2-4f23-44d9-bf4c-d811d3301877}</x14:id>
        </ext>
      </extLst>
    </cfRule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{c3e7998e-cd17-405a-9289-fa8a8a6d7a1f}</x14:id>
        </ext>
      </extLst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{92394f5d-fa79-4d31-8d22-eea4a6d79033}</x14:id>
        </ext>
      </extLst>
    </cfRule>
  </conditionalFormatting>
  <conditionalFormatting sqref="D29:D48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{bd948aef-46d3-40cb-8d20-be3f1284a13d}</x14:id>
        </ext>
      </extLst>
    </cfRule>
  </conditionalFormatting>
  <conditionalFormatting sqref="D33:D44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{cefb96cb-fdbd-474a-a2e8-ee4a1c50f4cf}</x14:id>
        </ext>
      </extLst>
    </cfRule>
  </conditionalFormatting>
  <conditionalFormatting sqref="D45:D48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{69dcc422-b73e-4fed-a2b4-ee68533933ac}</x14:id>
        </ext>
      </extLst>
    </cfRule>
    <cfRule type="dataBar" priority="1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{a6dbaaaa-5b49-470f-84eb-1280ead80970}</x14:id>
        </ext>
      </extLst>
    </cfRule>
  </conditionalFormatting>
  <conditionalFormatting sqref="D49:D50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{19da0a76-63e1-41f8-b89a-8913c7454219}</x14:id>
        </ext>
      </extLst>
    </cfRule>
    <cfRule type="dataBar" priority="1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{793a24d7-4662-4ce6-b2a4-f2320afb9fab}</x14:id>
        </ext>
      </extLst>
    </cfRule>
  </conditionalFormatting>
  <conditionalFormatting sqref="D29:D32 D45:D48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{e6324783-55f7-4fa5-8705-969029d2c4cd}</x14:id>
        </ext>
      </extLst>
    </cfRule>
  </conditionalFormatting>
  <conditionalFormatting sqref="K29:R48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{aaafd18b-1471-4a93-a063-fbb9cbf03a76}</x14:id>
        </ext>
      </extLst>
    </cfRule>
  </conditionalFormatting>
  <conditionalFormatting sqref="K29:T48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{53228a00-4842-4613-a59b-e1b15c6bc0ee}</x14:id>
        </ext>
      </extLst>
    </cfRule>
  </conditionalFormatting>
  <conditionalFormatting sqref="K29:S48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{c57940fc-c0dc-42d1-8cb4-d34ee4f2b421}</x14:id>
        </ext>
      </extLst>
    </cfRule>
  </conditionalFormatting>
  <conditionalFormatting sqref="M29:O30 O35 N31:O34 M31:M48">
    <cfRule type="dataBar" priority="2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{a9100131-f30b-4e6a-aab7-60c96990bdaa}</x14:id>
        </ext>
      </extLst>
    </cfRule>
    <cfRule type="colorScale" priority="28">
      <colorScale>
        <cfvo type="percent" val="0"/>
        <cfvo type="percent" val="0"/>
        <color theme="0"/>
        <color theme="0"/>
      </colorScale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{1193ca05-0a3f-482b-9ba7-b06679e31eb8}</x14:id>
        </ext>
      </extLst>
    </cfRule>
    <cfRule type="dataBar" priority="30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{a444fade-f358-4776-abfc-f5f07161a88b}</x14:id>
        </ext>
      </extLst>
    </cfRule>
    <cfRule type="dataBar" priority="3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{4551a27d-e8b4-4a0a-8d6c-a2033df9202f}</x14:id>
        </ext>
      </extLst>
    </cfRule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{0e57c5e7-dc16-4a74-8831-ae7b6a345dfe}</x14:id>
        </ext>
      </extLst>
    </cfRule>
  </conditionalFormatting>
  <conditionalFormatting sqref="P29:R35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{21ac6ea9-939f-4564-80c0-b02d8108d8cf}</x14:id>
        </ext>
      </extLst>
    </cfRule>
    <cfRule type="colorScale" priority="21">
      <colorScale>
        <cfvo type="percent" val="0"/>
        <cfvo type="percent" val="0"/>
        <color theme="0"/>
        <color theme="0"/>
      </colorScale>
    </cfRule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{710cc23d-25de-4a60-963d-d0db87c243d8}</x14:id>
        </ext>
      </extLst>
    </cfRule>
    <cfRule type="dataBar" priority="2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{7b20ebe4-b2a9-4a4e-b922-33f1ae00730d}</x14:id>
        </ext>
      </extLst>
    </cfRule>
    <cfRule type="dataBar" priority="24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{a64b3bf0-b07c-461c-b96b-3e78a888c9f5}</x14:id>
        </ext>
      </extLst>
    </cfRule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{5f445bff-2a3b-4fac-8ff8-c64cfd401c03}</x14:id>
        </ext>
      </extLst>
    </cfRule>
  </conditionalFormatting>
  <conditionalFormatting sqref="S29:T48">
    <cfRule type="dataBar" priority="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{07cc0a80-77ec-40ac-bda4-70bcdc4430ff}</x14:id>
        </ext>
      </extLst>
    </cfRule>
    <cfRule type="dataBar" priority="35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{1b760a1e-fcc5-43c7-987a-d52b7eb69925}</x14:id>
        </ext>
      </extLst>
    </cfRule>
    <cfRule type="colorScale" priority="351">
      <colorScale>
        <cfvo type="percent" val="0"/>
        <cfvo type="percent" val="0"/>
        <color theme="0"/>
        <color theme="0"/>
      </colorScale>
    </cfRule>
    <cfRule type="dataBar" priority="3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{230ccd77-90c0-451a-aafd-021aa63ebc1c}</x14:id>
        </ext>
      </extLst>
    </cfRule>
    <cfRule type="dataBar" priority="35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{d52240af-bc45-4a77-a4ee-b136d2b77ee3}</x14:id>
        </ext>
      </extLst>
    </cfRule>
    <cfRule type="dataBar" priority="354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{dff0120d-1da7-4809-9bb0-691c212c4d9d}</x14:id>
        </ext>
      </extLst>
    </cfRule>
    <cfRule type="dataBar" priority="3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{561a4e66-43e2-42c1-b523-cd0b6e46bf3b}</x14:id>
        </ext>
      </extLst>
    </cfRule>
  </conditionalFormatting>
  <conditionalFormatting sqref="P36:R48"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{d36c019a-5aec-4f8c-893a-58f31f9e0679}</x14:id>
        </ext>
      </extLst>
    </cfRule>
    <cfRule type="colorScale" priority="34">
      <colorScale>
        <cfvo type="percent" val="0"/>
        <cfvo type="percent" val="0"/>
        <color theme="0"/>
        <color theme="0"/>
      </colorScale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{a700f7c1-da1d-4e3b-9aa4-b3c3eab4f7a2}</x14:id>
        </ext>
      </extLst>
    </cfRule>
    <cfRule type="dataBar" priority="3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{2fb76c4a-ea4a-4c3d-8cf4-085b2a8dc445}</x14:id>
        </ext>
      </extLst>
    </cfRule>
    <cfRule type="dataBar" priority="37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{818d9f84-0846-4f04-b321-ce10980d63bb}</x14:id>
        </ext>
      </extLst>
    </cfRule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{4562b632-a0ae-4758-a9ce-d330bff3cc84}</x14:id>
        </ext>
      </extLst>
    </cfRule>
  </conditionalFormatting>
  <conditionalFormatting sqref="C77:O9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{d1d28924-e313-4e0c-b604-3e0f79b2bdb9}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5872c5-ff57-4725-9210-00fb4fa1e1b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877f30ba-25d9-4bac-8b27-a91962e83f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181bcee-9d9c-46a9-9999-2b0e5d396b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a06c89c0-3f54-4964-ab0c-4d2b26774c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2fb2-4f23-44d9-bf4c-d811d33018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c3e7998e-cd17-405a-9289-fa8a8a6d7a1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2394f5d-fa79-4d31-8d22-eea4a6d790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C85:C95</xm:sqref>
        </x14:conditionalFormatting>
        <x14:conditionalFormatting xmlns:xm="http://schemas.microsoft.com/office/excel/2006/main">
          <x14:cfRule type="dataBar" id="{bd948aef-46d3-40cb-8d20-be3f1284a13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D29:D48</xm:sqref>
        </x14:conditionalFormatting>
        <x14:conditionalFormatting xmlns:xm="http://schemas.microsoft.com/office/excel/2006/main">
          <x14:cfRule type="dataBar" id="{cefb96cb-fdbd-474a-a2e8-ee4a1c50f4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69dcc422-b73e-4fed-a2b4-ee68533933a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dbaaaa-5b49-470f-84eb-1280ead8097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19da0a76-63e1-41f8-b89a-8913c74542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3a24d7-4662-4ce6-b2a4-f2320afb9fab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e6324783-55f7-4fa5-8705-969029d2c4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aaafd18b-1471-4a93-a063-fbb9cbf03a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53228a00-4842-4613-a59b-e1b15c6bc0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K29:T48</xm:sqref>
        </x14:conditionalFormatting>
        <x14:conditionalFormatting xmlns:xm="http://schemas.microsoft.com/office/excel/2006/main">
          <x14:cfRule type="dataBar" id="{c57940fc-c0dc-42d1-8cb4-d34ee4f2b4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K29:S48</xm:sqref>
        </x14:conditionalFormatting>
        <x14:conditionalFormatting xmlns:xm="http://schemas.microsoft.com/office/excel/2006/main">
          <x14:cfRule type="dataBar" id="{a9100131-f30b-4e6a-aab7-60c96990bda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1193ca05-0a3f-482b-9ba7-b06679e31eb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a444fade-f358-4776-abfc-f5f07161a88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551a27d-e8b4-4a0a-8d6c-a2033df9202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0e57c5e7-dc16-4a74-8831-ae7b6a345df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21ac6ea9-939f-4564-80c0-b02d8108d8c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710cc23d-25de-4a60-963d-d0db87c243d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7b20ebe4-b2a9-4a4e-b922-33f1ae00730d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a64b3bf0-b07c-461c-b96b-3e78a888c9f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5f445bff-2a3b-4fac-8ff8-c64cfd401c0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07cc0a80-77ec-40ac-bda4-70bcdc4430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1b760a1e-fcc5-43c7-987a-d52b7eb6992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230ccd77-90c0-451a-aafd-021aa63ebc1c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d52240af-bc45-4a77-a4ee-b136d2b77ee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dff0120d-1da7-4809-9bb0-691c212c4d9d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561a4e66-43e2-42c1-b523-cd0b6e46bf3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S29:T48</xm:sqref>
        </x14:conditionalFormatting>
        <x14:conditionalFormatting xmlns:xm="http://schemas.microsoft.com/office/excel/2006/main">
          <x14:cfRule type="dataBar" id="{d36c019a-5aec-4f8c-893a-58f31f9e067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a700f7c1-da1d-4e3b-9aa4-b3c3eab4f7a2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fb76c4a-ea4a-4c3d-8cf4-085b2a8dc44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818d9f84-0846-4f04-b321-ce10980d63b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562b632-a0ae-4758-a9ce-d330bff3cc8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d1d28924-e313-4e0c-b604-3e0f79b2b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C77:O96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>
    <tabColor theme="4" tint="0.399945066682943"/>
  </sheetPr>
  <dimension ref="A1:Y96"/>
  <sheetViews>
    <sheetView showGridLines="0" zoomScale="70" zoomScaleNormal="70" workbookViewId="0">
      <selection activeCell="E7" sqref="E7"/>
    </sheetView>
  </sheetViews>
  <sheetFormatPr defaultColWidth="8.44642857142857" defaultRowHeight="13.6"/>
  <cols>
    <col min="1" max="19" width="10.5535714285714" style="17" customWidth="1"/>
    <col min="20" max="20" width="10.5535714285714" style="17" hidden="1" customWidth="1"/>
    <col min="21" max="21" width="10.5535714285714" style="17" customWidth="1"/>
    <col min="22" max="16384" width="8.44642857142857" style="17"/>
  </cols>
  <sheetData>
    <row r="1" s="13" customFormat="1" ht="40.8" customHeight="1" spans="1:25">
      <c r="A1" s="18" t="s">
        <v>102</v>
      </c>
      <c r="B1" s="18"/>
      <c r="C1" s="18"/>
      <c r="D1" s="18"/>
      <c r="E1" s="18"/>
      <c r="F1" s="18"/>
      <c r="G1" s="19" t="s">
        <v>1</v>
      </c>
      <c r="H1" s="19"/>
      <c r="I1" s="19"/>
      <c r="J1" s="143">
        <f>641.86-3.3</f>
        <v>638.56</v>
      </c>
      <c r="K1" s="20" t="s">
        <v>2</v>
      </c>
      <c r="L1" s="20" t="s">
        <v>3</v>
      </c>
      <c r="M1" s="20"/>
      <c r="N1" s="20"/>
      <c r="O1" s="20"/>
      <c r="Q1" s="21"/>
      <c r="R1" s="21"/>
      <c r="S1" s="21"/>
      <c r="T1" s="21"/>
      <c r="U1" s="21"/>
    </row>
    <row r="2" ht="1.95" customHeight="1" spans="1:25">
      <c r="H2" s="22"/>
      <c r="P2" s="13"/>
      <c r="Q2" s="21"/>
      <c r="R2" s="21"/>
      <c r="S2" s="21"/>
      <c r="T2" s="21"/>
      <c r="U2" s="21"/>
    </row>
    <row r="3" s="14" customFormat="1" ht="21.9" customHeight="1" spans="1:25">
      <c r="A3" s="23" t="s">
        <v>4</v>
      </c>
      <c r="B3" s="23">
        <v>0</v>
      </c>
      <c r="C3" s="104">
        <v>0.26</v>
      </c>
      <c r="D3" s="11">
        <v>0.24</v>
      </c>
      <c r="E3" s="11">
        <v>0.23</v>
      </c>
      <c r="F3" s="11" t="s">
        <v>5</v>
      </c>
      <c r="G3" s="11" t="s">
        <v>6</v>
      </c>
      <c r="H3" s="11" t="s">
        <v>7</v>
      </c>
      <c r="I3" s="11" t="s">
        <v>8</v>
      </c>
      <c r="J3" s="11" t="s">
        <v>9</v>
      </c>
      <c r="K3" s="11" t="s">
        <v>10</v>
      </c>
      <c r="L3" s="11" t="s">
        <v>11</v>
      </c>
      <c r="M3" s="11" t="s">
        <v>12</v>
      </c>
      <c r="N3" s="11" t="s">
        <v>13</v>
      </c>
      <c r="O3" s="11" t="s">
        <v>14</v>
      </c>
      <c r="P3" s="25"/>
      <c r="Q3" s="26"/>
      <c r="R3" s="26"/>
      <c r="S3" s="26"/>
      <c r="T3" s="26"/>
      <c r="U3" s="26"/>
      <c r="V3" s="27"/>
      <c r="W3" s="27"/>
      <c r="X3" s="27"/>
      <c r="Y3" s="27"/>
    </row>
    <row r="4" s="14" customFormat="1" ht="21.9" customHeight="1" spans="1:25">
      <c r="A4" s="23"/>
      <c r="B4" s="23"/>
      <c r="C4" s="104">
        <v>0</v>
      </c>
      <c r="D4" s="11">
        <v>-2</v>
      </c>
      <c r="E4" s="11">
        <v>-3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25"/>
      <c r="Q4" s="26"/>
      <c r="R4" s="26"/>
      <c r="S4" s="26"/>
      <c r="T4" s="26"/>
      <c r="U4" s="26"/>
      <c r="V4" s="27"/>
      <c r="W4" s="27"/>
      <c r="X4" s="27"/>
      <c r="Y4" s="27"/>
    </row>
    <row r="5" ht="1.95" customHeight="1" spans="1:25">
      <c r="P5" s="13"/>
      <c r="Q5" s="21"/>
      <c r="R5" s="21"/>
      <c r="S5" s="21"/>
      <c r="T5" s="21"/>
      <c r="U5" s="21"/>
    </row>
    <row r="6" s="14" customFormat="1" ht="24.6" customHeight="1" spans="1:25">
      <c r="A6" s="23" t="s">
        <v>15</v>
      </c>
      <c r="B6" s="23">
        <v>1.6</v>
      </c>
      <c r="C6" s="11" t="s">
        <v>16</v>
      </c>
      <c r="D6" s="29" t="s">
        <v>17</v>
      </c>
      <c r="E6" s="46" t="s">
        <v>18</v>
      </c>
      <c r="F6" s="11" t="s">
        <v>19</v>
      </c>
      <c r="G6" s="11" t="s">
        <v>20</v>
      </c>
      <c r="H6" s="11" t="s">
        <v>21</v>
      </c>
      <c r="I6" s="11" t="s">
        <v>22</v>
      </c>
      <c r="J6" s="11" t="s">
        <v>23</v>
      </c>
      <c r="K6" s="11" t="s">
        <v>24</v>
      </c>
      <c r="L6" s="11" t="s">
        <v>25</v>
      </c>
      <c r="M6" s="11" t="s">
        <v>26</v>
      </c>
      <c r="N6" s="11" t="s">
        <v>27</v>
      </c>
      <c r="O6" s="11" t="s">
        <v>28</v>
      </c>
      <c r="P6" s="25"/>
      <c r="Q6" s="26"/>
      <c r="R6" s="26"/>
      <c r="S6" s="26"/>
      <c r="T6" s="26"/>
      <c r="U6" s="26"/>
      <c r="V6" s="27"/>
      <c r="W6" s="27"/>
      <c r="X6" s="27"/>
      <c r="Y6" s="27"/>
    </row>
    <row r="7" s="14" customFormat="1" ht="24.6" customHeight="1" spans="1:25">
      <c r="A7" s="23"/>
      <c r="B7" s="23"/>
      <c r="C7" s="11">
        <v>0</v>
      </c>
      <c r="D7" s="11">
        <v>1.1</v>
      </c>
      <c r="E7" s="104">
        <v>1.6</v>
      </c>
      <c r="F7" s="11">
        <f>E7+D7</f>
        <v>2.7</v>
      </c>
      <c r="G7" s="11">
        <v>-4.6</v>
      </c>
      <c r="H7" s="11">
        <f>G7+E7</f>
        <v>-3</v>
      </c>
      <c r="I7" s="11"/>
      <c r="J7" s="11"/>
      <c r="K7" s="11"/>
      <c r="L7" s="11"/>
      <c r="M7" s="11"/>
      <c r="N7" s="11"/>
      <c r="O7" s="11"/>
      <c r="P7" s="25"/>
      <c r="Q7" s="26"/>
      <c r="R7" s="26"/>
      <c r="S7" s="26"/>
      <c r="T7" s="26"/>
      <c r="U7" s="26"/>
      <c r="V7" s="27"/>
      <c r="W7" s="27"/>
      <c r="X7" s="27"/>
      <c r="Y7" s="27"/>
    </row>
    <row r="8" ht="1.95" customHeight="1" spans="1:25">
      <c r="P8" s="13"/>
      <c r="Q8" s="21"/>
      <c r="R8" s="21"/>
      <c r="S8" s="21"/>
      <c r="T8" s="21"/>
      <c r="U8" s="21"/>
    </row>
    <row r="9" s="14" customFormat="1" ht="22.2" customHeight="1" spans="1:25">
      <c r="A9" s="23" t="s">
        <v>29</v>
      </c>
      <c r="B9" s="23">
        <v>5</v>
      </c>
      <c r="C9" s="119" t="s">
        <v>30</v>
      </c>
      <c r="D9" s="117" t="s">
        <v>33</v>
      </c>
      <c r="E9" s="117" t="s">
        <v>32</v>
      </c>
      <c r="F9" s="117" t="s">
        <v>35</v>
      </c>
      <c r="G9" s="117" t="s">
        <v>38</v>
      </c>
      <c r="H9" s="11" t="s">
        <v>34</v>
      </c>
      <c r="I9" s="117" t="s">
        <v>31</v>
      </c>
      <c r="J9" s="29" t="s">
        <v>103</v>
      </c>
      <c r="K9" s="117" t="s">
        <v>37</v>
      </c>
      <c r="L9" s="117" t="s">
        <v>36</v>
      </c>
      <c r="M9" s="117" t="s">
        <v>39</v>
      </c>
      <c r="N9" s="11" t="s">
        <v>41</v>
      </c>
      <c r="O9" s="11" t="s">
        <v>42</v>
      </c>
      <c r="P9" s="30"/>
      <c r="Q9" s="27"/>
      <c r="R9" s="27"/>
      <c r="S9" s="27"/>
      <c r="T9" s="27"/>
      <c r="U9" s="27"/>
      <c r="V9" s="27"/>
      <c r="W9" s="27"/>
      <c r="X9" s="27"/>
      <c r="Y9" s="27"/>
    </row>
    <row r="10" s="14" customFormat="1" ht="22.2" customHeight="1" spans="1:25">
      <c r="A10" s="23"/>
      <c r="B10" s="23"/>
      <c r="C10" s="144">
        <v>5</v>
      </c>
      <c r="D10" s="145">
        <v>4.3</v>
      </c>
      <c r="E10" s="145">
        <v>-1</v>
      </c>
      <c r="F10" s="145">
        <v>2.8</v>
      </c>
      <c r="G10" s="145">
        <v>-1</v>
      </c>
      <c r="H10" s="113">
        <v>1.3</v>
      </c>
      <c r="I10" s="145">
        <v>5.4</v>
      </c>
      <c r="J10" s="113">
        <v>5</v>
      </c>
      <c r="K10" s="145">
        <v>3.9</v>
      </c>
      <c r="L10" s="145">
        <v>5.5</v>
      </c>
      <c r="M10" s="145">
        <v>2.8</v>
      </c>
      <c r="N10" s="31"/>
      <c r="O10" s="31"/>
      <c r="P10" s="25"/>
      <c r="Q10" s="33"/>
      <c r="R10" s="33"/>
      <c r="S10" s="33"/>
      <c r="T10" s="33"/>
      <c r="U10" s="33"/>
      <c r="V10" s="33"/>
      <c r="W10" s="33"/>
      <c r="X10" s="27"/>
      <c r="Y10" s="27"/>
    </row>
    <row r="11" ht="1.95" customHeight="1" spans="1:25">
      <c r="P11" s="13"/>
      <c r="Q11" s="21"/>
      <c r="R11" s="21"/>
      <c r="S11" s="21"/>
      <c r="T11" s="21"/>
      <c r="U11" s="21"/>
    </row>
    <row r="12" s="14" customFormat="1" ht="25.2" customHeight="1" spans="1:25">
      <c r="A12" s="23" t="s">
        <v>43</v>
      </c>
      <c r="B12" s="23">
        <v>0</v>
      </c>
      <c r="C12" s="28" t="s">
        <v>104</v>
      </c>
      <c r="D12" s="29" t="s">
        <v>45</v>
      </c>
      <c r="E12" s="11" t="s">
        <v>46</v>
      </c>
      <c r="F12" s="11" t="s">
        <v>5</v>
      </c>
      <c r="G12" s="11" t="s">
        <v>6</v>
      </c>
      <c r="H12" s="11" t="s">
        <v>7</v>
      </c>
      <c r="I12" s="11" t="s">
        <v>8</v>
      </c>
      <c r="J12" s="11" t="s">
        <v>9</v>
      </c>
      <c r="K12" s="11" t="s">
        <v>10</v>
      </c>
      <c r="L12" s="11" t="s">
        <v>11</v>
      </c>
      <c r="M12" s="11" t="s">
        <v>12</v>
      </c>
      <c r="N12" s="11" t="s">
        <v>13</v>
      </c>
      <c r="O12" s="11" t="s">
        <v>14</v>
      </c>
      <c r="P12" s="35"/>
      <c r="Q12" s="26"/>
      <c r="R12" s="26"/>
      <c r="S12" s="26"/>
      <c r="T12" s="26"/>
      <c r="U12" s="26"/>
      <c r="V12" s="27"/>
      <c r="W12" s="27"/>
      <c r="X12" s="27"/>
      <c r="Y12" s="27"/>
    </row>
    <row r="13" s="14" customFormat="1" ht="21.9" customHeight="1" spans="1:25">
      <c r="A13" s="23"/>
      <c r="B13" s="23"/>
      <c r="C13" s="24">
        <v>0</v>
      </c>
      <c r="D13" s="11">
        <v>-2.3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25"/>
      <c r="Q13" s="146"/>
      <c r="R13" s="26"/>
      <c r="S13" s="26"/>
      <c r="T13" s="26"/>
      <c r="U13" s="26"/>
      <c r="V13" s="27"/>
      <c r="W13" s="27"/>
      <c r="X13" s="27"/>
      <c r="Y13" s="27"/>
    </row>
    <row r="14" s="14" customFormat="1" ht="21.9" customHeight="1" spans="1:25">
      <c r="A14" s="23" t="s">
        <v>47</v>
      </c>
      <c r="B14" s="23">
        <v>33472</v>
      </c>
      <c r="C14" s="24">
        <v>33472</v>
      </c>
      <c r="D14" s="11">
        <v>33320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25"/>
      <c r="Q14" s="26"/>
      <c r="R14" s="26"/>
      <c r="S14" s="26"/>
      <c r="T14" s="26"/>
      <c r="U14" s="26"/>
      <c r="V14" s="27"/>
      <c r="W14" s="27"/>
      <c r="X14" s="27"/>
      <c r="Y14" s="27"/>
    </row>
    <row r="15" s="14" customFormat="1" ht="21.9" customHeight="1" spans="1:25">
      <c r="A15" s="23" t="s">
        <v>48</v>
      </c>
      <c r="B15" s="23">
        <v>1.7</v>
      </c>
      <c r="C15" s="24">
        <v>1.7</v>
      </c>
      <c r="D15" s="11">
        <v>1.7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25"/>
      <c r="Q15" s="26"/>
      <c r="R15" s="26"/>
      <c r="S15" s="26"/>
      <c r="T15" s="26"/>
      <c r="U15" s="26"/>
      <c r="V15" s="27"/>
      <c r="W15" s="27"/>
      <c r="X15" s="27"/>
      <c r="Y15" s="27"/>
    </row>
    <row r="16" ht="1.95" customHeight="1" spans="1:25">
      <c r="P16" s="13"/>
      <c r="Q16" s="21"/>
      <c r="R16" s="21"/>
      <c r="S16" s="21"/>
      <c r="T16" s="21"/>
      <c r="U16" s="21"/>
    </row>
    <row r="17" s="14" customFormat="1" ht="31.2" customHeight="1" spans="1:25">
      <c r="A17" s="23" t="s">
        <v>49</v>
      </c>
      <c r="B17" s="36">
        <v>-2.2</v>
      </c>
      <c r="C17" s="37" t="s">
        <v>50</v>
      </c>
      <c r="D17" s="37" t="s">
        <v>51</v>
      </c>
      <c r="E17" s="37" t="s">
        <v>52</v>
      </c>
      <c r="F17" s="106" t="s">
        <v>53</v>
      </c>
      <c r="G17" s="37" t="s">
        <v>54</v>
      </c>
      <c r="H17" s="37" t="s">
        <v>55</v>
      </c>
      <c r="I17" s="37" t="s">
        <v>56</v>
      </c>
      <c r="J17" s="37" t="s">
        <v>57</v>
      </c>
      <c r="K17" s="11" t="s">
        <v>10</v>
      </c>
      <c r="L17" s="11" t="s">
        <v>11</v>
      </c>
      <c r="M17" s="11" t="s">
        <v>12</v>
      </c>
      <c r="N17" s="11" t="s">
        <v>13</v>
      </c>
      <c r="O17" s="11" t="s">
        <v>14</v>
      </c>
      <c r="P17" s="26"/>
      <c r="Q17" s="26"/>
      <c r="R17" s="26"/>
      <c r="S17" s="27"/>
      <c r="T17" s="27"/>
      <c r="U17" s="27"/>
      <c r="V17" s="27"/>
      <c r="W17" s="27"/>
      <c r="X17" s="27"/>
      <c r="Y17" s="27"/>
    </row>
    <row r="18" s="14" customFormat="1" ht="21.9" customHeight="1" spans="1:25">
      <c r="A18" s="23"/>
      <c r="B18" s="39"/>
      <c r="C18" s="11">
        <v>0</v>
      </c>
      <c r="D18" s="11">
        <v>-0.1</v>
      </c>
      <c r="E18" s="11">
        <v>-1.8</v>
      </c>
      <c r="F18" s="104">
        <v>-2.2</v>
      </c>
      <c r="G18" s="11">
        <v>0.2</v>
      </c>
      <c r="H18" s="11">
        <v>0.1</v>
      </c>
      <c r="I18" s="11">
        <v>-1.2</v>
      </c>
      <c r="J18" s="11">
        <v>-1.4</v>
      </c>
      <c r="K18" s="11"/>
      <c r="L18" s="11"/>
      <c r="M18" s="11"/>
      <c r="N18" s="11"/>
      <c r="O18" s="11"/>
      <c r="P18" s="26"/>
      <c r="Q18" s="26"/>
      <c r="R18" s="26"/>
      <c r="S18" s="27"/>
      <c r="T18" s="27"/>
      <c r="U18" s="27"/>
      <c r="V18" s="27"/>
      <c r="W18" s="27"/>
      <c r="X18" s="27"/>
      <c r="Y18" s="27"/>
    </row>
    <row r="19" ht="2.1" customHeight="1" spans="1:25">
      <c r="P19" s="13"/>
      <c r="Q19" s="21"/>
      <c r="R19" s="21"/>
      <c r="S19" s="21"/>
      <c r="T19" s="21"/>
      <c r="U19" s="21"/>
    </row>
    <row r="20" s="14" customFormat="1" ht="34.8" customHeight="1" spans="1:25">
      <c r="A20" s="23" t="s">
        <v>58</v>
      </c>
      <c r="B20" s="23">
        <v>0</v>
      </c>
      <c r="C20" s="46" t="s">
        <v>59</v>
      </c>
      <c r="D20" s="29" t="s">
        <v>60</v>
      </c>
      <c r="E20" s="29" t="s">
        <v>61</v>
      </c>
      <c r="F20" s="29" t="s">
        <v>62</v>
      </c>
      <c r="G20" s="29" t="s">
        <v>63</v>
      </c>
      <c r="H20" s="29" t="s">
        <v>64</v>
      </c>
      <c r="I20" s="29" t="s">
        <v>65</v>
      </c>
      <c r="J20" s="11" t="s">
        <v>9</v>
      </c>
      <c r="K20" s="11" t="s">
        <v>10</v>
      </c>
      <c r="L20" s="11" t="s">
        <v>11</v>
      </c>
      <c r="M20" s="11" t="s">
        <v>12</v>
      </c>
      <c r="N20" s="11" t="s">
        <v>13</v>
      </c>
      <c r="O20" s="11" t="s">
        <v>14</v>
      </c>
      <c r="P20" s="30"/>
      <c r="Q20" s="26"/>
      <c r="R20" s="26"/>
      <c r="S20" s="26"/>
      <c r="T20" s="26"/>
      <c r="U20" s="26"/>
      <c r="V20" s="27"/>
      <c r="W20" s="27"/>
      <c r="X20" s="27"/>
      <c r="Y20" s="27"/>
    </row>
    <row r="21" s="14" customFormat="1" ht="21.6" customHeight="1" spans="1:25">
      <c r="A21" s="23"/>
      <c r="B21" s="23"/>
      <c r="C21" s="104">
        <v>0</v>
      </c>
      <c r="D21" s="11">
        <v>0.3</v>
      </c>
      <c r="E21" s="11">
        <v>0.7</v>
      </c>
      <c r="F21" s="11">
        <v>0.9</v>
      </c>
      <c r="G21" s="11">
        <v>1.2</v>
      </c>
      <c r="H21" s="11">
        <v>0.1</v>
      </c>
      <c r="I21" s="11">
        <v>0.3</v>
      </c>
      <c r="J21" s="11"/>
      <c r="K21" s="11"/>
      <c r="L21" s="11"/>
      <c r="M21" s="11"/>
      <c r="N21" s="11"/>
      <c r="O21" s="11"/>
      <c r="P21" s="41"/>
      <c r="Q21" s="42"/>
      <c r="R21" s="42"/>
      <c r="S21" s="42"/>
      <c r="T21" s="42"/>
      <c r="U21" s="42"/>
      <c r="V21" s="43"/>
      <c r="W21" s="27"/>
      <c r="X21" s="27"/>
      <c r="Y21" s="27"/>
    </row>
    <row r="22" ht="2.1" customHeight="1" spans="1:25">
      <c r="P22" s="13"/>
      <c r="Q22" s="21"/>
      <c r="R22" s="21"/>
      <c r="S22" s="21"/>
      <c r="T22" s="21"/>
      <c r="U22" s="21"/>
    </row>
    <row r="23" s="14" customFormat="1" ht="21.6" hidden="1" customHeight="1" spans="1:25">
      <c r="A23" s="23" t="s">
        <v>105</v>
      </c>
      <c r="B23" s="23">
        <v>0</v>
      </c>
      <c r="C23" s="28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30"/>
      <c r="Q23" s="26"/>
      <c r="R23" s="26"/>
      <c r="S23" s="26"/>
      <c r="T23" s="26"/>
      <c r="U23" s="26"/>
      <c r="V23" s="27"/>
      <c r="W23" s="27"/>
      <c r="X23" s="27"/>
      <c r="Y23" s="27"/>
    </row>
    <row r="24" s="14" customFormat="1" ht="21.6" hidden="1" customHeight="1" spans="1:25">
      <c r="A24" s="23"/>
      <c r="B24" s="23"/>
      <c r="C24" s="24"/>
      <c r="D24" s="11"/>
      <c r="E24" s="11"/>
      <c r="F24" s="11"/>
      <c r="G24" s="40"/>
      <c r="H24" s="40"/>
      <c r="I24" s="11"/>
      <c r="J24" s="11"/>
      <c r="K24" s="11"/>
      <c r="L24" s="11"/>
      <c r="M24" s="11"/>
      <c r="N24" s="11"/>
      <c r="O24" s="11"/>
      <c r="P24" s="44"/>
      <c r="Q24" s="45"/>
      <c r="R24" s="45"/>
      <c r="S24" s="45"/>
      <c r="T24" s="45"/>
      <c r="U24" s="45"/>
      <c r="V24" s="27"/>
      <c r="W24" s="27"/>
      <c r="X24" s="27"/>
      <c r="Y24" s="27"/>
    </row>
    <row r="25" ht="2.1" hidden="1" customHeight="1" spans="1:25">
      <c r="P25" s="13"/>
      <c r="Q25" s="21"/>
      <c r="R25" s="21"/>
      <c r="S25" s="21"/>
      <c r="T25" s="21"/>
      <c r="U25" s="21"/>
    </row>
    <row r="26" s="14" customFormat="1" ht="21.6" customHeight="1" spans="1:25">
      <c r="A26" s="23" t="s">
        <v>73</v>
      </c>
      <c r="B26" s="23">
        <v>-1.7</v>
      </c>
      <c r="C26" s="29" t="s">
        <v>74</v>
      </c>
      <c r="D26" s="29" t="s">
        <v>75</v>
      </c>
      <c r="E26" s="46" t="s">
        <v>76</v>
      </c>
      <c r="F26" s="29" t="s">
        <v>77</v>
      </c>
      <c r="G26" s="29" t="s">
        <v>78</v>
      </c>
      <c r="H26" s="29" t="s">
        <v>79</v>
      </c>
      <c r="I26" s="29" t="s">
        <v>80</v>
      </c>
      <c r="J26" s="29" t="s">
        <v>81</v>
      </c>
      <c r="K26" s="29" t="s">
        <v>82</v>
      </c>
      <c r="L26" s="29" t="s">
        <v>83</v>
      </c>
      <c r="M26" s="29" t="s">
        <v>84</v>
      </c>
      <c r="N26" s="29" t="s">
        <v>85</v>
      </c>
      <c r="O26" s="29" t="s">
        <v>86</v>
      </c>
      <c r="P26" s="30"/>
      <c r="Q26" s="26"/>
      <c r="R26" s="26"/>
      <c r="S26" s="26"/>
      <c r="T26" s="26"/>
      <c r="U26" s="26"/>
      <c r="V26" s="27"/>
      <c r="W26" s="27"/>
      <c r="X26" s="27"/>
      <c r="Y26" s="27"/>
    </row>
    <row r="27" s="14" customFormat="1" ht="21.6" customHeight="1" spans="1:25">
      <c r="A27" s="23"/>
      <c r="B27" s="23"/>
      <c r="C27" s="49">
        <v>0</v>
      </c>
      <c r="D27" s="49">
        <v>-1</v>
      </c>
      <c r="E27" s="48">
        <v>-1.7</v>
      </c>
      <c r="F27" s="50"/>
      <c r="G27" s="50"/>
      <c r="H27" s="50"/>
      <c r="I27" s="49"/>
      <c r="J27" s="49"/>
      <c r="K27" s="49"/>
      <c r="L27" s="49"/>
      <c r="M27" s="49"/>
      <c r="N27" s="49"/>
      <c r="O27" s="49"/>
      <c r="P27" s="44"/>
      <c r="Q27" s="45"/>
      <c r="R27" s="45"/>
      <c r="S27" s="45"/>
      <c r="T27" s="45"/>
      <c r="U27" s="45"/>
      <c r="V27" s="27"/>
      <c r="W27" s="27"/>
      <c r="X27" s="27"/>
      <c r="Y27" s="27"/>
    </row>
    <row r="28" s="15" customFormat="1" ht="22.2" customHeight="1" spans="1:25">
      <c r="A28" s="51" t="s">
        <v>87</v>
      </c>
      <c r="B28" s="51" t="s">
        <v>88</v>
      </c>
      <c r="C28" s="51" t="s">
        <v>89</v>
      </c>
      <c r="D28" s="51" t="s">
        <v>90</v>
      </c>
      <c r="E28" s="51">
        <v>33081</v>
      </c>
      <c r="F28" s="51" t="s">
        <v>91</v>
      </c>
      <c r="G28" s="51" t="s">
        <v>92</v>
      </c>
      <c r="H28" s="51" t="s">
        <v>93</v>
      </c>
      <c r="I28" s="51" t="s">
        <v>94</v>
      </c>
      <c r="J28" s="52" t="s">
        <v>95</v>
      </c>
      <c r="K28" s="53">
        <v>620</v>
      </c>
      <c r="L28" s="53">
        <v>625</v>
      </c>
      <c r="M28" s="53">
        <v>630</v>
      </c>
      <c r="N28" s="53">
        <v>635</v>
      </c>
      <c r="O28" s="53">
        <v>640</v>
      </c>
      <c r="P28" s="53">
        <v>645</v>
      </c>
      <c r="Q28" s="53">
        <v>650</v>
      </c>
      <c r="R28" s="53">
        <v>655</v>
      </c>
      <c r="S28" s="53">
        <v>660</v>
      </c>
      <c r="T28" s="53">
        <v>665</v>
      </c>
      <c r="U28" s="54" t="s">
        <v>96</v>
      </c>
    </row>
    <row r="29" s="14" customFormat="1" ht="18" customHeight="1" spans="1:25">
      <c r="A29" s="55" t="s">
        <v>106</v>
      </c>
      <c r="B29" s="55" t="s">
        <v>98</v>
      </c>
      <c r="C29" s="56">
        <v>0.247</v>
      </c>
      <c r="D29" s="57"/>
      <c r="E29" s="58">
        <v>33472</v>
      </c>
      <c r="F29" s="59">
        <f t="shared" ref="F29:F48" si="0">C29*E29/1000</f>
        <v>8.267584</v>
      </c>
      <c r="G29" s="59">
        <f>F29*78</f>
        <v>644.871552</v>
      </c>
      <c r="H29" s="60">
        <f>I29/G29</f>
        <v>0.977494866467548</v>
      </c>
      <c r="I29" s="61">
        <f>G29*(H30+0.15%)</f>
        <v>630.35863161096</v>
      </c>
      <c r="J29" s="61"/>
      <c r="K29" s="62">
        <f>(NORMSDIST((I29-$K$28)/B15)-NORMSDIST((I29-$L$28)/B15))</f>
        <v>0.00081040259181564</v>
      </c>
      <c r="L29" s="62">
        <f>(NORMSDIST((I29-$L$28)/B15)-NORMSDIST((I29-$M$28)/B15))</f>
        <v>0.415648928275808</v>
      </c>
      <c r="M29" s="63">
        <f>(NORMSDIST((I29-$M$28)/B15)-NORMSDIST((I29-$N$28)/B15))</f>
        <v>0.58037603325715</v>
      </c>
      <c r="N29" s="63">
        <f>(NORMSDIST((I29-$N$28)/B15)-NORMSDIST((I29-$O$28)/B15))</f>
        <v>0.003164628240192</v>
      </c>
      <c r="O29" s="63">
        <f>(NORMSDIST((I29-$O$28)/B15)-NORMSDIST((I29-$P$28)/B15))</f>
        <v>7.0820457434857e-9</v>
      </c>
      <c r="P29" s="63">
        <f>(NORMSDIST((I29-$P$28)/B15)-NORMSDIST((I29-$Q$28)/B15))</f>
        <v>3.57204362166233e-18</v>
      </c>
      <c r="Q29" s="63">
        <f>(NORMSDIST((I29-$Q$28)/B15)-NORMSDIST((I29-$R$28)/B15))</f>
        <v>3.53357160901959e-31</v>
      </c>
      <c r="R29" s="63">
        <f>(NORMSDIST((I29-$R$28)/B15)-NORMSDIST((I29-$S$28)/B15))</f>
        <v>6.52246880525127e-48</v>
      </c>
      <c r="S29" s="63">
        <f>(NORMSDIST((I29-$S$28)/B15)-NORMSDIST((I29-$T$28)/B15))</f>
        <v>2.19518720249783e-68</v>
      </c>
      <c r="T29" s="63"/>
      <c r="U29" s="64">
        <f t="shared" ref="U29:U48" si="1">SUM(K29:T29)</f>
        <v>0.999999999447011</v>
      </c>
    </row>
    <row r="30" s="14" customFormat="1" ht="18" customHeight="1" spans="1:25">
      <c r="A30" s="65"/>
      <c r="B30" s="65"/>
      <c r="C30" s="56">
        <f t="shared" ref="C30:C48" si="2">C29+0.1%</f>
        <v>0.248</v>
      </c>
      <c r="D30" s="66"/>
      <c r="E30" s="58">
        <v>33472</v>
      </c>
      <c r="F30" s="59">
        <f t="shared" si="0"/>
        <v>8.301056</v>
      </c>
      <c r="G30" s="59">
        <f t="shared" ref="G30:G48" si="3">F30*78</f>
        <v>647.482368</v>
      </c>
      <c r="H30" s="60">
        <f t="shared" ref="H30:H48" si="4">I30/G30</f>
        <v>0.975994866467548</v>
      </c>
      <c r="I30" s="61">
        <f t="shared" ref="I30:I35" si="5">G30*(H31+0.15%)</f>
        <v>631.939467296252</v>
      </c>
      <c r="J30" s="61"/>
      <c r="K30" s="62">
        <f>(NORMSDIST((I30-$K$28)/B15)-NORMSDIST((I30-$L$28)/B15))</f>
        <v>2.23210941029395e-5</v>
      </c>
      <c r="L30" s="62">
        <f>(NORMSDIST((I30-$L$28)/B15)-NORMSDIST((I30-$M$28)/B15))</f>
        <v>0.126941124244736</v>
      </c>
      <c r="M30" s="63">
        <f>(NORMSDIST((I30-$M$28)/B15)-NORMSDIST((I30-$N$28)/B15))</f>
        <v>0.837130968009437</v>
      </c>
      <c r="N30" s="63">
        <f>(NORMSDIST((I30-$N$28)/B15)-NORMSDIST((I30-$O$28)/B15))</f>
        <v>0.0359045258890711</v>
      </c>
      <c r="O30" s="63">
        <f>(NORMSDIST((I30-$O$28)/B15)-NORMSDIST((I30-$P$28)/B15))</f>
        <v>1.06076156051379e-6</v>
      </c>
      <c r="P30" s="63">
        <f>(NORMSDIST((I30-$P$28)/B15)-NORMSDIST((I30-$Q$28)/B15))</f>
        <v>7.79055414418543e-15</v>
      </c>
      <c r="Q30" s="63">
        <f>(NORMSDIST((I30-$Q$28)/B15)-NORMSDIST((I30-$R$28)/B15))</f>
        <v>1.15428792568194e-26</v>
      </c>
      <c r="R30" s="63">
        <f>(NORMSDIST((I30-$R$28)/B15)-NORMSDIST((L30-$S$28)/B15))</f>
        <v>3.22813633557008e-42</v>
      </c>
      <c r="S30" s="63">
        <f>(NORMSDIST((I30-$S$28)/B15)-NORMSDIST((I30-$T$28)/B15))</f>
        <v>1.65554573078527e-61</v>
      </c>
      <c r="T30" s="63"/>
      <c r="U30" s="64">
        <f t="shared" si="1"/>
        <v>0.999999999998916</v>
      </c>
    </row>
    <row r="31" s="14" customFormat="1" ht="18" customHeight="1" spans="1:25">
      <c r="A31" s="65"/>
      <c r="B31" s="65"/>
      <c r="C31" s="56">
        <f t="shared" si="2"/>
        <v>0.249</v>
      </c>
      <c r="D31" s="67"/>
      <c r="E31" s="58">
        <v>33472</v>
      </c>
      <c r="F31" s="59">
        <f t="shared" si="0"/>
        <v>8.334528</v>
      </c>
      <c r="G31" s="59">
        <f t="shared" si="3"/>
        <v>650.093184</v>
      </c>
      <c r="H31" s="60">
        <f t="shared" si="4"/>
        <v>0.974494866467548</v>
      </c>
      <c r="I31" s="61">
        <f t="shared" si="5"/>
        <v>633.512470533543</v>
      </c>
      <c r="J31" s="68"/>
      <c r="K31" s="62">
        <f>(NORMSDIST((I31-$K$28)/B15)-NORMSDIST((I31-$L$28)/B15))</f>
        <v>2.75943256689004e-7</v>
      </c>
      <c r="L31" s="62">
        <f>(NORMSDIST((I31-$L$28)/B15)-NORMSDIST((I31-$M$28)/B15))</f>
        <v>0.0194064519614825</v>
      </c>
      <c r="M31" s="63">
        <f>(NORMSDIST((I31-$M$28)/B15)-NORMSDIST((I31-$N$28)/B15))</f>
        <v>0.789811034793404</v>
      </c>
      <c r="N31" s="69">
        <f>(NORMSDIST((I31-$N$28)/B15)-NORMSDIST((I31-$O$28)/B15))</f>
        <v>0.190714474266372</v>
      </c>
      <c r="O31" s="69">
        <f>(NORMSDIST((I31-$O$28)/B15)-NORMSDIST((I31-$P$28)/B15))</f>
        <v>6.77630284574255e-5</v>
      </c>
      <c r="P31" s="63">
        <f>(NORMSDIST((I31-$P$28)/B15)-NORMSDIST((I31-$Q$28)/B15))</f>
        <v>7.02593786733633e-12</v>
      </c>
      <c r="Q31" s="63">
        <f>(NORMSDIST((I31-$Q$28)/B15)-NORMSDIST((I31-$R$28)/B15))</f>
        <v>1.52911699155063e-22</v>
      </c>
      <c r="R31" s="63">
        <f>(NORMSDIST((I31-$R$28)/B15)-NORMSDIST((L31-$S$28)/B15))</f>
        <v>6.37509948737276e-37</v>
      </c>
      <c r="S31" s="63">
        <f>(NORMSDIST((I31-$S$28)/B15)-NORMSDIST((I31-$T$28)/B15))</f>
        <v>4.90816745163096e-55</v>
      </c>
      <c r="T31" s="63"/>
      <c r="U31" s="64">
        <f t="shared" si="1"/>
        <v>0.999999999999999</v>
      </c>
    </row>
    <row r="32" s="16" customFormat="1" ht="18" customHeight="1" spans="1:25">
      <c r="A32" s="65"/>
      <c r="B32" s="65"/>
      <c r="C32" s="56">
        <f t="shared" si="2"/>
        <v>0.25</v>
      </c>
      <c r="D32" s="67"/>
      <c r="E32" s="58">
        <v>33472</v>
      </c>
      <c r="F32" s="70">
        <f t="shared" si="0"/>
        <v>8.368</v>
      </c>
      <c r="G32" s="59">
        <f t="shared" si="3"/>
        <v>652.704</v>
      </c>
      <c r="H32" s="71">
        <f t="shared" si="4"/>
        <v>0.972994866467548</v>
      </c>
      <c r="I32" s="61">
        <f t="shared" si="5"/>
        <v>635.077641322834</v>
      </c>
      <c r="J32" s="72"/>
      <c r="K32" s="73">
        <f>(NORMSDIST((I32-$K$28)/B15)-NORMSDIST((I32-$L$28)/B15))</f>
        <v>1.53300561134273e-9</v>
      </c>
      <c r="L32" s="73">
        <f>(NORMSDIST((I32-$L$28)/B15)-NORMSDIST((I32-$M$28)/B15))</f>
        <v>0.00140934836265127</v>
      </c>
      <c r="M32" s="73">
        <f>(NORMSDIST((I32-$M$28)/B15)-NORMSDIST((I32-$N$28)/B15))</f>
        <v>0.480376743259275</v>
      </c>
      <c r="N32" s="73">
        <f>(NORMSDIST((I32-$N$28)/B15)-NORMSDIST((I32-$O$28)/B15))</f>
        <v>0.516321162477633</v>
      </c>
      <c r="O32" s="73">
        <f>(NORMSDIST((I32-$O$28)/B15)-NORMSDIST((I32-$P$28)/B15))</f>
        <v>0.00189274170489896</v>
      </c>
      <c r="P32" s="73">
        <f>(NORMSDIST((I32-$P$28)/B15)-NORMSDIST((I32-$Q$28)/B15))</f>
        <v>2.66253628519307e-9</v>
      </c>
      <c r="Q32" s="73">
        <f>(NORMSDIST((I32-$Q$28)/B15)-NORMSDIST((I32-$R$28)/B15))</f>
        <v>8.3308693072887e-19</v>
      </c>
      <c r="R32" s="73">
        <f>(NORMSDIST((I32-$R$28)/B15)-NORMSDIST((L32-$S$28)/B15))</f>
        <v>5.09129206716056e-32</v>
      </c>
      <c r="S32" s="63">
        <f>(NORMSDIST((I32-$S$28)/B15)-NORMSDIST((I32-$T$28)/B15))</f>
        <v>5.79561104301424e-49</v>
      </c>
      <c r="T32" s="63"/>
      <c r="U32" s="64">
        <f t="shared" si="1"/>
        <v>1</v>
      </c>
    </row>
    <row r="33" s="14" customFormat="1" ht="18" customHeight="1" spans="1:21">
      <c r="A33" s="65"/>
      <c r="B33" s="65"/>
      <c r="C33" s="56">
        <f t="shared" si="2"/>
        <v>0.251</v>
      </c>
      <c r="D33" s="74"/>
      <c r="E33" s="58">
        <v>33472</v>
      </c>
      <c r="F33" s="59">
        <f t="shared" si="0"/>
        <v>8.401472</v>
      </c>
      <c r="G33" s="59">
        <f t="shared" si="3"/>
        <v>655.314816</v>
      </c>
      <c r="H33" s="60">
        <f t="shared" si="4"/>
        <v>0.971494866467548</v>
      </c>
      <c r="I33" s="61">
        <f t="shared" si="5"/>
        <v>636.634979664126</v>
      </c>
      <c r="J33" s="72"/>
      <c r="K33" s="62">
        <f>(NORMSDIST((I33-$K$28)/B15)-NORMSDIST((I33-$L$28)/B15))</f>
        <v>3.84769993644341e-12</v>
      </c>
      <c r="L33" s="62">
        <f>(NORMSDIST((I33-$L$28)/B15)-NORMSDIST((I33-$M$28)/B15))</f>
        <v>4.75177477672339e-5</v>
      </c>
      <c r="M33" s="63">
        <f>(NORMSDIST((I33-$M$28)/B15)-NORMSDIST((I33-$N$28)/B15))</f>
        <v>0.168039392801535</v>
      </c>
      <c r="N33" s="63">
        <f>(NORMSDIST((I33-$N$28)/B15)-NORMSDIST((I33-$O$28)/B15))</f>
        <v>0.80802892980021</v>
      </c>
      <c r="O33" s="63">
        <f>(NORMSDIST((I33-$O$28)/B15)-NORMSDIST((I33-$P$28)/B15))</f>
        <v>0.0238837282505605</v>
      </c>
      <c r="P33" s="63">
        <f>(NORMSDIST((I33-$P$28)/B15)-NORMSDIST((I33-$Q$28)/B15))</f>
        <v>4.3139607720199e-7</v>
      </c>
      <c r="Q33" s="63">
        <f>(NORMSDIST((I33-$Q$28)/B15)-NORMSDIST((I33-$R$28)/B15))</f>
        <v>1.89361416399794e-15</v>
      </c>
      <c r="R33" s="63">
        <f>(NORMSDIST((I33-$R$28)/B15)-NORMSDIST((L33-$S$28)/B15))</f>
        <v>1.66653849889664e-27</v>
      </c>
      <c r="S33" s="63">
        <f>(NORMSDIST((I33-$S$28)/B15)-NORMSDIST((I33-$T$28)/B15))</f>
        <v>2.76166520256923e-43</v>
      </c>
      <c r="T33" s="63"/>
      <c r="U33" s="64">
        <f t="shared" si="1"/>
        <v>1</v>
      </c>
    </row>
    <row r="34" s="14" customFormat="1" ht="18" customHeight="1" spans="1:21">
      <c r="A34" s="65"/>
      <c r="B34" s="65"/>
      <c r="C34" s="56">
        <f t="shared" si="2"/>
        <v>0.252</v>
      </c>
      <c r="D34" s="74"/>
      <c r="E34" s="58">
        <v>33472</v>
      </c>
      <c r="F34" s="59">
        <f t="shared" si="0"/>
        <v>8.434944</v>
      </c>
      <c r="G34" s="59">
        <f t="shared" si="3"/>
        <v>657.925632</v>
      </c>
      <c r="H34" s="60">
        <f t="shared" si="4"/>
        <v>0.969994866467548</v>
      </c>
      <c r="I34" s="61">
        <f t="shared" si="5"/>
        <v>638.184485557417</v>
      </c>
      <c r="J34" s="75"/>
      <c r="K34" s="62">
        <f>(NORMSDIST((I34-$K$28)/B15)-NORMSDIST((I34-$L$28)/B15))</f>
        <v>4.44089209850063e-15</v>
      </c>
      <c r="L34" s="62">
        <f>(NORMSDIST((I34-$L$28)/B15)-NORMSDIST((I34-$M$28)/B15))</f>
        <v>7.38201978101038e-7</v>
      </c>
      <c r="M34" s="63">
        <f>(NORMSDIST((I34-$M$28)/B15)-NORMSDIST((I34-$N$28)/B15))</f>
        <v>0.0305177984161692</v>
      </c>
      <c r="N34" s="63">
        <f>(NORMSDIST((I34-$N$28)/B15)-NORMSDIST((I34-$O$28)/B15))</f>
        <v>0.826709856144046</v>
      </c>
      <c r="O34" s="63">
        <f>(NORMSDIST((I34-$O$28)/B15)-NORMSDIST((I34-$P$28)/B15))</f>
        <v>0.142741135309515</v>
      </c>
      <c r="P34" s="63">
        <f>(NORMSDIST((I34-$P$28)/B15)-NORMSDIST((I34-$Q$28)/B15))</f>
        <v>3.04719264645196e-5</v>
      </c>
      <c r="Q34" s="63">
        <f>(NORMSDIST((I34-$Q$28)/B15)-NORMSDIST((I34-$R$28)/B15))</f>
        <v>1.82251736831875e-12</v>
      </c>
      <c r="R34" s="63">
        <f>(NORMSDIST((I34-$R$28)/B15)-NORMSDIST((L34-$S$28)/B15))</f>
        <v>2.26640284345784e-23</v>
      </c>
      <c r="S34" s="63">
        <f>(NORMSDIST((I34-$S$28)/B15)-NORMSDIST((I34-$T$28)/B15))</f>
        <v>5.38057164244463e-38</v>
      </c>
      <c r="T34" s="63"/>
      <c r="U34" s="64">
        <f t="shared" si="1"/>
        <v>1</v>
      </c>
    </row>
    <row r="35" s="14" customFormat="1" ht="18" customHeight="1" spans="1:21">
      <c r="A35" s="65"/>
      <c r="B35" s="65"/>
      <c r="C35" s="56">
        <f t="shared" si="2"/>
        <v>0.253</v>
      </c>
      <c r="D35" s="76">
        <v>0.26688674888391</v>
      </c>
      <c r="E35" s="58">
        <v>33472</v>
      </c>
      <c r="F35" s="59">
        <f t="shared" si="0"/>
        <v>8.468416</v>
      </c>
      <c r="G35" s="59">
        <f t="shared" si="3"/>
        <v>660.536448</v>
      </c>
      <c r="H35" s="60">
        <f t="shared" si="4"/>
        <v>0.968494866467548</v>
      </c>
      <c r="I35" s="147">
        <f t="shared" si="5"/>
        <v>639.726159002708</v>
      </c>
      <c r="J35" s="148"/>
      <c r="K35" s="62">
        <f>(NORMSDIST((I35-$K$28)/B15)-NORMSDIST((I35-$L$28)/B15))</f>
        <v>0</v>
      </c>
      <c r="L35" s="62">
        <f>(NORMSDIST((I35-$L$28)/B15)-NORMSDIST((I35-$M$28)/B15))</f>
        <v>5.28653587572592e-9</v>
      </c>
      <c r="M35" s="63">
        <f>(NORMSDIST((I35-$M$28)/B15)-NORMSDIST((I35-$N$28)/B15))</f>
        <v>0.00271715691249363</v>
      </c>
      <c r="N35" s="63">
        <f>(NORMSDIST((I35-$N$28)/B15)-NORMSDIST((I35-$O$28)/B15))</f>
        <v>0.561268799297538</v>
      </c>
      <c r="O35" s="63">
        <f>(NORMSDIST((I35-$O$28)/B15)-NORMSDIST((I35-$P$28)/B15))</f>
        <v>0.435053790579226</v>
      </c>
      <c r="P35" s="63">
        <f>(NORMSDIST((I35-$P$28)/B15)-NORMSDIST((I35-$Q$28)/B15))</f>
        <v>0.000960247169874344</v>
      </c>
      <c r="Q35" s="63">
        <f>(NORMSDIST((I35-$Q$28)/B15)-NORMSDIST((I35-$R$28)/B15))</f>
        <v>7.54331740768906e-10</v>
      </c>
      <c r="R35" s="63">
        <f>(NORMSDIST((I35-$R$28)/B15)-NORMSDIST((I35-$S$28)/B15))</f>
        <v>1.29823984501576e-19</v>
      </c>
      <c r="S35" s="63">
        <f>(NORMSDIST((I35-$S$28)/B15)-NORMSDIST((I35-$T$28)/B15))</f>
        <v>4.3428690767046e-33</v>
      </c>
      <c r="T35" s="63"/>
      <c r="U35" s="64">
        <f t="shared" si="1"/>
        <v>1</v>
      </c>
    </row>
    <row r="36" s="30" customFormat="1" ht="18" customHeight="1" spans="1:21">
      <c r="A36" s="65"/>
      <c r="B36" s="65"/>
      <c r="C36" s="149">
        <f t="shared" si="2"/>
        <v>0.254</v>
      </c>
      <c r="D36" s="66">
        <v>0.424199921317756</v>
      </c>
      <c r="E36" s="150">
        <v>33472</v>
      </c>
      <c r="F36" s="151">
        <f t="shared" si="0"/>
        <v>8.501888</v>
      </c>
      <c r="G36" s="151">
        <f t="shared" si="3"/>
        <v>663.147264</v>
      </c>
      <c r="H36" s="152">
        <f t="shared" si="4"/>
        <v>0.966994866467548</v>
      </c>
      <c r="I36" s="153">
        <v>641.26</v>
      </c>
      <c r="J36" s="153" t="s">
        <v>99</v>
      </c>
      <c r="K36" s="154">
        <f>(NORMSDIST((I36-$K$28)/B15)-NORMSDIST((I36-$L$28)/B15))</f>
        <v>0</v>
      </c>
      <c r="L36" s="154">
        <f>(NORMSDIST((I36-$L$28)/B15)-NORMSDIST((I36-$M$28)/B15))</f>
        <v>1.75360836962568e-11</v>
      </c>
      <c r="M36" s="154">
        <f>(NORMSDIST((I36-$M$28)/B15)-NORMSDIST((I36-$N$28)/B15))</f>
        <v>0.000115545570590236</v>
      </c>
      <c r="N36" s="154">
        <f>(NORMSDIST((I36-$N$28)/B15)-NORMSDIST((I36-$O$28)/B15))</f>
        <v>0.229177678413673</v>
      </c>
      <c r="O36" s="154">
        <f>(NORMSDIST((I36-$O$28)/B15)-NORMSDIST((I36-$P$28)/B15))</f>
        <v>0.756803328484705</v>
      </c>
      <c r="P36" s="154">
        <f>(NORMSDIST((I36-$P$28)/B15)-NORMSDIST((I36-$Q$28)/B15))</f>
        <v>0.0139033110017641</v>
      </c>
      <c r="Q36" s="154">
        <f>(NORMSDIST((I36-$Q$28)/B15)-NORMSDIST((I36-$R$28)/B15))</f>
        <v>1.3651173162364e-7</v>
      </c>
      <c r="R36" s="154">
        <f>(NORMSDIST((I36-$R$28)/B15)-NORMSDIST((I36-$S$28)/B15))</f>
        <v>3.17644626610921e-16</v>
      </c>
      <c r="S36" s="154">
        <f>(NORMSDIST((I36-$S$28)/B15)-NORMSDIST((I36-$T$28)/B15))</f>
        <v>1.47144554625633e-28</v>
      </c>
      <c r="T36" s="154"/>
      <c r="U36" s="149">
        <f t="shared" si="1"/>
        <v>1</v>
      </c>
    </row>
    <row r="37" s="27" customFormat="1" ht="18" customHeight="1" spans="1:21">
      <c r="A37" s="65"/>
      <c r="B37" s="65"/>
      <c r="C37" s="107">
        <f t="shared" si="2"/>
        <v>0.255</v>
      </c>
      <c r="D37" s="66">
        <v>0.274703658724321</v>
      </c>
      <c r="E37" s="108">
        <v>33472</v>
      </c>
      <c r="F37" s="109">
        <f t="shared" si="0"/>
        <v>8.53536</v>
      </c>
      <c r="G37" s="109">
        <f t="shared" si="3"/>
        <v>665.75808</v>
      </c>
      <c r="H37" s="71">
        <f t="shared" si="4"/>
        <v>0.965494866467548</v>
      </c>
      <c r="I37" s="155">
        <f>G37*(H36-0.15%)</f>
        <v>642.786008549291</v>
      </c>
      <c r="J37" s="156"/>
      <c r="K37" s="73">
        <f>(NORMSDIST((I37-$K$28)/B15)-NORMSDIST((I37-$L$28)/B15))</f>
        <v>0</v>
      </c>
      <c r="L37" s="73">
        <f>(NORMSDIST((I37-$L$28)/B15)-NORMSDIST((I37-$M$28)/B15))</f>
        <v>2.70894418008538e-14</v>
      </c>
      <c r="M37" s="73">
        <f>(NORMSDIST((I37-$M$28)/B15)-NORMSDIST((I37-$N$28)/B15))</f>
        <v>2.32482372197751e-6</v>
      </c>
      <c r="N37" s="73">
        <f>(NORMSDIST((I37-$N$28)/B15)-NORMSDIST((I37-$O$28)/B15))</f>
        <v>0.0506221600324395</v>
      </c>
      <c r="O37" s="73">
        <f>(NORMSDIST((I37-$O$28)/B15)-NORMSDIST((I37-$P$28)/B15))</f>
        <v>0.85297677516203</v>
      </c>
      <c r="P37" s="73">
        <f>(NORMSDIST((I37-$P$28)/B15)-NORMSDIST((I37-$Q$28)/B15))</f>
        <v>0.0963877381591506</v>
      </c>
      <c r="Q37" s="73">
        <f>(NORMSDIST((I37-$Q$28)/B15)-NORMSDIST((I37-$R$28)/B15))</f>
        <v>1.10018222938211e-5</v>
      </c>
      <c r="R37" s="73">
        <f>(NORMSDIST((I37-$R$28)/B15)-NORMSDIST((I37-$S$28)/B15))</f>
        <v>3.36772485279606e-13</v>
      </c>
      <c r="S37" s="73">
        <f>(NORMSDIST((I37-$S$28)/B15)-NORMSDIST((I37-$T$28)/B15))</f>
        <v>2.12078821805511e-24</v>
      </c>
      <c r="T37" s="73"/>
      <c r="U37" s="107">
        <f t="shared" si="1"/>
        <v>1</v>
      </c>
    </row>
    <row r="38" s="14" customFormat="1" ht="18" customHeight="1" spans="1:21">
      <c r="A38" s="65"/>
      <c r="B38" s="65"/>
      <c r="C38" s="56">
        <f t="shared" si="2"/>
        <v>0.256</v>
      </c>
      <c r="D38" s="76">
        <v>0.0342096710740126</v>
      </c>
      <c r="E38" s="58">
        <v>33472</v>
      </c>
      <c r="F38" s="59">
        <f t="shared" si="0"/>
        <v>8.568832</v>
      </c>
      <c r="G38" s="59">
        <f t="shared" si="3"/>
        <v>668.368896</v>
      </c>
      <c r="H38" s="60">
        <f t="shared" si="4"/>
        <v>0.963994866467548</v>
      </c>
      <c r="I38" s="61">
        <f t="shared" ref="I38:I48" si="6">G38*(H37-0.15%)</f>
        <v>644.304184650583</v>
      </c>
      <c r="J38" s="61"/>
      <c r="K38" s="62">
        <f>(NORMSDIST((I38-$K$28)/B15)-NORMSDIST((I38-$L$28)/B15))</f>
        <v>0</v>
      </c>
      <c r="L38" s="62">
        <f>(NORMSDIST((I38-$L$28)/B15)-NORMSDIST((I38-$M$28)/B15))</f>
        <v>0</v>
      </c>
      <c r="M38" s="63">
        <f>(NORMSDIST((I38-$M$28)/B15)-NORMSDIST((I38-$N$28)/B15))</f>
        <v>2.21177874903944e-8</v>
      </c>
      <c r="N38" s="63">
        <f>(NORMSDIST((I38-$N$28)/B15)-NORMSDIST((I38-$O$28)/B15))</f>
        <v>0.00567272642764449</v>
      </c>
      <c r="O38" s="63">
        <f>(NORMSDIST((I38-$O$28)/B15)-NORMSDIST((I38-$P$28)/B15))</f>
        <v>0.653168648180787</v>
      </c>
      <c r="P38" s="63">
        <f>(NORMSDIST((I38-$P$28)/B15)-NORMSDIST((I38-$Q$28)/B15))</f>
        <v>0.340755244542671</v>
      </c>
      <c r="Q38" s="63">
        <f>(NORMSDIST((I38-$Q$28)/B15)-NORMSDIST((I38-$R$28)/B15))</f>
        <v>0.000403358574061363</v>
      </c>
      <c r="R38" s="63">
        <f>(NORMSDIST((I38-$R$28)/B15)-NORMSDIST((I38-$S$28)/B15))</f>
        <v>1.57048380584969e-10</v>
      </c>
      <c r="S38" s="63">
        <f>(NORMSDIST((I38-$S$28)/B15)-NORMSDIST((I38-$T$28)/B15))</f>
        <v>1.31783953563912e-20</v>
      </c>
      <c r="T38" s="63"/>
      <c r="U38" s="64">
        <f t="shared" si="1"/>
        <v>1</v>
      </c>
    </row>
    <row r="39" s="14" customFormat="1" ht="18" customHeight="1" spans="1:21">
      <c r="A39" s="65"/>
      <c r="B39" s="65"/>
      <c r="C39" s="56">
        <f t="shared" si="2"/>
        <v>0.257</v>
      </c>
      <c r="D39" s="76">
        <v>0</v>
      </c>
      <c r="E39" s="58">
        <v>33472</v>
      </c>
      <c r="F39" s="59">
        <f t="shared" si="0"/>
        <v>8.602304</v>
      </c>
      <c r="G39" s="59">
        <f t="shared" si="3"/>
        <v>670.979712</v>
      </c>
      <c r="H39" s="60">
        <f t="shared" si="4"/>
        <v>0.962494866467548</v>
      </c>
      <c r="I39" s="61">
        <f t="shared" si="6"/>
        <v>645.814528303874</v>
      </c>
      <c r="J39" s="61"/>
      <c r="K39" s="62">
        <f>(NORMSDIST((I39-$K$28)/B15)-NORMSDIST((I39-$L$28)/B15))</f>
        <v>0</v>
      </c>
      <c r="L39" s="62">
        <f>(NORMSDIST((I39-$L$28)/B15)-NORMSDIST((I39-$M$28)/B15))</f>
        <v>0</v>
      </c>
      <c r="M39" s="63">
        <f>(NORMSDIST((I39-$M$28)/B15)-NORMSDIST((I39-$N$28)/B15))</f>
        <v>9.99047511385243e-11</v>
      </c>
      <c r="N39" s="63">
        <f>(NORMSDIST((I39-$N$28)/B15)-NORMSDIST((I39-$O$28)/B15))</f>
        <v>0.000312748081039871</v>
      </c>
      <c r="O39" s="63">
        <f>(NORMSDIST((I39-$O$28)/B15)-NORMSDIST((I39-$P$28)/B15))</f>
        <v>0.315608798045084</v>
      </c>
      <c r="P39" s="63">
        <f>(NORMSDIST((I39-$P$28)/B15)-NORMSDIST((I39-$Q$28)/B15))</f>
        <v>0.67717103272123</v>
      </c>
      <c r="Q39" s="63">
        <f>(NORMSDIST((I39-$Q$28)/B15)-NORMSDIST((I39-$R$28)/B15))</f>
        <v>0.00690738832494521</v>
      </c>
      <c r="R39" s="63">
        <f>(NORMSDIST((I39-$R$28)/B15)-NORMSDIST((I39-$S$28)/B15))</f>
        <v>3.27277959484393e-8</v>
      </c>
      <c r="S39" s="63">
        <f>(NORMSDIST((I39-$S$28)/B15)-NORMSDIST((I39-$T$28)/B15))</f>
        <v>3.57896501271617e-17</v>
      </c>
      <c r="T39" s="63"/>
      <c r="U39" s="64">
        <f t="shared" si="1"/>
        <v>1</v>
      </c>
    </row>
    <row r="40" s="14" customFormat="1" ht="18" customHeight="1" spans="1:21">
      <c r="A40" s="65"/>
      <c r="B40" s="65"/>
      <c r="C40" s="56">
        <f t="shared" si="2"/>
        <v>0.258</v>
      </c>
      <c r="D40" s="86"/>
      <c r="E40" s="58">
        <v>33472</v>
      </c>
      <c r="F40" s="59">
        <f t="shared" si="0"/>
        <v>8.635776</v>
      </c>
      <c r="G40" s="59">
        <f t="shared" si="3"/>
        <v>673.590528</v>
      </c>
      <c r="H40" s="60">
        <f t="shared" si="4"/>
        <v>0.960994866467548</v>
      </c>
      <c r="I40" s="61">
        <f t="shared" si="6"/>
        <v>647.317039509165</v>
      </c>
      <c r="J40" s="61"/>
      <c r="K40" s="62">
        <f>(NORMSDIST((I40-$K$28)/B15)-NORMSDIST((I40-$L$28)/B15))</f>
        <v>0</v>
      </c>
      <c r="L40" s="62">
        <f>(NORMSDIST((I40-$L$28)/B15)-NORMSDIST((I40-$M$28)/B15))</f>
        <v>0</v>
      </c>
      <c r="M40" s="63">
        <f>(NORMSDIST((I40-$M$28)/B15)-NORMSDIST((I40-$N$28)/B15))</f>
        <v>2.15716333684668e-13</v>
      </c>
      <c r="N40" s="63">
        <f>(NORMSDIST((I40-$N$28)/B15)-NORMSDIST((I40-$O$28)/B15))</f>
        <v>8.38174802331171e-6</v>
      </c>
      <c r="O40" s="63">
        <f>(NORMSDIST((I40-$O$28)/B15)-NORMSDIST((I40-$P$28)/B15))</f>
        <v>0.0864384808324957</v>
      </c>
      <c r="P40" s="63">
        <f>(NORMSDIST((I40-$P$28)/B15)-NORMSDIST((I40-$Q$28)/B15))</f>
        <v>0.856294686379295</v>
      </c>
      <c r="Q40" s="63">
        <f>(NORMSDIST((I40-$Q$28)/B15)-NORMSDIST((I40-$R$28)/B15))</f>
        <v>0.0572553501153697</v>
      </c>
      <c r="R40" s="63">
        <f>(NORMSDIST((I40-$R$28)/B15)-NORMSDIST((I40-$S$28)/B15))</f>
        <v>3.10092455724559e-6</v>
      </c>
      <c r="S40" s="63">
        <f>(NORMSDIST((I40-$S$28)/B15)-NORMSDIST((I40-$T$28)/B15))</f>
        <v>4.30761223213237e-14</v>
      </c>
      <c r="T40" s="63"/>
      <c r="U40" s="64">
        <f t="shared" si="1"/>
        <v>1</v>
      </c>
    </row>
    <row r="41" s="14" customFormat="1" ht="18" customHeight="1" spans="1:21">
      <c r="A41" s="65"/>
      <c r="B41" s="65"/>
      <c r="C41" s="56">
        <f t="shared" si="2"/>
        <v>0.259</v>
      </c>
      <c r="D41" s="76"/>
      <c r="E41" s="58">
        <v>33472</v>
      </c>
      <c r="F41" s="59">
        <f t="shared" si="0"/>
        <v>8.669248</v>
      </c>
      <c r="G41" s="59">
        <f t="shared" si="3"/>
        <v>676.201344</v>
      </c>
      <c r="H41" s="60">
        <f t="shared" si="4"/>
        <v>0.959494866467548</v>
      </c>
      <c r="I41" s="61">
        <f t="shared" si="6"/>
        <v>648.811718266457</v>
      </c>
      <c r="J41" s="61"/>
      <c r="K41" s="62">
        <f>(NORMSDIST((I41-$K$28)/B15)-NORMSDIST((I41-$L$28)/B15))</f>
        <v>0</v>
      </c>
      <c r="L41" s="62">
        <f>(NORMSDIST((I41-$L$28)/B15)-NORMSDIST((I41-$M$28)/B15))</f>
        <v>0</v>
      </c>
      <c r="M41" s="63">
        <f>(NORMSDIST((I41-$M$28)/B15)-NORMSDIST((I41-$N$28)/B15))</f>
        <v>0</v>
      </c>
      <c r="N41" s="63">
        <f>(NORMSDIST((I41-$N$28)/B15)-NORMSDIST((I41-$O$28)/B15))</f>
        <v>1.08959756661697e-7</v>
      </c>
      <c r="O41" s="63">
        <f>(NORMSDIST((I41-$O$28)/B15)-NORMSDIST((I41-$P$28)/B15))</f>
        <v>0.0124745285722142</v>
      </c>
      <c r="P41" s="63">
        <f>(NORMSDIST((I41-$P$28)/B15)-NORMSDIST((I41-$Q$28)/B15))</f>
        <v>0.745245989528363</v>
      </c>
      <c r="Q41" s="63">
        <f>(NORMSDIST((I41-$Q$28)/B15)-NORMSDIST((I41-$R$28)/B15))</f>
        <v>0.242143141630335</v>
      </c>
      <c r="R41" s="63">
        <f>(NORMSDIST((I41-$R$28)/B15)-NORMSDIST((I41-$S$28)/B15))</f>
        <v>0.000136231286020055</v>
      </c>
      <c r="S41" s="63">
        <f>(NORMSDIST((I41-$S$28)/B15)-NORMSDIST((I41-$T$28)/B15))</f>
        <v>2.33110081870605e-11</v>
      </c>
      <c r="T41" s="63"/>
      <c r="U41" s="64">
        <f t="shared" si="1"/>
        <v>1</v>
      </c>
    </row>
    <row r="42" s="14" customFormat="1" ht="18" customHeight="1" spans="1:21">
      <c r="A42" s="65"/>
      <c r="B42" s="65"/>
      <c r="C42" s="56">
        <f t="shared" si="2"/>
        <v>0.26</v>
      </c>
      <c r="D42" s="76"/>
      <c r="E42" s="58">
        <v>33472</v>
      </c>
      <c r="F42" s="59">
        <f t="shared" si="0"/>
        <v>8.70272</v>
      </c>
      <c r="G42" s="59">
        <f t="shared" si="3"/>
        <v>678.81216</v>
      </c>
      <c r="H42" s="60">
        <f t="shared" si="4"/>
        <v>0.957994866467548</v>
      </c>
      <c r="I42" s="61">
        <f t="shared" si="6"/>
        <v>650.298564575748</v>
      </c>
      <c r="J42" s="61"/>
      <c r="K42" s="62">
        <f>(NORMSDIST((I42-$K$28)/B15)-NORMSDIST((I42-$L$28)/B15))</f>
        <v>0</v>
      </c>
      <c r="L42" s="62">
        <f>(NORMSDIST((I42-$L$28)/B15)-NORMSDIST((I42-$M$28)/B15))</f>
        <v>0</v>
      </c>
      <c r="M42" s="63">
        <f>(NORMSDIST((I42-$M$28)/B15)-NORMSDIST((I42-$N$28)/B15))</f>
        <v>0</v>
      </c>
      <c r="N42" s="63">
        <f>(NORMSDIST((I42-$N$28)/B15)-NORMSDIST((I42-$O$28)/B15))</f>
        <v>6.8921124363186e-10</v>
      </c>
      <c r="O42" s="63">
        <f>(NORMSDIST((I42-$O$28)/B15)-NORMSDIST((I42-$P$28)/B15))</f>
        <v>0.000914118752725734</v>
      </c>
      <c r="P42" s="63">
        <f>(NORMSDIST((I42-$P$28)/B15)-NORMSDIST((I42-$Q$28)/B15))</f>
        <v>0.429379681123483</v>
      </c>
      <c r="Q42" s="63">
        <f>(NORMSDIST((I42-$Q$28)/B15)-NORMSDIST((I42-$R$28)/B15))</f>
        <v>0.566864856977726</v>
      </c>
      <c r="R42" s="63">
        <f>(NORMSDIST((I42-$R$28)/B15)-NORMSDIST((I42-$S$28)/B15))</f>
        <v>0.00284133669838045</v>
      </c>
      <c r="S42" s="63">
        <f>(NORMSDIST((I42-$S$28)/B15)-NORMSDIST((I42-$T$28)/B15))</f>
        <v>5.75847339985238e-9</v>
      </c>
      <c r="T42" s="63"/>
      <c r="U42" s="64">
        <f t="shared" si="1"/>
        <v>1</v>
      </c>
    </row>
    <row r="43" s="14" customFormat="1" ht="18" hidden="1" customHeight="1" spans="1:21">
      <c r="A43" s="65"/>
      <c r="B43" s="65"/>
      <c r="C43" s="56">
        <f t="shared" si="2"/>
        <v>0.261</v>
      </c>
      <c r="D43" s="76"/>
      <c r="E43" s="58">
        <v>33472</v>
      </c>
      <c r="F43" s="59">
        <f t="shared" si="0"/>
        <v>8.736192</v>
      </c>
      <c r="G43" s="59">
        <f t="shared" si="3"/>
        <v>681.422976</v>
      </c>
      <c r="H43" s="60">
        <f t="shared" si="4"/>
        <v>0.956494866467548</v>
      </c>
      <c r="I43" s="61">
        <f t="shared" si="6"/>
        <v>651.77757843704</v>
      </c>
      <c r="J43" s="61"/>
      <c r="K43" s="62">
        <f>(NORMSDIST((I43-$K$28)/B15)-NORMSDIST((I43-$L$28)/B15))</f>
        <v>0</v>
      </c>
      <c r="L43" s="62">
        <f>(NORMSDIST((I43-$L$28)/B15)-NORMSDIST((I43-$M$28)/B15))</f>
        <v>0</v>
      </c>
      <c r="M43" s="63">
        <f>(NORMSDIST((I43-$M$28)/B15)-NORMSDIST((I43-$N$28)/B15))</f>
        <v>0</v>
      </c>
      <c r="N43" s="63">
        <f>(NORMSDIST((I43-$N$28)/B15)-NORMSDIST((I43-$O$28)/B15))</f>
        <v>2.13440376484186e-12</v>
      </c>
      <c r="O43" s="63">
        <f>(NORMSDIST((I43-$O$28)/B15)-NORMSDIST((I43-$P$28)/B15))</f>
        <v>3.34836842658115e-5</v>
      </c>
      <c r="P43" s="63">
        <f>(NORMSDIST((I43-$P$28)/B15)-NORMSDIST((I43-$Q$28)/B15))</f>
        <v>0.147831452448812</v>
      </c>
      <c r="Q43" s="63">
        <f>(NORMSDIST((I43-$Q$28)/B15)-NORMSDIST((I43-$R$28)/B15))</f>
        <v>0.823124753728208</v>
      </c>
      <c r="R43" s="63">
        <f>(NORMSDIST((I43-$R$28)/B15)-NORMSDIST((I43-$S$28)/B15))</f>
        <v>0.0290096501360097</v>
      </c>
      <c r="S43" s="63">
        <f>(NORMSDIST((I43-$S$28)/B15)-NORMSDIST((I43-$T$28)/B15))</f>
        <v>6.60000565678558e-7</v>
      </c>
      <c r="T43" s="63"/>
      <c r="U43" s="64">
        <f t="shared" si="1"/>
        <v>0.999999999999996</v>
      </c>
    </row>
    <row r="44" s="14" customFormat="1" ht="18" hidden="1" customHeight="1" spans="1:21">
      <c r="A44" s="65"/>
      <c r="B44" s="65"/>
      <c r="C44" s="56">
        <f t="shared" si="2"/>
        <v>0.262</v>
      </c>
      <c r="D44" s="76"/>
      <c r="E44" s="58">
        <v>33472</v>
      </c>
      <c r="F44" s="59">
        <f t="shared" si="0"/>
        <v>8.769664</v>
      </c>
      <c r="G44" s="59">
        <f t="shared" si="3"/>
        <v>684.033792</v>
      </c>
      <c r="H44" s="60">
        <f t="shared" si="4"/>
        <v>0.954994866467548</v>
      </c>
      <c r="I44" s="61">
        <f t="shared" si="6"/>
        <v>653.248759850331</v>
      </c>
      <c r="J44" s="61"/>
      <c r="K44" s="62">
        <f>(NORMSDIST((I44-$K$28)/B15)-NORMSDIST((I44-$L$28)/B15))</f>
        <v>0</v>
      </c>
      <c r="L44" s="62">
        <f>(NORMSDIST((I44-$L$28)/B15)-NORMSDIST((I44-$M$28)/B15))</f>
        <v>0</v>
      </c>
      <c r="M44" s="63">
        <f>(NORMSDIST((I44-$M$28)/B15)-NORMSDIST((I44-$N$28)/B15))</f>
        <v>0</v>
      </c>
      <c r="N44" s="63">
        <f>(NORMSDIST((I44-$N$28)/B15)-NORMSDIST((I44-$O$28)/B15))</f>
        <v>3.21964677141295e-15</v>
      </c>
      <c r="O44" s="63">
        <f>(NORMSDIST((I44-$O$28)/B15)-NORMSDIST((I44-$P$28)/B15))</f>
        <v>6.10461032946041e-7</v>
      </c>
      <c r="P44" s="63">
        <f>(NORMSDIST((I44-$P$28)/B15)-NORMSDIST((I44-$Q$28)/B15))</f>
        <v>0.0279994179037415</v>
      </c>
      <c r="Q44" s="63">
        <f>(NORMSDIST((I44-$Q$28)/B15)-NORMSDIST((I44-$R$28)/B15))</f>
        <v>0.820528123159832</v>
      </c>
      <c r="R44" s="63">
        <f>(NORMSDIST((I44-$R$28)/B15)-NORMSDIST((I44-$S$28)/B15))</f>
        <v>0.151436110388224</v>
      </c>
      <c r="S44" s="63">
        <f>(NORMSDIST((I44-$S$28)/B15)-NORMSDIST((I44-$T$28)/B15))</f>
        <v>3.57380847848808e-5</v>
      </c>
      <c r="T44" s="63"/>
      <c r="U44" s="64">
        <f t="shared" si="1"/>
        <v>0.999999999997619</v>
      </c>
    </row>
    <row r="45" s="14" customFormat="1" ht="18" hidden="1" customHeight="1" spans="1:21">
      <c r="A45" s="65"/>
      <c r="B45" s="65"/>
      <c r="C45" s="56">
        <f t="shared" si="2"/>
        <v>0.263</v>
      </c>
      <c r="D45" s="87"/>
      <c r="E45" s="58">
        <v>33472</v>
      </c>
      <c r="F45" s="59">
        <f t="shared" si="0"/>
        <v>8.803136</v>
      </c>
      <c r="G45" s="59">
        <f t="shared" si="3"/>
        <v>686.644608</v>
      </c>
      <c r="H45" s="60">
        <f t="shared" si="4"/>
        <v>0.953494866467549</v>
      </c>
      <c r="I45" s="61">
        <f t="shared" si="6"/>
        <v>654.712108815622</v>
      </c>
      <c r="J45" s="61"/>
      <c r="K45" s="62">
        <f>(NORMSDIST((I45-$K$28)/B15)-NORMSDIST((I45-$L$28)/B15))</f>
        <v>0</v>
      </c>
      <c r="L45" s="62">
        <f>(NORMSDIST((I45-$L$28)/B15)-NORMSDIST((I45-$M$28)/B15))</f>
        <v>0</v>
      </c>
      <c r="M45" s="63">
        <f>(NORMSDIST((I45-$M$28)/B15)-NORMSDIST((I45-$N$28)/B15))</f>
        <v>0</v>
      </c>
      <c r="N45" s="63">
        <f>(NORMSDIST((I45-$N$28)/B15)-NORMSDIST((I45-$O$28)/B15))</f>
        <v>0</v>
      </c>
      <c r="O45" s="63">
        <f>(NORMSDIST((I45-$O$28)/B15)-NORMSDIST((I45-$P$28)/B15))</f>
        <v>5.54991474999156e-9</v>
      </c>
      <c r="P45" s="63">
        <f>(NORMSDIST((I45-$P$28)/B15)-NORMSDIST((I45-$Q$28)/B15))</f>
        <v>0.00278711242111152</v>
      </c>
      <c r="Q45" s="63">
        <f>(NORMSDIST((I45-$Q$28)/B15)-NORMSDIST((I45-$R$28)/B15))</f>
        <v>0.564451324569325</v>
      </c>
      <c r="R45" s="63">
        <f>(NORMSDIST((I45-$R$28)/B15)-NORMSDIST((I45-$S$28)/B15))</f>
        <v>0.431827779581604</v>
      </c>
      <c r="S45" s="63">
        <f>(NORMSDIST((I45-$S$28)/B15)-NORMSDIST((I45-$T$28)/B15))</f>
        <v>0.000933777161421953</v>
      </c>
      <c r="T45" s="63"/>
      <c r="U45" s="64">
        <f t="shared" si="1"/>
        <v>0.999999999283377</v>
      </c>
    </row>
    <row r="46" s="14" customFormat="1" ht="18" hidden="1" customHeight="1" spans="1:21">
      <c r="A46" s="65"/>
      <c r="B46" s="65"/>
      <c r="C46" s="56">
        <f t="shared" si="2"/>
        <v>0.264</v>
      </c>
      <c r="D46" s="87"/>
      <c r="E46" s="58">
        <v>33472</v>
      </c>
      <c r="F46" s="59">
        <f t="shared" si="0"/>
        <v>8.836608</v>
      </c>
      <c r="G46" s="59">
        <f t="shared" si="3"/>
        <v>689.255424</v>
      </c>
      <c r="H46" s="60">
        <f t="shared" si="4"/>
        <v>0.951994866467549</v>
      </c>
      <c r="I46" s="61">
        <f t="shared" si="6"/>
        <v>656.167625332914</v>
      </c>
      <c r="J46" s="61"/>
      <c r="K46" s="62">
        <f>(NORMSDIST((I46-$K$28)/B15)-NORMSDIST((I46-$L$28)/B15))</f>
        <v>0</v>
      </c>
      <c r="L46" s="62">
        <f>(NORMSDIST((I46-$L$28)/B15)-NORMSDIST((I46-$M$28)/B15))</f>
        <v>0</v>
      </c>
      <c r="M46" s="63">
        <f>(NORMSDIST((I46-$M$28)/B15)-NORMSDIST((I46-$N$28)/B15))</f>
        <v>0</v>
      </c>
      <c r="N46" s="63">
        <f>(NORMSDIST((I46-$N$28)/B15)-NORMSDIST((I46-$O$28)/B15))</f>
        <v>0</v>
      </c>
      <c r="O46" s="63">
        <f>(NORMSDIST((I46-$O$28)/B15)-NORMSDIST((I46-$P$28)/B15))</f>
        <v>2.52946552592448e-11</v>
      </c>
      <c r="P46" s="63">
        <f>(NORMSDIST((I46-$P$28)/B15)-NORMSDIST((I46-$Q$28)/B15))</f>
        <v>0.000142804364630655</v>
      </c>
      <c r="Q46" s="63">
        <f>(NORMSDIST((I46-$Q$28)/B15)-NORMSDIST((I46-$R$28)/B15))</f>
        <v>0.245949470057451</v>
      </c>
      <c r="R46" s="63">
        <f>(NORMSDIST((I46-$R$28)/B15)-NORMSDIST((I46-$S$28)/B15))</f>
        <v>0.741820270554681</v>
      </c>
      <c r="S46" s="63">
        <f>(NORMSDIST((I46-$S$28)/B15)-NORMSDIST((I46-$T$28)/B15))</f>
        <v>0.0120873529207379</v>
      </c>
      <c r="T46" s="63"/>
      <c r="U46" s="64">
        <f t="shared" si="1"/>
        <v>0.999999897922795</v>
      </c>
    </row>
    <row r="47" s="14" customFormat="1" ht="18" hidden="1" customHeight="1" spans="1:21">
      <c r="A47" s="65"/>
      <c r="B47" s="65"/>
      <c r="C47" s="56">
        <f t="shared" si="2"/>
        <v>0.265</v>
      </c>
      <c r="D47" s="87"/>
      <c r="E47" s="58">
        <v>33472</v>
      </c>
      <c r="F47" s="59">
        <f t="shared" si="0"/>
        <v>8.87008</v>
      </c>
      <c r="G47" s="59">
        <f t="shared" si="3"/>
        <v>691.86624</v>
      </c>
      <c r="H47" s="60">
        <f t="shared" si="4"/>
        <v>0.950494866467549</v>
      </c>
      <c r="I47" s="61">
        <f t="shared" si="6"/>
        <v>657.615309402205</v>
      </c>
      <c r="J47" s="61"/>
      <c r="K47" s="62">
        <f>(NORMSDIST((I47-$K$28)/B15)-NORMSDIST((I47-$L$28)/B15))</f>
        <v>0</v>
      </c>
      <c r="L47" s="62">
        <f>(NORMSDIST((I47-$L$28)/B15)-NORMSDIST((I47-$M$28)/B15))</f>
        <v>0</v>
      </c>
      <c r="M47" s="63">
        <f>(NORMSDIST((I47-$M$28)/B15)-NORMSDIST((I47-$N$28)/B15))</f>
        <v>0</v>
      </c>
      <c r="N47" s="63">
        <f>(NORMSDIST((I47-$N$28)/B15)-NORMSDIST((I47-$O$28)/B15))</f>
        <v>0</v>
      </c>
      <c r="O47" s="63">
        <f>(NORMSDIST((I47-$O$28)/B15)-NORMSDIST((I47-$P$28)/B15))</f>
        <v>5.81756864903582e-14</v>
      </c>
      <c r="P47" s="63">
        <f>(NORMSDIST((I47-$P$28)/B15)-NORMSDIST((I47-$Q$28)/B15))</f>
        <v>3.73926157470894e-6</v>
      </c>
      <c r="Q47" s="63">
        <f>(NORMSDIST((I47-$Q$28)/B15)-NORMSDIST((I47-$R$28)/B15))</f>
        <v>0.0619695687764673</v>
      </c>
      <c r="R47" s="63">
        <f>(NORMSDIST((I47-$R$28)/B15)-NORMSDIST((I47-$S$28)/B15))</f>
        <v>0.857682359620227</v>
      </c>
      <c r="S47" s="63">
        <f>(NORMSDIST((I47-$S$28)/B15)-NORMSDIST((I47-$T$28)/B15))</f>
        <v>0.0803373347152232</v>
      </c>
      <c r="T47" s="63"/>
      <c r="U47" s="64">
        <f t="shared" si="1"/>
        <v>0.999993002373551</v>
      </c>
    </row>
    <row r="48" s="14" customFormat="1" ht="18" hidden="1" customHeight="1" spans="1:21">
      <c r="A48" s="65"/>
      <c r="B48" s="65"/>
      <c r="C48" s="56">
        <f t="shared" si="2"/>
        <v>0.266</v>
      </c>
      <c r="D48" s="87"/>
      <c r="E48" s="58">
        <v>33472</v>
      </c>
      <c r="F48" s="59">
        <f t="shared" si="0"/>
        <v>8.903552</v>
      </c>
      <c r="G48" s="59">
        <f t="shared" si="3"/>
        <v>694.477056</v>
      </c>
      <c r="H48" s="60">
        <f t="shared" si="4"/>
        <v>0.948994866467549</v>
      </c>
      <c r="I48" s="61">
        <f t="shared" si="6"/>
        <v>659.055161023496</v>
      </c>
      <c r="J48" s="61"/>
      <c r="K48" s="62">
        <f>(NORMSDIST((I48-$K$28)/B15)-NORMSDIST((I48-$L$28)/B15))</f>
        <v>0</v>
      </c>
      <c r="L48" s="62">
        <f>(NORMSDIST((I48-$L$28)/B15)-NORMSDIST((I48-$M$28)/B15))</f>
        <v>0</v>
      </c>
      <c r="M48" s="63">
        <f>(NORMSDIST((I48-$M$28)/B15)-NORMSDIST((I48-$N$28)/B15))</f>
        <v>0</v>
      </c>
      <c r="N48" s="63">
        <f>(NORMSDIST((I48-$N$28)/B15)-NORMSDIST((I48-$O$28)/B15))</f>
        <v>0</v>
      </c>
      <c r="O48" s="63">
        <f>(NORMSDIST((I48-$O$28)/B15)-NORMSDIST((I48-$P$28)/B15))</f>
        <v>0</v>
      </c>
      <c r="P48" s="63">
        <f>(NORMSDIST((I48-$P$28)/B15)-NORMSDIST((I48-$Q$28)/B15))</f>
        <v>5.00436518890979e-8</v>
      </c>
      <c r="Q48" s="63">
        <f>(NORMSDIST((I48-$Q$28)/B15)-NORMSDIST((I48-$R$28)/B15))</f>
        <v>0.00853048880999729</v>
      </c>
      <c r="R48" s="63">
        <f>(NORMSDIST((I48-$R$28)/B15)-NORMSDIST((I48-$S$28)/B15))</f>
        <v>0.70229144084788</v>
      </c>
      <c r="S48" s="63">
        <f>(NORMSDIST((I48-$S$28)/B15)-NORMSDIST((I48-$T$28)/B15))</f>
        <v>0.288942727723853</v>
      </c>
      <c r="T48" s="63"/>
      <c r="U48" s="64">
        <f t="shared" si="1"/>
        <v>0.999764707425381</v>
      </c>
    </row>
    <row r="49" s="14" customFormat="1" ht="9.6" customHeight="1" spans="4:21">
      <c r="D49" s="88"/>
    </row>
    <row r="50" s="14" customFormat="1" ht="18" customHeight="1" spans="4:21">
      <c r="D50" s="89"/>
      <c r="I50" s="90" t="s">
        <v>90</v>
      </c>
      <c r="J50" s="90" t="s">
        <v>89</v>
      </c>
      <c r="K50" s="53">
        <f>K28</f>
        <v>620</v>
      </c>
      <c r="L50" s="53">
        <f t="shared" ref="L50:T50" si="7">L28</f>
        <v>625</v>
      </c>
      <c r="M50" s="53">
        <f t="shared" si="7"/>
        <v>630</v>
      </c>
      <c r="N50" s="53">
        <f t="shared" si="7"/>
        <v>635</v>
      </c>
      <c r="O50" s="53">
        <f t="shared" si="7"/>
        <v>640</v>
      </c>
      <c r="P50" s="53">
        <f t="shared" si="7"/>
        <v>645</v>
      </c>
      <c r="Q50" s="53">
        <f t="shared" si="7"/>
        <v>650</v>
      </c>
      <c r="R50" s="53">
        <f t="shared" si="7"/>
        <v>655</v>
      </c>
      <c r="S50" s="53">
        <f t="shared" si="7"/>
        <v>660</v>
      </c>
      <c r="T50" s="53">
        <f t="shared" si="7"/>
        <v>665</v>
      </c>
      <c r="U50" s="54" t="s">
        <v>96</v>
      </c>
    </row>
    <row r="51" s="14" customFormat="1" ht="18" customHeight="1" spans="4:21">
      <c r="I51" s="91">
        <f t="shared" ref="I51:I70" si="8">D29</f>
        <v>0</v>
      </c>
      <c r="J51" s="56">
        <f t="shared" ref="J51:J70" si="9">C29</f>
        <v>0.247</v>
      </c>
      <c r="K51" s="63">
        <f t="shared" ref="K51:K70" si="10">D29*K29</f>
        <v>0</v>
      </c>
      <c r="L51" s="63">
        <f t="shared" ref="L51:L70" si="11">D29*L29</f>
        <v>0</v>
      </c>
      <c r="M51" s="63">
        <f t="shared" ref="M51:M70" si="12">D29*M29</f>
        <v>0</v>
      </c>
      <c r="N51" s="63">
        <f t="shared" ref="N51:N70" si="13">D29*N29</f>
        <v>0</v>
      </c>
      <c r="O51" s="63">
        <f t="shared" ref="O51:O70" si="14">D29*O29</f>
        <v>0</v>
      </c>
      <c r="P51" s="63">
        <f t="shared" ref="P51:P70" si="15">D29*P29</f>
        <v>0</v>
      </c>
      <c r="Q51" s="63">
        <f t="shared" ref="Q51:Q70" si="16">D29*Q29</f>
        <v>0</v>
      </c>
      <c r="R51" s="63">
        <f t="shared" ref="R51:R70" si="17">D29*R29</f>
        <v>0</v>
      </c>
      <c r="S51" s="63">
        <f t="shared" ref="S51:S70" si="18">S29*D29</f>
        <v>0</v>
      </c>
      <c r="T51" s="63"/>
      <c r="U51" s="64"/>
    </row>
    <row r="52" s="14" customFormat="1" ht="18" customHeight="1" spans="4:21">
      <c r="I52" s="91">
        <f t="shared" si="8"/>
        <v>0</v>
      </c>
      <c r="J52" s="56">
        <f t="shared" si="9"/>
        <v>0.248</v>
      </c>
      <c r="K52" s="63">
        <f t="shared" si="10"/>
        <v>0</v>
      </c>
      <c r="L52" s="63">
        <f t="shared" si="11"/>
        <v>0</v>
      </c>
      <c r="M52" s="63">
        <f t="shared" si="12"/>
        <v>0</v>
      </c>
      <c r="N52" s="63">
        <f t="shared" si="13"/>
        <v>0</v>
      </c>
      <c r="O52" s="63">
        <f t="shared" si="14"/>
        <v>0</v>
      </c>
      <c r="P52" s="63">
        <f t="shared" si="15"/>
        <v>0</v>
      </c>
      <c r="Q52" s="63">
        <f t="shared" si="16"/>
        <v>0</v>
      </c>
      <c r="R52" s="63">
        <f t="shared" si="17"/>
        <v>0</v>
      </c>
      <c r="S52" s="63">
        <f t="shared" si="18"/>
        <v>0</v>
      </c>
      <c r="T52" s="63"/>
      <c r="U52" s="64"/>
    </row>
    <row r="53" s="14" customFormat="1" ht="18" customHeight="1" spans="4:21">
      <c r="I53" s="91">
        <f t="shared" si="8"/>
        <v>0</v>
      </c>
      <c r="J53" s="56">
        <f t="shared" si="9"/>
        <v>0.249</v>
      </c>
      <c r="K53" s="63">
        <f t="shared" si="10"/>
        <v>0</v>
      </c>
      <c r="L53" s="63">
        <f t="shared" si="11"/>
        <v>0</v>
      </c>
      <c r="M53" s="63">
        <f t="shared" si="12"/>
        <v>0</v>
      </c>
      <c r="N53" s="63">
        <f t="shared" si="13"/>
        <v>0</v>
      </c>
      <c r="O53" s="63">
        <f t="shared" si="14"/>
        <v>0</v>
      </c>
      <c r="P53" s="63">
        <f t="shared" si="15"/>
        <v>0</v>
      </c>
      <c r="Q53" s="63">
        <f t="shared" si="16"/>
        <v>0</v>
      </c>
      <c r="R53" s="63">
        <f t="shared" si="17"/>
        <v>0</v>
      </c>
      <c r="S53" s="63">
        <f t="shared" si="18"/>
        <v>0</v>
      </c>
      <c r="T53" s="63"/>
      <c r="U53" s="64"/>
    </row>
    <row r="54" s="14" customFormat="1" ht="18" customHeight="1" spans="4:21">
      <c r="I54" s="91">
        <f t="shared" si="8"/>
        <v>0</v>
      </c>
      <c r="J54" s="56">
        <f t="shared" si="9"/>
        <v>0.25</v>
      </c>
      <c r="K54" s="73">
        <f t="shared" si="10"/>
        <v>0</v>
      </c>
      <c r="L54" s="73">
        <f t="shared" si="11"/>
        <v>0</v>
      </c>
      <c r="M54" s="73">
        <f t="shared" si="12"/>
        <v>0</v>
      </c>
      <c r="N54" s="73">
        <f t="shared" si="13"/>
        <v>0</v>
      </c>
      <c r="O54" s="73">
        <f t="shared" si="14"/>
        <v>0</v>
      </c>
      <c r="P54" s="73">
        <f t="shared" si="15"/>
        <v>0</v>
      </c>
      <c r="Q54" s="73">
        <f t="shared" si="16"/>
        <v>0</v>
      </c>
      <c r="R54" s="73">
        <f t="shared" si="17"/>
        <v>0</v>
      </c>
      <c r="S54" s="73">
        <f t="shared" si="18"/>
        <v>0</v>
      </c>
      <c r="T54" s="63"/>
      <c r="U54" s="64"/>
    </row>
    <row r="55" s="14" customFormat="1" ht="18" customHeight="1" spans="4:21">
      <c r="I55" s="91">
        <f t="shared" si="8"/>
        <v>0</v>
      </c>
      <c r="J55" s="56">
        <f t="shared" si="9"/>
        <v>0.251</v>
      </c>
      <c r="K55" s="63">
        <f t="shared" si="10"/>
        <v>0</v>
      </c>
      <c r="L55" s="63">
        <f t="shared" si="11"/>
        <v>0</v>
      </c>
      <c r="M55" s="63">
        <f t="shared" si="12"/>
        <v>0</v>
      </c>
      <c r="N55" s="63">
        <f t="shared" si="13"/>
        <v>0</v>
      </c>
      <c r="O55" s="63">
        <f t="shared" si="14"/>
        <v>0</v>
      </c>
      <c r="P55" s="63">
        <f t="shared" si="15"/>
        <v>0</v>
      </c>
      <c r="Q55" s="63">
        <f t="shared" si="16"/>
        <v>0</v>
      </c>
      <c r="R55" s="63">
        <f t="shared" si="17"/>
        <v>0</v>
      </c>
      <c r="S55" s="63">
        <f t="shared" si="18"/>
        <v>0</v>
      </c>
      <c r="T55" s="63"/>
      <c r="U55" s="64"/>
    </row>
    <row r="56" s="14" customFormat="1" ht="18" customHeight="1" spans="4:21">
      <c r="I56" s="91">
        <f t="shared" si="8"/>
        <v>0</v>
      </c>
      <c r="J56" s="56">
        <f t="shared" si="9"/>
        <v>0.252</v>
      </c>
      <c r="K56" s="63">
        <f t="shared" si="10"/>
        <v>0</v>
      </c>
      <c r="L56" s="63">
        <f t="shared" si="11"/>
        <v>0</v>
      </c>
      <c r="M56" s="63">
        <f t="shared" si="12"/>
        <v>0</v>
      </c>
      <c r="N56" s="63">
        <f t="shared" si="13"/>
        <v>0</v>
      </c>
      <c r="O56" s="63">
        <f t="shared" si="14"/>
        <v>0</v>
      </c>
      <c r="P56" s="63">
        <f t="shared" si="15"/>
        <v>0</v>
      </c>
      <c r="Q56" s="63">
        <f t="shared" si="16"/>
        <v>0</v>
      </c>
      <c r="R56" s="63">
        <f t="shared" si="17"/>
        <v>0</v>
      </c>
      <c r="S56" s="63">
        <f t="shared" si="18"/>
        <v>0</v>
      </c>
      <c r="T56" s="63"/>
      <c r="U56" s="64"/>
    </row>
    <row r="57" s="14" customFormat="1" ht="18" customHeight="1" spans="4:21">
      <c r="I57" s="91">
        <f t="shared" si="8"/>
        <v>0.26688674888391</v>
      </c>
      <c r="J57" s="56">
        <f t="shared" si="9"/>
        <v>0.253</v>
      </c>
      <c r="K57" s="63">
        <f t="shared" si="10"/>
        <v>0</v>
      </c>
      <c r="L57" s="63">
        <f t="shared" si="11"/>
        <v>1.41090637273064e-9</v>
      </c>
      <c r="M57" s="63">
        <f t="shared" si="12"/>
        <v>0.000725173174582869</v>
      </c>
      <c r="N57" s="63">
        <f t="shared" si="13"/>
        <v>0.149795205094496</v>
      </c>
      <c r="O57" s="63">
        <f t="shared" si="14"/>
        <v>0.116110091757311</v>
      </c>
      <c r="P57" s="63">
        <f t="shared" si="15"/>
        <v>0.000256277245292739</v>
      </c>
      <c r="Q57" s="63">
        <f t="shared" si="16"/>
        <v>2.01321145873754e-10</v>
      </c>
      <c r="R57" s="63">
        <f t="shared" si="17"/>
        <v>3.46483011507808e-20</v>
      </c>
      <c r="S57" s="63">
        <f t="shared" si="18"/>
        <v>1.15905420871016e-33</v>
      </c>
      <c r="T57" s="63"/>
      <c r="U57" s="64"/>
    </row>
    <row r="58" s="14" customFormat="1" ht="18" customHeight="1" spans="4:21">
      <c r="I58" s="91">
        <f t="shared" si="8"/>
        <v>0.424199921317756</v>
      </c>
      <c r="J58" s="56">
        <f t="shared" si="9"/>
        <v>0.254</v>
      </c>
      <c r="K58" s="63">
        <f t="shared" si="10"/>
        <v>0</v>
      </c>
      <c r="L58" s="63">
        <f t="shared" si="11"/>
        <v>7.43880532417372e-12</v>
      </c>
      <c r="M58" s="63">
        <f t="shared" si="12"/>
        <v>4.90144219529935e-5</v>
      </c>
      <c r="N58" s="63">
        <f t="shared" si="13"/>
        <v>0.097217153150866</v>
      </c>
      <c r="O58" s="63">
        <f t="shared" si="14"/>
        <v>0.321035912396228</v>
      </c>
      <c r="P58" s="63">
        <f t="shared" si="15"/>
        <v>0.00589778343300463</v>
      </c>
      <c r="Q58" s="63">
        <f t="shared" si="16"/>
        <v>5.79082658136987e-8</v>
      </c>
      <c r="R58" s="63">
        <f t="shared" si="17"/>
        <v>1.34744825615361e-16</v>
      </c>
      <c r="S58" s="63">
        <f t="shared" si="18"/>
        <v>6.24187084945297e-29</v>
      </c>
      <c r="T58" s="63"/>
      <c r="U58" s="64"/>
    </row>
    <row r="59" s="14" customFormat="1" ht="18" customHeight="1" spans="4:21">
      <c r="I59" s="91">
        <f t="shared" si="8"/>
        <v>0.274703658724321</v>
      </c>
      <c r="J59" s="56">
        <f t="shared" si="9"/>
        <v>0.255</v>
      </c>
      <c r="K59" s="63">
        <f t="shared" si="10"/>
        <v>0</v>
      </c>
      <c r="L59" s="63">
        <f t="shared" si="11"/>
        <v>7.4415687754941e-15</v>
      </c>
      <c r="M59" s="63">
        <f t="shared" si="12"/>
        <v>6.38637582316315e-7</v>
      </c>
      <c r="N59" s="63">
        <f t="shared" si="13"/>
        <v>0.0139060925734392</v>
      </c>
      <c r="O59" s="63">
        <f t="shared" si="14"/>
        <v>0.234315840943882</v>
      </c>
      <c r="P59" s="63">
        <f t="shared" si="15"/>
        <v>0.0264780643284805</v>
      </c>
      <c r="Q59" s="63">
        <f t="shared" si="16"/>
        <v>3.02224083674745e-6</v>
      </c>
      <c r="R59" s="63">
        <f t="shared" si="17"/>
        <v>9.25126338639903e-14</v>
      </c>
      <c r="S59" s="63">
        <f t="shared" si="18"/>
        <v>5.82588282879173e-25</v>
      </c>
      <c r="T59" s="63"/>
      <c r="U59" s="64"/>
    </row>
    <row r="60" s="14" customFormat="1" ht="18" customHeight="1" spans="4:21">
      <c r="I60" s="91">
        <f t="shared" si="8"/>
        <v>0.0342096710740126</v>
      </c>
      <c r="J60" s="56">
        <f t="shared" si="9"/>
        <v>0.256</v>
      </c>
      <c r="K60" s="63">
        <f t="shared" si="10"/>
        <v>0</v>
      </c>
      <c r="L60" s="63">
        <f t="shared" si="11"/>
        <v>0</v>
      </c>
      <c r="M60" s="63">
        <f t="shared" si="12"/>
        <v>7.56642234931303e-10</v>
      </c>
      <c r="N60" s="63">
        <f t="shared" si="13"/>
        <v>0.000194062105182577</v>
      </c>
      <c r="O60" s="63">
        <f t="shared" si="14"/>
        <v>0.0223446846101222</v>
      </c>
      <c r="P60" s="63">
        <f t="shared" si="15"/>
        <v>0.0116571248325495</v>
      </c>
      <c r="Q60" s="63">
        <f t="shared" si="16"/>
        <v>1.3798764143522e-5</v>
      </c>
      <c r="R60" s="63">
        <f t="shared" si="17"/>
        <v>5.37257344251812e-12</v>
      </c>
      <c r="S60" s="63">
        <f t="shared" si="18"/>
        <v>4.50828570425438e-22</v>
      </c>
      <c r="T60" s="63"/>
      <c r="U60" s="64"/>
    </row>
    <row r="61" s="14" customFormat="1" ht="18" customHeight="1" spans="4:21">
      <c r="I61" s="91">
        <f t="shared" si="8"/>
        <v>0</v>
      </c>
      <c r="J61" s="56">
        <f t="shared" si="9"/>
        <v>0.257</v>
      </c>
      <c r="K61" s="63">
        <f t="shared" si="10"/>
        <v>0</v>
      </c>
      <c r="L61" s="63">
        <f t="shared" si="11"/>
        <v>0</v>
      </c>
      <c r="M61" s="63">
        <f t="shared" si="12"/>
        <v>0</v>
      </c>
      <c r="N61" s="63">
        <f t="shared" si="13"/>
        <v>0</v>
      </c>
      <c r="O61" s="63">
        <f t="shared" si="14"/>
        <v>0</v>
      </c>
      <c r="P61" s="63">
        <f t="shared" si="15"/>
        <v>0</v>
      </c>
      <c r="Q61" s="63">
        <f t="shared" si="16"/>
        <v>0</v>
      </c>
      <c r="R61" s="63">
        <f t="shared" si="17"/>
        <v>0</v>
      </c>
      <c r="S61" s="63">
        <f t="shared" si="18"/>
        <v>0</v>
      </c>
      <c r="T61" s="63"/>
      <c r="U61" s="64"/>
    </row>
    <row r="62" s="14" customFormat="1" ht="18" customHeight="1" spans="4:21">
      <c r="I62" s="91">
        <f t="shared" si="8"/>
        <v>0</v>
      </c>
      <c r="J62" s="56">
        <f t="shared" si="9"/>
        <v>0.258</v>
      </c>
      <c r="K62" s="63">
        <f t="shared" si="10"/>
        <v>0</v>
      </c>
      <c r="L62" s="63">
        <f t="shared" si="11"/>
        <v>0</v>
      </c>
      <c r="M62" s="63">
        <f t="shared" si="12"/>
        <v>0</v>
      </c>
      <c r="N62" s="63">
        <f t="shared" si="13"/>
        <v>0</v>
      </c>
      <c r="O62" s="63">
        <f t="shared" si="14"/>
        <v>0</v>
      </c>
      <c r="P62" s="63">
        <f t="shared" si="15"/>
        <v>0</v>
      </c>
      <c r="Q62" s="63">
        <f t="shared" si="16"/>
        <v>0</v>
      </c>
      <c r="R62" s="63">
        <f t="shared" si="17"/>
        <v>0</v>
      </c>
      <c r="S62" s="63">
        <f t="shared" si="18"/>
        <v>0</v>
      </c>
      <c r="T62" s="63"/>
      <c r="U62" s="64"/>
    </row>
    <row r="63" s="14" customFormat="1" ht="18" customHeight="1" spans="4:21">
      <c r="I63" s="91">
        <f t="shared" si="8"/>
        <v>0</v>
      </c>
      <c r="J63" s="56">
        <f t="shared" si="9"/>
        <v>0.259</v>
      </c>
      <c r="K63" s="63">
        <f t="shared" si="10"/>
        <v>0</v>
      </c>
      <c r="L63" s="63">
        <f t="shared" si="11"/>
        <v>0</v>
      </c>
      <c r="M63" s="63">
        <f t="shared" si="12"/>
        <v>0</v>
      </c>
      <c r="N63" s="63">
        <f t="shared" si="13"/>
        <v>0</v>
      </c>
      <c r="O63" s="63">
        <f t="shared" si="14"/>
        <v>0</v>
      </c>
      <c r="P63" s="63">
        <f t="shared" si="15"/>
        <v>0</v>
      </c>
      <c r="Q63" s="63">
        <f t="shared" si="16"/>
        <v>0</v>
      </c>
      <c r="R63" s="63">
        <f t="shared" si="17"/>
        <v>0</v>
      </c>
      <c r="S63" s="63">
        <f t="shared" si="18"/>
        <v>0</v>
      </c>
      <c r="T63" s="63"/>
      <c r="U63" s="64"/>
    </row>
    <row r="64" s="14" customFormat="1" ht="18" customHeight="1" spans="4:21">
      <c r="I64" s="91">
        <f t="shared" si="8"/>
        <v>0</v>
      </c>
      <c r="J64" s="56">
        <f t="shared" si="9"/>
        <v>0.26</v>
      </c>
      <c r="K64" s="63">
        <f t="shared" si="10"/>
        <v>0</v>
      </c>
      <c r="L64" s="63">
        <f t="shared" si="11"/>
        <v>0</v>
      </c>
      <c r="M64" s="63">
        <f t="shared" si="12"/>
        <v>0</v>
      </c>
      <c r="N64" s="63">
        <f t="shared" si="13"/>
        <v>0</v>
      </c>
      <c r="O64" s="63">
        <f t="shared" si="14"/>
        <v>0</v>
      </c>
      <c r="P64" s="63">
        <f t="shared" si="15"/>
        <v>0</v>
      </c>
      <c r="Q64" s="63">
        <f t="shared" si="16"/>
        <v>0</v>
      </c>
      <c r="R64" s="63">
        <f t="shared" si="17"/>
        <v>0</v>
      </c>
      <c r="S64" s="63">
        <f t="shared" si="18"/>
        <v>0</v>
      </c>
      <c r="T64" s="63"/>
      <c r="U64" s="64"/>
    </row>
    <row r="65" s="14" customFormat="1" ht="18" customHeight="1" spans="1:21">
      <c r="I65" s="91">
        <f t="shared" si="8"/>
        <v>0</v>
      </c>
      <c r="J65" s="56">
        <f t="shared" si="9"/>
        <v>0.261</v>
      </c>
      <c r="K65" s="63">
        <f t="shared" si="10"/>
        <v>0</v>
      </c>
      <c r="L65" s="63">
        <f t="shared" si="11"/>
        <v>0</v>
      </c>
      <c r="M65" s="63">
        <f t="shared" si="12"/>
        <v>0</v>
      </c>
      <c r="N65" s="63">
        <f t="shared" si="13"/>
        <v>0</v>
      </c>
      <c r="O65" s="63">
        <f t="shared" si="14"/>
        <v>0</v>
      </c>
      <c r="P65" s="63">
        <f t="shared" si="15"/>
        <v>0</v>
      </c>
      <c r="Q65" s="63">
        <f t="shared" si="16"/>
        <v>0</v>
      </c>
      <c r="R65" s="63">
        <f t="shared" si="17"/>
        <v>0</v>
      </c>
      <c r="S65" s="63">
        <f t="shared" si="18"/>
        <v>0</v>
      </c>
      <c r="T65" s="63"/>
      <c r="U65" s="64"/>
    </row>
    <row r="66" s="14" customFormat="1" ht="18" customHeight="1" spans="1:21">
      <c r="I66" s="91">
        <f t="shared" si="8"/>
        <v>0</v>
      </c>
      <c r="J66" s="56">
        <f t="shared" si="9"/>
        <v>0.262</v>
      </c>
      <c r="K66" s="63">
        <f t="shared" si="10"/>
        <v>0</v>
      </c>
      <c r="L66" s="63">
        <f t="shared" si="11"/>
        <v>0</v>
      </c>
      <c r="M66" s="63">
        <f t="shared" si="12"/>
        <v>0</v>
      </c>
      <c r="N66" s="63">
        <f t="shared" si="13"/>
        <v>0</v>
      </c>
      <c r="O66" s="63">
        <f t="shared" si="14"/>
        <v>0</v>
      </c>
      <c r="P66" s="63">
        <f t="shared" si="15"/>
        <v>0</v>
      </c>
      <c r="Q66" s="63">
        <f t="shared" si="16"/>
        <v>0</v>
      </c>
      <c r="R66" s="63">
        <f t="shared" si="17"/>
        <v>0</v>
      </c>
      <c r="S66" s="63">
        <f t="shared" si="18"/>
        <v>0</v>
      </c>
      <c r="T66" s="63"/>
      <c r="U66" s="64"/>
    </row>
    <row r="67" s="14" customFormat="1" ht="18" customHeight="1" spans="1:21">
      <c r="I67" s="91">
        <f t="shared" si="8"/>
        <v>0</v>
      </c>
      <c r="J67" s="56">
        <f t="shared" si="9"/>
        <v>0.263</v>
      </c>
      <c r="K67" s="63">
        <f t="shared" si="10"/>
        <v>0</v>
      </c>
      <c r="L67" s="63">
        <f t="shared" si="11"/>
        <v>0</v>
      </c>
      <c r="M67" s="63">
        <f t="shared" si="12"/>
        <v>0</v>
      </c>
      <c r="N67" s="63">
        <f t="shared" si="13"/>
        <v>0</v>
      </c>
      <c r="O67" s="63">
        <f t="shared" si="14"/>
        <v>0</v>
      </c>
      <c r="P67" s="63">
        <f t="shared" si="15"/>
        <v>0</v>
      </c>
      <c r="Q67" s="63">
        <f t="shared" si="16"/>
        <v>0</v>
      </c>
      <c r="R67" s="63">
        <f t="shared" si="17"/>
        <v>0</v>
      </c>
      <c r="S67" s="63">
        <f t="shared" si="18"/>
        <v>0</v>
      </c>
      <c r="T67" s="63"/>
      <c r="U67" s="64"/>
    </row>
    <row r="68" s="14" customFormat="1" ht="18" customHeight="1" spans="1:21">
      <c r="I68" s="91">
        <f t="shared" si="8"/>
        <v>0</v>
      </c>
      <c r="J68" s="56">
        <f t="shared" si="9"/>
        <v>0.264</v>
      </c>
      <c r="K68" s="63">
        <f t="shared" si="10"/>
        <v>0</v>
      </c>
      <c r="L68" s="63">
        <f t="shared" si="11"/>
        <v>0</v>
      </c>
      <c r="M68" s="63">
        <f t="shared" si="12"/>
        <v>0</v>
      </c>
      <c r="N68" s="63">
        <f t="shared" si="13"/>
        <v>0</v>
      </c>
      <c r="O68" s="63">
        <f t="shared" si="14"/>
        <v>0</v>
      </c>
      <c r="P68" s="63">
        <f t="shared" si="15"/>
        <v>0</v>
      </c>
      <c r="Q68" s="63">
        <f t="shared" si="16"/>
        <v>0</v>
      </c>
      <c r="R68" s="63">
        <f t="shared" si="17"/>
        <v>0</v>
      </c>
      <c r="S68" s="63">
        <f t="shared" si="18"/>
        <v>0</v>
      </c>
      <c r="T68" s="63"/>
      <c r="U68" s="64"/>
    </row>
    <row r="69" s="14" customFormat="1" ht="18" customHeight="1" spans="1:21">
      <c r="I69" s="91">
        <f t="shared" si="8"/>
        <v>0</v>
      </c>
      <c r="J69" s="56">
        <f t="shared" si="9"/>
        <v>0.265</v>
      </c>
      <c r="K69" s="63">
        <f t="shared" si="10"/>
        <v>0</v>
      </c>
      <c r="L69" s="63">
        <f t="shared" si="11"/>
        <v>0</v>
      </c>
      <c r="M69" s="63">
        <f t="shared" si="12"/>
        <v>0</v>
      </c>
      <c r="N69" s="63">
        <f t="shared" si="13"/>
        <v>0</v>
      </c>
      <c r="O69" s="63">
        <f t="shared" si="14"/>
        <v>0</v>
      </c>
      <c r="P69" s="63">
        <f t="shared" si="15"/>
        <v>0</v>
      </c>
      <c r="Q69" s="63">
        <f t="shared" si="16"/>
        <v>0</v>
      </c>
      <c r="R69" s="63">
        <f t="shared" si="17"/>
        <v>0</v>
      </c>
      <c r="S69" s="63">
        <f t="shared" si="18"/>
        <v>0</v>
      </c>
      <c r="T69" s="63"/>
      <c r="U69" s="64"/>
    </row>
    <row r="70" s="14" customFormat="1" ht="18" customHeight="1" spans="1:21">
      <c r="I70" s="91">
        <f t="shared" si="8"/>
        <v>0</v>
      </c>
      <c r="J70" s="56">
        <f t="shared" si="9"/>
        <v>0.266</v>
      </c>
      <c r="K70" s="63">
        <f t="shared" si="10"/>
        <v>0</v>
      </c>
      <c r="L70" s="63">
        <f t="shared" si="11"/>
        <v>0</v>
      </c>
      <c r="M70" s="63">
        <f t="shared" si="12"/>
        <v>0</v>
      </c>
      <c r="N70" s="63">
        <f t="shared" si="13"/>
        <v>0</v>
      </c>
      <c r="O70" s="63">
        <f t="shared" si="14"/>
        <v>0</v>
      </c>
      <c r="P70" s="63">
        <f t="shared" si="15"/>
        <v>0</v>
      </c>
      <c r="Q70" s="63">
        <f t="shared" si="16"/>
        <v>0</v>
      </c>
      <c r="R70" s="63">
        <f t="shared" si="17"/>
        <v>0</v>
      </c>
      <c r="S70" s="63">
        <f t="shared" si="18"/>
        <v>0</v>
      </c>
      <c r="T70" s="63"/>
      <c r="U70" s="64"/>
    </row>
    <row r="71" s="14" customFormat="1" ht="18" customHeight="1" spans="1:21">
      <c r="I71" s="92" t="s">
        <v>100</v>
      </c>
      <c r="J71" s="93"/>
      <c r="K71" s="94">
        <f t="shared" ref="K71:S71" si="19">SUM(K51:K70)</f>
        <v>0</v>
      </c>
      <c r="L71" s="94">
        <f t="shared" si="19"/>
        <v>1.41835261962359e-9</v>
      </c>
      <c r="M71" s="94">
        <f t="shared" si="19"/>
        <v>0.000774826990760414</v>
      </c>
      <c r="N71" s="94">
        <f t="shared" si="19"/>
        <v>0.261112512923984</v>
      </c>
      <c r="O71" s="94">
        <f t="shared" si="19"/>
        <v>0.693806529707543</v>
      </c>
      <c r="P71" s="94">
        <f t="shared" si="19"/>
        <v>0.0442892498393274</v>
      </c>
      <c r="Q71" s="94">
        <f t="shared" si="19"/>
        <v>1.6879114567229e-5</v>
      </c>
      <c r="R71" s="94">
        <f t="shared" si="19"/>
        <v>5.46522085585603e-12</v>
      </c>
      <c r="S71" s="94">
        <f t="shared" si="19"/>
        <v>4.51411221128185e-22</v>
      </c>
      <c r="T71" s="94"/>
      <c r="U71" s="95">
        <f>SUM(K71:T71)</f>
        <v>1</v>
      </c>
    </row>
    <row r="72" ht="18" customHeight="1" spans="1:21">
      <c r="K72" s="53">
        <f>K50</f>
        <v>620</v>
      </c>
      <c r="L72" s="53">
        <f t="shared" ref="L72:T72" si="20">L50</f>
        <v>625</v>
      </c>
      <c r="M72" s="53">
        <f t="shared" si="20"/>
        <v>630</v>
      </c>
      <c r="N72" s="53">
        <f t="shared" si="20"/>
        <v>635</v>
      </c>
      <c r="O72" s="53">
        <f t="shared" si="20"/>
        <v>640</v>
      </c>
      <c r="P72" s="53">
        <f t="shared" si="20"/>
        <v>645</v>
      </c>
      <c r="Q72" s="53">
        <f t="shared" si="20"/>
        <v>650</v>
      </c>
      <c r="R72" s="53">
        <f t="shared" si="20"/>
        <v>655</v>
      </c>
      <c r="S72" s="53">
        <f t="shared" si="20"/>
        <v>660</v>
      </c>
      <c r="T72" s="53">
        <f t="shared" si="20"/>
        <v>665</v>
      </c>
    </row>
    <row r="73" ht="4.8" customHeight="1" spans="1:21">
      <c r="I73" s="96"/>
    </row>
    <row r="74" ht="4.8" customHeight="1" spans="1:21">
      <c r="I74" s="96"/>
    </row>
    <row r="75" ht="4.8" customHeight="1" spans="1:21">
      <c r="I75" s="96"/>
    </row>
    <row r="76" ht="26.4" customHeight="1" spans="1:21">
      <c r="A76" s="97" t="s">
        <v>101</v>
      </c>
      <c r="B76" s="98" t="s">
        <v>89</v>
      </c>
      <c r="C76" s="98" t="str">
        <f>C9</f>
        <v>芜湖</v>
      </c>
      <c r="D76" s="98" t="str">
        <f t="shared" ref="D76:O76" si="21">D9</f>
        <v>润阳</v>
      </c>
      <c r="E76" s="98" t="str">
        <f t="shared" si="21"/>
        <v>英发</v>
      </c>
      <c r="F76" s="98" t="str">
        <f t="shared" si="21"/>
        <v>中润</v>
      </c>
      <c r="G76" s="98" t="str">
        <f t="shared" si="21"/>
        <v>卓耀</v>
      </c>
      <c r="H76" s="98" t="str">
        <f t="shared" si="21"/>
        <v>和光同程</v>
      </c>
      <c r="I76" s="98" t="str">
        <f t="shared" si="21"/>
        <v>弘元</v>
      </c>
      <c r="J76" s="98" t="str">
        <f t="shared" si="21"/>
        <v>仕净</v>
      </c>
      <c r="K76" s="98" t="str">
        <f t="shared" si="21"/>
        <v>赛福天</v>
      </c>
      <c r="L76" s="98" t="str">
        <f t="shared" si="21"/>
        <v>通威</v>
      </c>
      <c r="M76" s="98" t="str">
        <f t="shared" si="21"/>
        <v>爱旭</v>
      </c>
      <c r="N76" s="98" t="str">
        <f t="shared" si="21"/>
        <v>厂家12</v>
      </c>
      <c r="O76" s="98" t="str">
        <f t="shared" si="21"/>
        <v>厂家13</v>
      </c>
    </row>
    <row r="77" ht="17.4" customHeight="1" spans="1:21">
      <c r="A77" s="97"/>
      <c r="B77" s="99">
        <f>C29</f>
        <v>0.247</v>
      </c>
      <c r="C77" s="100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</row>
    <row r="78" ht="17.4" customHeight="1" spans="1:21">
      <c r="A78" s="97"/>
      <c r="B78" s="99">
        <f t="shared" ref="B78:B96" si="22">C30</f>
        <v>0.248</v>
      </c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</row>
    <row r="79" ht="17.4" customHeight="1" spans="1:21">
      <c r="A79" s="97"/>
      <c r="B79" s="99">
        <f t="shared" si="22"/>
        <v>0.249</v>
      </c>
      <c r="C79" s="100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</row>
    <row r="80" ht="17.4" customHeight="1" spans="1:21">
      <c r="A80" s="97"/>
      <c r="B80" s="99">
        <f t="shared" si="22"/>
        <v>0.25</v>
      </c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</row>
    <row r="81" ht="17.4" customHeight="1" spans="1:15">
      <c r="A81" s="97"/>
      <c r="B81" s="99">
        <f t="shared" si="22"/>
        <v>0.251</v>
      </c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</row>
    <row r="82" ht="17.4" customHeight="1" spans="1:15">
      <c r="A82" s="97"/>
      <c r="B82" s="99">
        <f t="shared" si="22"/>
        <v>0.252</v>
      </c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</row>
    <row r="83" ht="17.4" customHeight="1" spans="1:15">
      <c r="A83" s="97"/>
      <c r="B83" s="99">
        <f t="shared" si="22"/>
        <v>0.253</v>
      </c>
      <c r="C83" s="100">
        <v>0.106283422459893</v>
      </c>
      <c r="D83" s="100"/>
      <c r="E83" s="100"/>
      <c r="F83" s="100">
        <v>0.0389817590569585</v>
      </c>
      <c r="G83" s="100"/>
      <c r="H83" s="100"/>
      <c r="I83" s="100"/>
      <c r="J83" s="100"/>
      <c r="K83" s="100"/>
      <c r="L83" s="100">
        <v>0.0425531914893617</v>
      </c>
      <c r="M83" s="100"/>
      <c r="N83" s="100"/>
      <c r="O83" s="100"/>
    </row>
    <row r="84" ht="17.4" customHeight="1" spans="1:15">
      <c r="A84" s="97"/>
      <c r="B84" s="99">
        <f t="shared" si="22"/>
        <v>0.254</v>
      </c>
      <c r="C84" s="100">
        <v>0.195187165775401</v>
      </c>
      <c r="D84" s="100"/>
      <c r="E84" s="100"/>
      <c r="F84" s="100">
        <v>0.21751943498806</v>
      </c>
      <c r="G84" s="100"/>
      <c r="H84" s="100"/>
      <c r="I84" s="100"/>
      <c r="J84" s="100"/>
      <c r="K84" s="100"/>
      <c r="L84" s="100">
        <v>0.372340425531915</v>
      </c>
      <c r="M84" s="100"/>
      <c r="N84" s="100"/>
      <c r="O84" s="100"/>
    </row>
    <row r="85" ht="17.4" customHeight="1" spans="1:15">
      <c r="A85" s="97"/>
      <c r="B85" s="99">
        <f t="shared" si="22"/>
        <v>0.255</v>
      </c>
      <c r="C85" s="100">
        <v>0.372103386809269</v>
      </c>
      <c r="D85" s="100"/>
      <c r="E85" s="100"/>
      <c r="F85" s="100">
        <v>0.519587419338448</v>
      </c>
      <c r="G85" s="100"/>
      <c r="H85" s="100"/>
      <c r="I85" s="100"/>
      <c r="J85" s="100"/>
      <c r="K85" s="100"/>
      <c r="L85" s="100">
        <v>0.531914893617021</v>
      </c>
      <c r="M85" s="100"/>
      <c r="N85" s="100"/>
      <c r="O85" s="100"/>
    </row>
    <row r="86" ht="17.4" customHeight="1" spans="1:15">
      <c r="A86" s="97"/>
      <c r="B86" s="99">
        <f t="shared" si="22"/>
        <v>0.256</v>
      </c>
      <c r="C86" s="100">
        <v>0.301916221033868</v>
      </c>
      <c r="D86" s="100"/>
      <c r="E86" s="100"/>
      <c r="F86" s="100">
        <v>0.212346933590773</v>
      </c>
      <c r="G86" s="100"/>
      <c r="H86" s="100"/>
      <c r="I86" s="100"/>
      <c r="J86" s="100"/>
      <c r="K86" s="100"/>
      <c r="L86" s="100">
        <v>0.0531914893617021</v>
      </c>
      <c r="M86" s="100"/>
      <c r="N86" s="100"/>
      <c r="O86" s="100"/>
    </row>
    <row r="87" ht="17.4" customHeight="1" spans="1:15">
      <c r="A87" s="97"/>
      <c r="B87" s="99">
        <f t="shared" si="22"/>
        <v>0.257</v>
      </c>
      <c r="C87" s="100">
        <v>0.0245098039215686</v>
      </c>
      <c r="D87" s="100"/>
      <c r="E87" s="100"/>
      <c r="F87" s="100">
        <v>0.011554290940501</v>
      </c>
      <c r="G87" s="100"/>
      <c r="H87" s="100"/>
      <c r="I87" s="100"/>
      <c r="J87" s="100"/>
      <c r="K87" s="100"/>
      <c r="L87" s="100"/>
      <c r="M87" s="100"/>
      <c r="N87" s="100"/>
      <c r="O87" s="100"/>
    </row>
    <row r="88" ht="17.4" customHeight="1" spans="1:15">
      <c r="A88" s="97"/>
      <c r="B88" s="99">
        <f t="shared" si="22"/>
        <v>0.258</v>
      </c>
      <c r="C88" s="100">
        <v>0</v>
      </c>
      <c r="D88" s="100"/>
      <c r="E88" s="100"/>
      <c r="F88" s="100">
        <v>1.01620852598953e-5</v>
      </c>
      <c r="G88" s="100"/>
      <c r="H88" s="100"/>
      <c r="I88" s="100"/>
      <c r="J88" s="100"/>
      <c r="K88" s="100"/>
      <c r="L88" s="100"/>
      <c r="M88" s="100"/>
      <c r="N88" s="100"/>
      <c r="O88" s="100"/>
    </row>
    <row r="89" ht="17.4" customHeight="1" spans="1:15">
      <c r="A89" s="97"/>
      <c r="B89" s="99">
        <f t="shared" si="22"/>
        <v>0.259</v>
      </c>
      <c r="C89" s="100">
        <v>0</v>
      </c>
      <c r="D89" s="100"/>
      <c r="E89" s="100"/>
      <c r="F89" s="100">
        <v>0</v>
      </c>
      <c r="G89" s="100"/>
      <c r="H89" s="100"/>
      <c r="I89" s="100"/>
      <c r="J89" s="100"/>
      <c r="K89" s="100"/>
      <c r="L89" s="100"/>
      <c r="M89" s="100"/>
      <c r="N89" s="100"/>
      <c r="O89" s="100"/>
    </row>
    <row r="90" ht="17.4" customHeight="1" spans="1:15">
      <c r="A90" s="97"/>
      <c r="B90" s="99">
        <f t="shared" si="22"/>
        <v>0.26</v>
      </c>
      <c r="C90" s="100"/>
      <c r="D90" s="100"/>
      <c r="E90" s="100"/>
      <c r="F90" s="100"/>
      <c r="G90" s="100"/>
      <c r="H90" s="100"/>
      <c r="I90" s="100"/>
      <c r="J90" s="100"/>
      <c r="K90" s="100"/>
      <c r="L90" s="100"/>
      <c r="M90" s="100"/>
      <c r="N90" s="100"/>
      <c r="O90" s="100"/>
    </row>
    <row r="91" ht="17.4" customHeight="1" spans="1:15">
      <c r="A91" s="97"/>
      <c r="B91" s="99">
        <f t="shared" si="22"/>
        <v>0.261</v>
      </c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</row>
    <row r="92" ht="17.4" customHeight="1" spans="1:15">
      <c r="A92" s="97"/>
      <c r="B92" s="99">
        <f t="shared" si="22"/>
        <v>0.262</v>
      </c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</row>
    <row r="93" ht="17.4" customHeight="1" spans="1:15">
      <c r="A93" s="97"/>
      <c r="B93" s="99">
        <f t="shared" si="22"/>
        <v>0.263</v>
      </c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</row>
    <row r="94" ht="17.4" customHeight="1" spans="1:15">
      <c r="A94" s="97"/>
      <c r="B94" s="99">
        <f t="shared" si="22"/>
        <v>0.264</v>
      </c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</row>
    <row r="95" ht="17.4" customHeight="1" spans="1:15">
      <c r="A95" s="97"/>
      <c r="B95" s="99">
        <f t="shared" si="22"/>
        <v>0.265</v>
      </c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</row>
    <row r="96" ht="17.4" customHeight="1" spans="1:15">
      <c r="A96" s="97"/>
      <c r="B96" s="99">
        <f t="shared" si="22"/>
        <v>0.266</v>
      </c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</row>
  </sheetData>
  <sheetProtection formatCells="0" formatColumns="0" formatRows="0" insertRows="0" insertColumns="0" insertHyperlinks="0" deleteColumns="0" deleteRows="0" sort="0" autoFilter="0" pivotTables="0"/>
  <mergeCells count="23">
    <mergeCell ref="A1:F1"/>
    <mergeCell ref="G1:I1"/>
    <mergeCell ref="L1:O1"/>
    <mergeCell ref="Q10:W10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1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{89de072c-e38a-4c4e-a332-e00cbda5f444}</x14:id>
        </ext>
      </extLst>
    </cfRule>
  </conditionalFormatting>
  <conditionalFormatting sqref="D30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{2e3a60f4-137c-458d-be77-411ad8dfecbb}</x14:id>
        </ext>
      </extLst>
    </cfRule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{33192fdc-f043-4e5e-854d-f7cd87329fa4}</x14:id>
        </ext>
      </extLst>
    </cfRule>
  </conditionalFormatting>
  <conditionalFormatting sqref="D33:D44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{273bc8cc-59c5-4078-9902-7f9f52c0bbaf}</x14:id>
        </ext>
      </extLst>
    </cfRule>
  </conditionalFormatting>
  <conditionalFormatting sqref="D45:D48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{5c67c8f5-512a-4142-9cb7-8d5f9cdb7dc3}</x14:id>
        </ext>
      </extLst>
    </cfRule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{77f3c0d8-b27c-4aba-9191-d9d876e3894a}</x14:id>
        </ext>
      </extLst>
    </cfRule>
  </conditionalFormatting>
  <conditionalFormatting sqref="D49:D5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{e20102e8-5ed0-47ff-9667-c7edf6833e55}</x14:id>
        </ext>
      </extLst>
    </cfRule>
    <cfRule type="dataBar" priority="1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{69bc4f8f-dbca-43d3-9a9d-092f46527441}</x14:id>
        </ext>
      </extLst>
    </cfRule>
  </conditionalFormatting>
  <conditionalFormatting sqref="D77:D9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{b12bf39e-db72-4585-ab09-3d7f9bad4f6c}</x14:id>
        </ext>
      </extLst>
    </cfRule>
  </conditionalFormatting>
  <conditionalFormatting sqref="E77:E9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{10ddacb0-188d-4001-a94e-562019702068}</x14:id>
        </ext>
      </extLst>
    </cfRule>
  </conditionalFormatting>
  <conditionalFormatting sqref="F77:F9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{d24173bc-f163-4ce8-885c-a2389aa5a1d6}</x14:id>
        </ext>
      </extLst>
    </cfRule>
  </conditionalFormatting>
  <conditionalFormatting sqref="H77:H9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{e6c11629-3588-4ffd-b57a-f0585b448d4e}</x14:id>
        </ext>
      </extLst>
    </cfRule>
  </conditionalFormatting>
  <conditionalFormatting sqref="L77:L9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{d76776ec-7e52-4f2f-9a02-ba624bf0c6e7}</x14:id>
        </ext>
      </extLst>
    </cfRule>
  </conditionalFormatting>
  <conditionalFormatting sqref="D29:D32 D45:D48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{68b67b3e-3e69-4efb-baa4-6b391d18fba3}</x14:id>
        </ext>
      </extLst>
    </cfRule>
  </conditionalFormatting>
  <conditionalFormatting sqref="K29:R4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{89c31c86-bf71-4df9-aad5-7bb214935ba8}</x14:id>
        </ext>
      </extLst>
    </cfRule>
  </conditionalFormatting>
  <conditionalFormatting sqref="K29:T48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{69572cd4-a768-4bae-b059-6b8a7dcfb0e5}</x14:id>
        </ext>
      </extLst>
    </cfRule>
  </conditionalFormatting>
  <conditionalFormatting sqref="K29:S48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{8c7dbbd0-f1c4-435c-997a-a5e9206d6c77}</x14:id>
        </ext>
      </extLst>
    </cfRule>
  </conditionalFormatting>
  <conditionalFormatting sqref="M29:O30 O35 N31:O34 M31:M48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{19a960c6-7c3b-4e2e-af59-418f8c22b245}</x14:id>
        </ext>
      </extLst>
    </cfRule>
    <cfRule type="colorScale" priority="25">
      <colorScale>
        <cfvo type="percent" val="0"/>
        <cfvo type="percent" val="0"/>
        <color theme="0"/>
        <color theme="0"/>
      </colorScale>
    </cfRule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{30604447-d743-47c7-a32f-6889d724afc2}</x14:id>
        </ext>
      </extLst>
    </cfRule>
    <cfRule type="dataBar" priority="27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{0f4ff5fb-58d9-45f6-928f-e53f5f0266d1}</x14:id>
        </ext>
      </extLst>
    </cfRule>
    <cfRule type="dataBar" priority="2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{b3fb8263-c034-4eda-9b26-22266cdd00a7}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{c0add109-ca5d-4603-8485-dde0827f8188}</x14:id>
        </ext>
      </extLst>
    </cfRule>
  </conditionalFormatting>
  <conditionalFormatting sqref="P29:R35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{c47ec34d-2d09-4ffb-b1fc-d8ca7343baa7}</x14:id>
        </ext>
      </extLst>
    </cfRule>
    <cfRule type="colorScale" priority="18">
      <colorScale>
        <cfvo type="percent" val="0"/>
        <cfvo type="percent" val="0"/>
        <color theme="0"/>
        <color theme="0"/>
      </colorScale>
    </cfRule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{f3072f38-060f-47bf-b743-b07957ec8d20}</x14:id>
        </ext>
      </extLst>
    </cfRule>
    <cfRule type="dataBar" priority="20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{87b808d0-ab69-4214-a5f4-f926e69bd6b1}</x14:id>
        </ext>
      </extLst>
    </cfRule>
    <cfRule type="dataBar" priority="2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{a9aa4a53-0f3b-42a3-a46c-ef1a7e1b3565}</x14:id>
        </ext>
      </extLst>
    </cfRule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{9b32c393-5f6b-49ad-9f0a-ebef90e5adce}</x14:id>
        </ext>
      </extLst>
    </cfRule>
  </conditionalFormatting>
  <conditionalFormatting sqref="S29:T48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{a09eec21-e536-4cd2-91f1-f1d834bb3338}</x14:id>
        </ext>
      </extLst>
    </cfRule>
    <cfRule type="dataBar" priority="3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{2277a28d-5abd-46b1-b069-8c179aaa5ded}</x14:id>
        </ext>
      </extLst>
    </cfRule>
    <cfRule type="colorScale" priority="39">
      <colorScale>
        <cfvo type="percent" val="0"/>
        <cfvo type="percent" val="0"/>
        <color theme="0"/>
        <color theme="0"/>
      </colorScale>
    </cfRule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{39c7c9c2-eed4-4085-b337-e9cbdf5e1c0f}</x14:id>
        </ext>
      </extLst>
    </cfRule>
    <cfRule type="dataBar" priority="4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{19b6e823-7c9e-4f00-96f8-8cb9f6811d0c}</x14:id>
        </ext>
      </extLst>
    </cfRule>
    <cfRule type="dataBar" priority="4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{2d4e907a-3d34-4fdf-acd8-d45510d6595d}</x14:id>
        </ext>
      </extLst>
    </cfRule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{70971d4f-f5e4-4bfb-85e8-8dfcf678454a}</x14:id>
        </ext>
      </extLst>
    </cfRule>
  </conditionalFormatting>
  <conditionalFormatting sqref="P36:R48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{18f2b146-69f8-4f2c-ad44-39fe06f16a74}</x14:id>
        </ext>
      </extLst>
    </cfRule>
    <cfRule type="colorScale" priority="31">
      <colorScale>
        <cfvo type="percent" val="0"/>
        <cfvo type="percent" val="0"/>
        <color theme="0"/>
        <color theme="0"/>
      </colorScale>
    </cfRule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{f4e841b3-d54f-4c00-8589-aca6033ec854}</x14:id>
        </ext>
      </extLst>
    </cfRule>
    <cfRule type="dataBar" priority="3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{0d70d9f1-c198-4682-990f-e4141b93bb29}</x14:id>
        </ext>
      </extLst>
    </cfRule>
    <cfRule type="dataBar" priority="34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{6c96eb9e-dff8-4d0d-9108-a20d4eb2a9ae}</x14:id>
        </ext>
      </extLst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{2d41cf46-192d-4fc7-b4c0-29b29b9fd7a9}</x14:id>
        </ext>
      </extLst>
    </cfRule>
  </conditionalFormatting>
  <conditionalFormatting sqref="C77:O9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{9fe04218-2f77-48df-9676-60970892d2a7}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de072c-e38a-4c4e-a332-e00cbda5f44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2e3a60f4-137c-458d-be77-411ad8dfec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3192fdc-f043-4e5e-854d-f7cd87329f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273bc8cc-59c5-4078-9902-7f9f52c0bb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5c67c8f5-512a-4142-9cb7-8d5f9cdb7d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f3c0d8-b27c-4aba-9191-d9d876e3894a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e20102e8-5ed0-47ff-9667-c7edf6833e5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9bc4f8f-dbca-43d3-9a9d-092f4652744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b12bf39e-db72-4585-ab09-3d7f9bad4f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D77:D96</xm:sqref>
        </x14:conditionalFormatting>
        <x14:conditionalFormatting xmlns:xm="http://schemas.microsoft.com/office/excel/2006/main">
          <x14:cfRule type="dataBar" id="{10ddacb0-188d-4001-a94e-5620197020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E77:E96</xm:sqref>
        </x14:conditionalFormatting>
        <x14:conditionalFormatting xmlns:xm="http://schemas.microsoft.com/office/excel/2006/main">
          <x14:cfRule type="dataBar" id="{d24173bc-f163-4ce8-885c-a2389aa5a1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F77:F96</xm:sqref>
        </x14:conditionalFormatting>
        <x14:conditionalFormatting xmlns:xm="http://schemas.microsoft.com/office/excel/2006/main">
          <x14:cfRule type="dataBar" id="{e6c11629-3588-4ffd-b57a-f0585b448d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H77:H96</xm:sqref>
        </x14:conditionalFormatting>
        <x14:conditionalFormatting xmlns:xm="http://schemas.microsoft.com/office/excel/2006/main">
          <x14:cfRule type="dataBar" id="{d76776ec-7e52-4f2f-9a02-ba624bf0c6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L77:L96</xm:sqref>
        </x14:conditionalFormatting>
        <x14:conditionalFormatting xmlns:xm="http://schemas.microsoft.com/office/excel/2006/main">
          <x14:cfRule type="dataBar" id="{68b67b3e-3e69-4efb-baa4-6b391d18fba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89c31c86-bf71-4df9-aad5-7bb214935b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69572cd4-a768-4bae-b059-6b8a7dcfb0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K29:T48</xm:sqref>
        </x14:conditionalFormatting>
        <x14:conditionalFormatting xmlns:xm="http://schemas.microsoft.com/office/excel/2006/main">
          <x14:cfRule type="dataBar" id="{8c7dbbd0-f1c4-435c-997a-a5e9206d6c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K29:S48</xm:sqref>
        </x14:conditionalFormatting>
        <x14:conditionalFormatting xmlns:xm="http://schemas.microsoft.com/office/excel/2006/main">
          <x14:cfRule type="dataBar" id="{19a960c6-7c3b-4e2e-af59-418f8c22b24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30604447-d743-47c7-a32f-6889d724afc2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0f4ff5fb-58d9-45f6-928f-e53f5f0266d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b3fb8263-c034-4eda-9b26-22266cdd00a7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c0add109-ca5d-4603-8485-dde0827f818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c47ec34d-2d09-4ffb-b1fc-d8ca7343baa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3072f38-060f-47bf-b743-b07957ec8d2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87b808d0-ab69-4214-a5f4-f926e69bd6b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a9aa4a53-0f3b-42a3-a46c-ef1a7e1b356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9b32c393-5f6b-49ad-9f0a-ebef90e5adc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a09eec21-e536-4cd2-91f1-f1d834bb33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2277a28d-5abd-46b1-b069-8c179aaa5d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39c7c9c2-eed4-4085-b337-e9cbdf5e1c0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19b6e823-7c9e-4f00-96f8-8cb9f6811d0c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d4e907a-3d34-4fdf-acd8-d45510d6595d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70971d4f-f5e4-4bfb-85e8-8dfcf678454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S29:T48</xm:sqref>
        </x14:conditionalFormatting>
        <x14:conditionalFormatting xmlns:xm="http://schemas.microsoft.com/office/excel/2006/main">
          <x14:cfRule type="dataBar" id="{18f2b146-69f8-4f2c-ad44-39fe06f16a7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4e841b3-d54f-4c00-8589-aca6033ec85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0d70d9f1-c198-4682-990f-e4141b93bb29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6c96eb9e-dff8-4d0d-9108-a20d4eb2a9a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d41cf46-192d-4fc7-b4c0-29b29b9fd7a9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9fe04218-2f77-48df-9676-60970892d2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C77:O96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>
    <tabColor theme="7" tint="0.799951170384838"/>
  </sheetPr>
  <dimension ref="A1:Y96"/>
  <sheetViews>
    <sheetView showGridLines="0" zoomScale="128" zoomScaleNormal="128" workbookViewId="0">
      <selection activeCell="C7" sqref="C7"/>
    </sheetView>
  </sheetViews>
  <sheetFormatPr defaultColWidth="8.44642857142857" defaultRowHeight="13.6"/>
  <cols>
    <col min="1" max="21" width="10.5535714285714" style="17" customWidth="1"/>
    <col min="22" max="16384" width="8.44642857142857" style="17"/>
  </cols>
  <sheetData>
    <row r="1" s="13" customFormat="1" ht="40.8" customHeight="1" spans="1:25">
      <c r="A1" s="18" t="s">
        <v>107</v>
      </c>
      <c r="B1" s="18"/>
      <c r="C1" s="18"/>
      <c r="D1" s="18"/>
      <c r="E1" s="18"/>
      <c r="F1" s="18"/>
      <c r="G1" s="19" t="s">
        <v>1</v>
      </c>
      <c r="H1" s="19"/>
      <c r="I1" s="19"/>
      <c r="J1" s="19">
        <f>620.56-4.8</f>
        <v>615.76</v>
      </c>
      <c r="K1" s="20" t="s">
        <v>2</v>
      </c>
      <c r="L1" s="20" t="s">
        <v>3</v>
      </c>
      <c r="M1" s="20"/>
      <c r="N1" s="20"/>
      <c r="O1" s="20"/>
      <c r="Q1" s="21"/>
      <c r="R1" s="21"/>
      <c r="S1" s="21"/>
      <c r="T1" s="21"/>
      <c r="U1" s="21"/>
    </row>
    <row r="2" ht="1.95" customHeight="1" spans="1:25">
      <c r="H2" s="22"/>
      <c r="P2" s="13"/>
      <c r="Q2" s="21"/>
      <c r="R2" s="21"/>
      <c r="S2" s="21"/>
      <c r="T2" s="21"/>
      <c r="U2" s="21"/>
    </row>
    <row r="3" s="14" customFormat="1" ht="21.9" customHeight="1" spans="1:25">
      <c r="A3" s="23" t="s">
        <v>4</v>
      </c>
      <c r="B3" s="23">
        <v>0</v>
      </c>
      <c r="C3" s="104">
        <v>0.26</v>
      </c>
      <c r="D3" s="11">
        <v>0.24</v>
      </c>
      <c r="E3" s="11">
        <v>0.23</v>
      </c>
      <c r="F3" s="11">
        <v>0.28</v>
      </c>
      <c r="G3" s="11" t="s">
        <v>6</v>
      </c>
      <c r="H3" s="11" t="s">
        <v>7</v>
      </c>
      <c r="I3" s="11" t="s">
        <v>8</v>
      </c>
      <c r="J3" s="11" t="s">
        <v>9</v>
      </c>
      <c r="K3" s="11" t="s">
        <v>10</v>
      </c>
      <c r="L3" s="11" t="s">
        <v>11</v>
      </c>
      <c r="M3" s="11" t="s">
        <v>12</v>
      </c>
      <c r="N3" s="11" t="s">
        <v>13</v>
      </c>
      <c r="O3" s="11" t="s">
        <v>14</v>
      </c>
      <c r="P3" s="25"/>
      <c r="Q3" s="26"/>
      <c r="R3" s="26"/>
      <c r="S3" s="26"/>
      <c r="T3" s="26"/>
      <c r="U3" s="26"/>
      <c r="V3" s="27"/>
      <c r="W3" s="27"/>
      <c r="X3" s="27"/>
      <c r="Y3" s="27"/>
    </row>
    <row r="4" s="14" customFormat="1" ht="21.9" customHeight="1" spans="1:25">
      <c r="A4" s="23"/>
      <c r="B4" s="23"/>
      <c r="C4" s="104">
        <v>0</v>
      </c>
      <c r="D4" s="11">
        <v>-2</v>
      </c>
      <c r="E4" s="11">
        <v>-3</v>
      </c>
      <c r="F4" s="11">
        <v>1.5</v>
      </c>
      <c r="G4" s="11"/>
      <c r="H4" s="11"/>
      <c r="I4" s="11"/>
      <c r="J4" s="11"/>
      <c r="K4" s="11"/>
      <c r="L4" s="11"/>
      <c r="M4" s="11"/>
      <c r="N4" s="11"/>
      <c r="O4" s="11"/>
      <c r="P4" s="25"/>
      <c r="Q4" s="26"/>
      <c r="R4" s="26"/>
      <c r="S4" s="26"/>
      <c r="T4" s="26"/>
      <c r="U4" s="26"/>
      <c r="V4" s="27"/>
      <c r="W4" s="27"/>
      <c r="X4" s="27"/>
      <c r="Y4" s="27"/>
    </row>
    <row r="5" ht="1.95" customHeight="1" spans="1:25">
      <c r="P5" s="13"/>
      <c r="Q5" s="21"/>
      <c r="R5" s="21"/>
      <c r="S5" s="21"/>
      <c r="T5" s="21"/>
      <c r="U5" s="21"/>
    </row>
    <row r="6" s="14" customFormat="1" ht="27" customHeight="1" spans="1:25">
      <c r="A6" s="23" t="s">
        <v>15</v>
      </c>
      <c r="B6" s="23">
        <v>2.7</v>
      </c>
      <c r="C6" s="11" t="s">
        <v>16</v>
      </c>
      <c r="D6" s="29" t="s">
        <v>17</v>
      </c>
      <c r="E6" s="29" t="s">
        <v>18</v>
      </c>
      <c r="F6" s="104" t="s">
        <v>19</v>
      </c>
      <c r="G6" s="11" t="s">
        <v>20</v>
      </c>
      <c r="H6" s="11" t="s">
        <v>21</v>
      </c>
      <c r="I6" s="11" t="s">
        <v>108</v>
      </c>
      <c r="J6" s="11" t="s">
        <v>109</v>
      </c>
      <c r="K6" s="11" t="s">
        <v>24</v>
      </c>
      <c r="L6" s="11" t="s">
        <v>25</v>
      </c>
      <c r="M6" s="11" t="s">
        <v>26</v>
      </c>
      <c r="N6" s="11" t="s">
        <v>27</v>
      </c>
      <c r="O6" s="11" t="s">
        <v>28</v>
      </c>
      <c r="P6" s="25"/>
      <c r="Q6" s="26"/>
      <c r="R6" s="26"/>
      <c r="S6" s="26"/>
      <c r="T6" s="26"/>
      <c r="U6" s="26"/>
      <c r="V6" s="27"/>
      <c r="W6" s="27"/>
      <c r="X6" s="27"/>
      <c r="Y6" s="27"/>
    </row>
    <row r="7" s="14" customFormat="1" ht="24.6" customHeight="1" spans="1:25">
      <c r="A7" s="23"/>
      <c r="B7" s="23"/>
      <c r="C7" s="11">
        <v>0</v>
      </c>
      <c r="D7" s="11">
        <v>1.2</v>
      </c>
      <c r="E7" s="11">
        <v>1.6</v>
      </c>
      <c r="F7" s="104">
        <v>2.7</v>
      </c>
      <c r="G7" s="11">
        <v>-4.5</v>
      </c>
      <c r="H7" s="11">
        <v>-3</v>
      </c>
      <c r="I7" s="11">
        <v>4.1</v>
      </c>
      <c r="J7" s="11">
        <v>3</v>
      </c>
      <c r="K7" s="11"/>
      <c r="L7" s="11"/>
      <c r="M7" s="11"/>
      <c r="N7" s="11"/>
      <c r="O7" s="11"/>
      <c r="P7" s="25"/>
      <c r="Q7" s="26"/>
      <c r="R7" s="26"/>
      <c r="S7" s="26"/>
      <c r="T7" s="26"/>
      <c r="U7" s="26"/>
      <c r="V7" s="27"/>
      <c r="W7" s="27"/>
      <c r="X7" s="27"/>
      <c r="Y7" s="27"/>
    </row>
    <row r="8" ht="1.95" customHeight="1" spans="1:25">
      <c r="P8" s="13"/>
      <c r="Q8" s="21"/>
      <c r="R8" s="21"/>
      <c r="S8" s="21"/>
      <c r="T8" s="21"/>
      <c r="U8" s="21"/>
    </row>
    <row r="9" s="14" customFormat="1" ht="22.2" customHeight="1" spans="1:25">
      <c r="A9" s="23" t="s">
        <v>29</v>
      </c>
      <c r="B9" s="23">
        <v>3.5</v>
      </c>
      <c r="C9" s="119" t="s">
        <v>30</v>
      </c>
      <c r="D9" s="117" t="s">
        <v>34</v>
      </c>
      <c r="E9" s="117" t="s">
        <v>35</v>
      </c>
      <c r="F9" s="117" t="s">
        <v>110</v>
      </c>
      <c r="G9" s="117" t="s">
        <v>36</v>
      </c>
      <c r="H9" s="117" t="s">
        <v>32</v>
      </c>
      <c r="I9" s="117" t="s">
        <v>111</v>
      </c>
      <c r="J9" s="117" t="s">
        <v>112</v>
      </c>
      <c r="K9" s="117" t="s">
        <v>113</v>
      </c>
      <c r="L9" s="117" t="s">
        <v>33</v>
      </c>
      <c r="M9" s="117" t="s">
        <v>37</v>
      </c>
      <c r="N9" s="117" t="s">
        <v>31</v>
      </c>
      <c r="O9" s="117" t="s">
        <v>114</v>
      </c>
      <c r="P9" s="27"/>
      <c r="Q9" s="27"/>
      <c r="R9" s="47"/>
      <c r="S9" s="27"/>
      <c r="T9" s="27"/>
      <c r="U9" s="27"/>
      <c r="V9" s="27"/>
      <c r="W9" s="27"/>
      <c r="X9" s="27"/>
      <c r="Y9" s="27"/>
    </row>
    <row r="10" s="14" customFormat="1" ht="22.2" customHeight="1" spans="1:25">
      <c r="A10" s="23"/>
      <c r="B10" s="23"/>
      <c r="C10" s="119">
        <v>3.5</v>
      </c>
      <c r="D10" s="130">
        <v>2.49</v>
      </c>
      <c r="E10" s="130">
        <v>2.09</v>
      </c>
      <c r="F10" s="117">
        <v>-1.1</v>
      </c>
      <c r="G10" s="117">
        <v>2.5</v>
      </c>
      <c r="H10" s="117">
        <v>4</v>
      </c>
      <c r="I10" s="117">
        <v>-1</v>
      </c>
      <c r="J10" s="117">
        <v>2.5</v>
      </c>
      <c r="K10" s="117">
        <v>-0.5</v>
      </c>
      <c r="L10" s="117">
        <v>5.5</v>
      </c>
      <c r="M10" s="117">
        <v>-4</v>
      </c>
      <c r="N10" s="117">
        <v>-1.5</v>
      </c>
      <c r="O10" s="117">
        <v>4.5</v>
      </c>
      <c r="P10" s="27"/>
      <c r="Q10" s="27"/>
      <c r="R10" s="27"/>
      <c r="S10" s="27"/>
      <c r="T10" s="27"/>
      <c r="U10" s="27"/>
      <c r="V10" s="27"/>
      <c r="W10" s="27"/>
      <c r="X10" s="27"/>
      <c r="Y10" s="27"/>
    </row>
    <row r="11" ht="1.95" customHeight="1" spans="1:25">
      <c r="P11" s="13"/>
      <c r="Q11" s="21"/>
      <c r="R11" s="21"/>
      <c r="S11" s="21"/>
      <c r="T11" s="21"/>
      <c r="U11" s="21"/>
    </row>
    <row r="12" s="14" customFormat="1" ht="25.2" customHeight="1" spans="1:25">
      <c r="A12" s="23" t="s">
        <v>43</v>
      </c>
      <c r="B12" s="23">
        <v>0</v>
      </c>
      <c r="C12" s="24" t="s">
        <v>115</v>
      </c>
      <c r="D12" s="11" t="s">
        <v>116</v>
      </c>
      <c r="E12" s="11" t="s">
        <v>46</v>
      </c>
      <c r="F12" s="11" t="s">
        <v>5</v>
      </c>
      <c r="G12" s="11" t="s">
        <v>6</v>
      </c>
      <c r="H12" s="11" t="s">
        <v>7</v>
      </c>
      <c r="I12" s="11" t="s">
        <v>8</v>
      </c>
      <c r="J12" s="11" t="s">
        <v>9</v>
      </c>
      <c r="K12" s="11" t="s">
        <v>10</v>
      </c>
      <c r="L12" s="11" t="s">
        <v>11</v>
      </c>
      <c r="M12" s="11" t="s">
        <v>12</v>
      </c>
      <c r="N12" s="11" t="s">
        <v>13</v>
      </c>
      <c r="O12" s="11" t="s">
        <v>14</v>
      </c>
      <c r="P12" s="35"/>
      <c r="Q12" s="26"/>
      <c r="R12" s="26"/>
      <c r="S12" s="26"/>
      <c r="T12" s="26"/>
      <c r="U12" s="26"/>
      <c r="V12" s="27"/>
      <c r="W12" s="27"/>
      <c r="X12" s="27"/>
      <c r="Y12" s="27"/>
    </row>
    <row r="13" s="14" customFormat="1" ht="21.9" customHeight="1" spans="1:25">
      <c r="A13" s="23"/>
      <c r="B13" s="23"/>
      <c r="C13" s="24">
        <v>0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25"/>
      <c r="Q13" s="26"/>
      <c r="R13" s="26"/>
      <c r="S13" s="26"/>
      <c r="T13" s="26"/>
      <c r="U13" s="26"/>
      <c r="V13" s="27"/>
      <c r="W13" s="27"/>
      <c r="X13" s="27"/>
      <c r="Y13" s="27"/>
    </row>
    <row r="14" s="14" customFormat="1" ht="21.9" customHeight="1" spans="1:25">
      <c r="A14" s="23" t="s">
        <v>47</v>
      </c>
      <c r="B14" s="23">
        <v>38184</v>
      </c>
      <c r="C14" s="24">
        <v>38184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25"/>
      <c r="Q14" s="26"/>
      <c r="R14" s="26"/>
      <c r="S14" s="26"/>
      <c r="T14" s="26"/>
      <c r="U14" s="26"/>
      <c r="V14" s="27"/>
      <c r="W14" s="27"/>
      <c r="X14" s="27"/>
      <c r="Y14" s="27"/>
    </row>
    <row r="15" s="14" customFormat="1" ht="21.9" customHeight="1" spans="1:25">
      <c r="A15" s="23" t="s">
        <v>48</v>
      </c>
      <c r="B15" s="23">
        <v>1.8</v>
      </c>
      <c r="C15" s="24">
        <v>1.8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25"/>
      <c r="Q15" s="26"/>
      <c r="R15" s="26"/>
      <c r="S15" s="26"/>
      <c r="T15" s="26"/>
      <c r="U15" s="26"/>
      <c r="V15" s="27"/>
      <c r="W15" s="27"/>
      <c r="X15" s="27"/>
      <c r="Y15" s="27"/>
    </row>
    <row r="16" ht="1.95" customHeight="1" spans="1:25">
      <c r="P16" s="13"/>
      <c r="Q16" s="21"/>
      <c r="R16" s="21"/>
      <c r="S16" s="21"/>
      <c r="T16" s="21"/>
      <c r="U16" s="21"/>
    </row>
    <row r="17" s="14" customFormat="1" ht="31.2" customHeight="1" spans="1:25">
      <c r="A17" s="23" t="s">
        <v>49</v>
      </c>
      <c r="B17" s="36">
        <v>-1.8</v>
      </c>
      <c r="C17" s="37" t="s">
        <v>50</v>
      </c>
      <c r="D17" s="37" t="s">
        <v>51</v>
      </c>
      <c r="E17" s="37" t="s">
        <v>52</v>
      </c>
      <c r="F17" s="37" t="s">
        <v>53</v>
      </c>
      <c r="G17" s="37" t="s">
        <v>54</v>
      </c>
      <c r="H17" s="37" t="s">
        <v>55</v>
      </c>
      <c r="I17" s="37" t="s">
        <v>56</v>
      </c>
      <c r="J17" s="37" t="s">
        <v>57</v>
      </c>
      <c r="K17" s="104" t="s">
        <v>117</v>
      </c>
      <c r="L17" s="11" t="s">
        <v>11</v>
      </c>
      <c r="M17" s="11" t="s">
        <v>12</v>
      </c>
      <c r="N17" s="11" t="s">
        <v>13</v>
      </c>
      <c r="O17" s="11" t="s">
        <v>14</v>
      </c>
      <c r="P17" s="27"/>
      <c r="Q17" s="27"/>
      <c r="R17" s="27"/>
      <c r="S17" s="27"/>
      <c r="T17" s="27"/>
      <c r="U17" s="27"/>
      <c r="V17" s="27"/>
      <c r="W17" s="27"/>
      <c r="X17" s="27"/>
      <c r="Y17" s="27"/>
    </row>
    <row r="18" s="14" customFormat="1" ht="21.9" customHeight="1" spans="1:25">
      <c r="A18" s="23"/>
      <c r="B18" s="39"/>
      <c r="C18" s="11">
        <v>0</v>
      </c>
      <c r="D18" s="11">
        <v>-0.2</v>
      </c>
      <c r="E18" s="11">
        <v>-2.2</v>
      </c>
      <c r="F18" s="11">
        <v>-2.8</v>
      </c>
      <c r="G18" s="11">
        <v>0.2</v>
      </c>
      <c r="H18" s="11">
        <v>0.15</v>
      </c>
      <c r="I18" s="11">
        <v>-1.4</v>
      </c>
      <c r="J18" s="11">
        <v>-1.8</v>
      </c>
      <c r="K18" s="104">
        <v>-1.8</v>
      </c>
      <c r="L18" s="11"/>
      <c r="M18" s="11"/>
      <c r="N18" s="11"/>
      <c r="O18" s="11"/>
      <c r="P18" s="43"/>
      <c r="Q18" s="27"/>
      <c r="R18" s="27"/>
      <c r="S18" s="27"/>
      <c r="T18" s="27"/>
      <c r="U18" s="27"/>
      <c r="V18" s="27"/>
      <c r="W18" s="27"/>
      <c r="X18" s="27"/>
      <c r="Y18" s="27"/>
    </row>
    <row r="19" ht="2.1" customHeight="1" spans="1:25">
      <c r="P19" s="131"/>
      <c r="Q19" s="131"/>
      <c r="R19" s="131"/>
      <c r="S19" s="131"/>
      <c r="T19" s="131"/>
      <c r="U19" s="131"/>
    </row>
    <row r="20" s="14" customFormat="1" ht="30" customHeight="1" spans="1:25">
      <c r="A20" s="23" t="s">
        <v>58</v>
      </c>
      <c r="B20" s="23">
        <v>1.5</v>
      </c>
      <c r="C20" s="29" t="s">
        <v>59</v>
      </c>
      <c r="D20" s="29" t="s">
        <v>60</v>
      </c>
      <c r="E20" s="29" t="s">
        <v>61</v>
      </c>
      <c r="F20" s="29" t="s">
        <v>62</v>
      </c>
      <c r="G20" s="46" t="s">
        <v>63</v>
      </c>
      <c r="H20" s="29" t="s">
        <v>64</v>
      </c>
      <c r="I20" s="29" t="s">
        <v>65</v>
      </c>
      <c r="J20" s="29" t="s">
        <v>66</v>
      </c>
      <c r="K20" s="29" t="s">
        <v>67</v>
      </c>
      <c r="L20" s="29" t="s">
        <v>68</v>
      </c>
      <c r="M20" s="29" t="s">
        <v>69</v>
      </c>
      <c r="N20" s="29" t="s">
        <v>70</v>
      </c>
      <c r="O20" s="29" t="s">
        <v>71</v>
      </c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="14" customFormat="1" ht="21.6" customHeight="1" spans="1:25">
      <c r="A21" s="23"/>
      <c r="B21" s="23"/>
      <c r="C21" s="11">
        <v>0</v>
      </c>
      <c r="D21" s="11">
        <v>0.4</v>
      </c>
      <c r="E21" s="11">
        <v>0.9</v>
      </c>
      <c r="F21" s="11">
        <v>1.2</v>
      </c>
      <c r="G21" s="104">
        <v>1.5</v>
      </c>
      <c r="H21" s="11">
        <v>0.2</v>
      </c>
      <c r="I21" s="11">
        <v>0.5</v>
      </c>
      <c r="J21" s="11"/>
      <c r="K21" s="11"/>
      <c r="L21" s="11"/>
      <c r="M21" s="11"/>
      <c r="N21" s="11"/>
      <c r="O21" s="11"/>
      <c r="P21" s="27"/>
      <c r="Q21" s="27"/>
      <c r="R21" s="27"/>
      <c r="S21" s="27"/>
      <c r="T21" s="27"/>
      <c r="U21" s="27"/>
      <c r="V21" s="27"/>
      <c r="W21" s="27"/>
      <c r="X21" s="27"/>
      <c r="Y21" s="27"/>
    </row>
    <row r="22" ht="2.1" customHeight="1" spans="1:25">
      <c r="P22" s="132"/>
      <c r="Q22" s="133"/>
      <c r="R22" s="133"/>
      <c r="S22" s="133"/>
      <c r="T22" s="133"/>
      <c r="U22" s="133"/>
    </row>
    <row r="23" s="14" customFormat="1" ht="21.6" hidden="1" customHeight="1" spans="1:25">
      <c r="A23" s="23" t="s">
        <v>72</v>
      </c>
      <c r="B23" s="23">
        <v>0</v>
      </c>
      <c r="C23" s="28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134"/>
      <c r="Q23" s="42"/>
      <c r="R23" s="42"/>
      <c r="S23" s="42"/>
      <c r="T23" s="42"/>
      <c r="U23" s="42"/>
      <c r="V23" s="27"/>
      <c r="W23" s="27"/>
      <c r="X23" s="27"/>
      <c r="Y23" s="27"/>
    </row>
    <row r="24" s="14" customFormat="1" ht="21.6" hidden="1" customHeight="1" spans="1:25">
      <c r="A24" s="23"/>
      <c r="B24" s="23"/>
      <c r="C24" s="24"/>
      <c r="D24" s="11"/>
      <c r="E24" s="11"/>
      <c r="F24" s="11"/>
      <c r="G24" s="40"/>
      <c r="H24" s="40"/>
      <c r="I24" s="11"/>
      <c r="J24" s="11"/>
      <c r="K24" s="11"/>
      <c r="L24" s="11"/>
      <c r="M24" s="11"/>
      <c r="N24" s="11"/>
      <c r="O24" s="11"/>
      <c r="P24" s="41"/>
      <c r="Q24" s="42"/>
      <c r="R24" s="42"/>
      <c r="S24" s="42"/>
      <c r="T24" s="42"/>
      <c r="U24" s="42"/>
      <c r="V24" s="27"/>
      <c r="W24" s="27"/>
      <c r="X24" s="27"/>
      <c r="Y24" s="27"/>
    </row>
    <row r="25" ht="2.1" customHeight="1" spans="1:25">
      <c r="P25" s="132"/>
      <c r="Q25" s="133"/>
      <c r="R25" s="133"/>
      <c r="S25" s="133"/>
      <c r="T25" s="133"/>
      <c r="U25" s="133"/>
    </row>
    <row r="26" s="14" customFormat="1" ht="21.6" customHeight="1" spans="1:25">
      <c r="A26" s="23" t="s">
        <v>73</v>
      </c>
      <c r="B26" s="23">
        <v>0</v>
      </c>
      <c r="C26" s="104" t="s">
        <v>74</v>
      </c>
      <c r="D26" s="29" t="s">
        <v>75</v>
      </c>
      <c r="E26" s="11" t="s">
        <v>76</v>
      </c>
      <c r="F26" s="29" t="s">
        <v>77</v>
      </c>
      <c r="G26" s="29" t="s">
        <v>78</v>
      </c>
      <c r="H26" s="29" t="s">
        <v>79</v>
      </c>
      <c r="I26" s="29" t="s">
        <v>80</v>
      </c>
      <c r="J26" s="29" t="s">
        <v>81</v>
      </c>
      <c r="K26" s="29" t="s">
        <v>82</v>
      </c>
      <c r="L26" s="29" t="s">
        <v>83</v>
      </c>
      <c r="M26" s="29" t="s">
        <v>84</v>
      </c>
      <c r="N26" s="29" t="s">
        <v>85</v>
      </c>
      <c r="O26" s="29" t="s">
        <v>86</v>
      </c>
      <c r="P26" s="134"/>
      <c r="Q26" s="42"/>
      <c r="R26" s="42"/>
      <c r="S26" s="42"/>
      <c r="T26" s="42"/>
      <c r="U26" s="42"/>
      <c r="V26" s="27"/>
      <c r="W26" s="27"/>
      <c r="X26" s="27"/>
      <c r="Y26" s="27"/>
    </row>
    <row r="27" s="14" customFormat="1" ht="21.6" customHeight="1" spans="1:25">
      <c r="A27" s="23"/>
      <c r="B27" s="23"/>
      <c r="C27" s="48">
        <v>0</v>
      </c>
      <c r="D27" s="49">
        <v>-1.2</v>
      </c>
      <c r="E27" s="49">
        <v>-1.2</v>
      </c>
      <c r="F27" s="50">
        <v>0.8</v>
      </c>
      <c r="G27" s="50"/>
      <c r="H27" s="50"/>
      <c r="I27" s="49"/>
      <c r="J27" s="49"/>
      <c r="K27" s="49"/>
      <c r="L27" s="49"/>
      <c r="M27" s="49"/>
      <c r="N27" s="49"/>
      <c r="O27" s="11"/>
      <c r="P27" s="44"/>
      <c r="Q27" s="45"/>
      <c r="R27" s="45"/>
      <c r="S27" s="45"/>
      <c r="T27" s="45"/>
      <c r="U27" s="45"/>
      <c r="V27" s="27"/>
      <c r="W27" s="27"/>
      <c r="X27" s="27"/>
      <c r="Y27" s="27"/>
    </row>
    <row r="28" s="15" customFormat="1" ht="22.2" customHeight="1" spans="1:25">
      <c r="A28" s="51" t="s">
        <v>87</v>
      </c>
      <c r="B28" s="51" t="s">
        <v>88</v>
      </c>
      <c r="C28" s="51" t="s">
        <v>89</v>
      </c>
      <c r="D28" s="51" t="s">
        <v>90</v>
      </c>
      <c r="E28" s="51">
        <v>33081</v>
      </c>
      <c r="F28" s="51" t="s">
        <v>91</v>
      </c>
      <c r="G28" s="51" t="s">
        <v>92</v>
      </c>
      <c r="H28" s="51" t="s">
        <v>93</v>
      </c>
      <c r="I28" s="51" t="s">
        <v>94</v>
      </c>
      <c r="J28" s="52" t="s">
        <v>95</v>
      </c>
      <c r="K28" s="53">
        <v>605</v>
      </c>
      <c r="L28" s="53">
        <v>610</v>
      </c>
      <c r="M28" s="53">
        <v>615</v>
      </c>
      <c r="N28" s="53">
        <v>620</v>
      </c>
      <c r="O28" s="53">
        <v>625</v>
      </c>
      <c r="P28" s="53">
        <v>630</v>
      </c>
      <c r="Q28" s="53">
        <v>635</v>
      </c>
      <c r="R28" s="53">
        <v>640</v>
      </c>
      <c r="S28" s="53">
        <v>645</v>
      </c>
      <c r="T28" s="53">
        <v>650</v>
      </c>
      <c r="U28" s="54" t="s">
        <v>96</v>
      </c>
    </row>
    <row r="29" s="14" customFormat="1" ht="18" customHeight="1" spans="1:25">
      <c r="A29" s="55" t="s">
        <v>118</v>
      </c>
      <c r="B29" s="55" t="s">
        <v>98</v>
      </c>
      <c r="C29" s="124">
        <v>0.247</v>
      </c>
      <c r="D29" s="57"/>
      <c r="E29" s="58">
        <v>38184</v>
      </c>
      <c r="F29" s="59">
        <f t="shared" ref="F29:F48" si="0">C29*E29/1000</f>
        <v>9.431448</v>
      </c>
      <c r="G29" s="59">
        <f t="shared" ref="G29:G37" si="1">F29*66</f>
        <v>622.475568</v>
      </c>
      <c r="H29" s="60">
        <f>I29/G29</f>
        <v>0.981666851957915</v>
      </c>
      <c r="I29" s="61">
        <f>G29*(H30+0.15%)</f>
        <v>611.063631259275</v>
      </c>
      <c r="J29" s="61"/>
      <c r="K29" s="62">
        <f>(NORMSDIST((I29-$K$28)/B15)-NORMSDIST((I29-$L$28)/B15))</f>
        <v>0.27691397752321</v>
      </c>
      <c r="L29" s="62">
        <f>(NORMSDIST((I29-$L$28)/B15)-NORMSDIST((I29-$M$28)/B15))</f>
        <v>0.70833243051753</v>
      </c>
      <c r="M29" s="63">
        <f>(NORMSDIST((I29-$M$28)/B15)-NORMSDIST((I29-$N$28)/B15))</f>
        <v>0.0143756080482013</v>
      </c>
      <c r="N29" s="63">
        <f>(NORMSDIST((I29-$N$28)/B15)-NORMSDIST((I29-$O$28)/B15))</f>
        <v>3.44126611539095e-7</v>
      </c>
      <c r="O29" s="63">
        <f>(NORMSDIST((I29-$O$28)/B15)-NORMSDIST((I29-$P$28)/B15))</f>
        <v>4.87683581164187e-15</v>
      </c>
      <c r="P29" s="63">
        <f>(NORMSDIST((I29-$P$28)/B15)-NORMSDIST((I29-$Q$28)/B15))</f>
        <v>3.4860913683832e-26</v>
      </c>
      <c r="Q29" s="63">
        <f>(NORMSDIST((I29-$Q$28)/B15)-NORMSDIST((I29-$R$28)/B15))</f>
        <v>1.18899051011486e-40</v>
      </c>
      <c r="R29" s="63">
        <f>(NORMSDIST((I29-$R$28)/B15)-NORMSDIST((I29-$S$28)/B15))</f>
        <v>1.8866732671459e-58</v>
      </c>
      <c r="S29" s="63">
        <f>(NORMSDIST((I29-$S$28)/B15)-NORMSDIST((I29-$T$28)/B15))</f>
        <v>1.37415406442861e-79</v>
      </c>
      <c r="T29" s="63"/>
      <c r="U29" s="64">
        <f t="shared" ref="U29:U48" si="2">SUM(K29:T29)</f>
        <v>0.999622360215557</v>
      </c>
    </row>
    <row r="30" s="14" customFormat="1" ht="18" customHeight="1" spans="1:25">
      <c r="A30" s="65"/>
      <c r="B30" s="65"/>
      <c r="C30" s="56">
        <f t="shared" ref="C30:C48" si="3">C29+0.1%</f>
        <v>0.248</v>
      </c>
      <c r="D30" s="66"/>
      <c r="E30" s="58">
        <v>38184</v>
      </c>
      <c r="F30" s="59">
        <f t="shared" si="0"/>
        <v>9.469632</v>
      </c>
      <c r="G30" s="59">
        <f t="shared" si="1"/>
        <v>624.995712</v>
      </c>
      <c r="H30" s="60">
        <f t="shared" ref="H30:H48" si="4">I30/G30</f>
        <v>0.980166851957916</v>
      </c>
      <c r="I30" s="61">
        <f t="shared" ref="I30:I35" si="5">G30*(H31+0.15%)</f>
        <v>612.600079518236</v>
      </c>
      <c r="J30" s="61"/>
      <c r="K30" s="62">
        <f>(NORMSDIST((I30-$K$28)/B15)-NORMSDIST((I30-$L$28)/B15))</f>
        <v>0.0742886962057284</v>
      </c>
      <c r="L30" s="62">
        <f>(NORMSDIST((I30-$L$28)/B15)-NORMSDIST((I30-$M$28)/B15))</f>
        <v>0.8344807455146</v>
      </c>
      <c r="M30" s="63">
        <f>(NORMSDIST((I30-$M$28)/B15)-NORMSDIST((I30-$N$28)/B15))</f>
        <v>0.0911987736291759</v>
      </c>
      <c r="N30" s="63">
        <f>(NORMSDIST((I30-$N$28)/B15)-NORMSDIST((I30-$O$28)/B15))</f>
        <v>1.96917471643486e-5</v>
      </c>
      <c r="O30" s="63">
        <f>(NORMSDIST((I30-$O$28)/B15)-NORMSDIST((I30-$P$28)/B15))</f>
        <v>2.81236483458161e-12</v>
      </c>
      <c r="P30" s="63">
        <f>(NORMSDIST((I30-$P$28)/B15)-NORMSDIST((I30-$Q$28)/B15))</f>
        <v>2.08971975636809e-22</v>
      </c>
      <c r="Q30" s="63">
        <f>(NORMSDIST((I30-$Q$28)/B15)-NORMSDIST((I30-$R$28)/B15))</f>
        <v>7.50034342923425e-36</v>
      </c>
      <c r="R30" s="63">
        <f>(NORMSDIST((I30-$R$28)/B15)-NORMSDIST((L30-$S$28)/B15))</f>
        <v>1.25999856387735e-52</v>
      </c>
      <c r="S30" s="63">
        <f>(NORMSDIST((I30-$S$28)/B15)-NORMSDIST((I30-$T$28)/B15))</f>
        <v>9.74872160115679e-73</v>
      </c>
      <c r="T30" s="63"/>
      <c r="U30" s="64">
        <f t="shared" si="2"/>
        <v>0.999987907099481</v>
      </c>
    </row>
    <row r="31" s="14" customFormat="1" ht="18" customHeight="1" spans="1:25">
      <c r="A31" s="65"/>
      <c r="B31" s="65"/>
      <c r="C31" s="56">
        <f t="shared" si="3"/>
        <v>0.249</v>
      </c>
      <c r="D31" s="67"/>
      <c r="E31" s="58">
        <v>38184</v>
      </c>
      <c r="F31" s="59">
        <f t="shared" si="0"/>
        <v>9.507816</v>
      </c>
      <c r="G31" s="59">
        <f t="shared" si="1"/>
        <v>627.515856</v>
      </c>
      <c r="H31" s="60">
        <f t="shared" si="4"/>
        <v>0.978666851957916</v>
      </c>
      <c r="I31" s="61">
        <f t="shared" si="5"/>
        <v>614.128967345197</v>
      </c>
      <c r="J31" s="68"/>
      <c r="K31" s="62">
        <f>(NORMSDIST((I31-$K$28)/B15)-NORMSDIST((I31-$L$28)/B15))</f>
        <v>0.0108987648838171</v>
      </c>
      <c r="L31" s="62">
        <f>(NORMSDIST((I31-$L$28)/B15)-NORMSDIST((I31-$M$28)/B15))</f>
        <v>0.674875112586835</v>
      </c>
      <c r="M31" s="63">
        <f>(NORMSDIST((I31-$M$28)/B15)-NORMSDIST((I31-$N$28)/B15))</f>
        <v>0.313672164270056</v>
      </c>
      <c r="N31" s="69">
        <f>(NORMSDIST((I31-$N$28)/B15)-NORMSDIST((I31-$O$28)/B15))</f>
        <v>0.000553760294007934</v>
      </c>
      <c r="O31" s="69">
        <f>(NORMSDIST((I31-$O$28)/B15)-NORMSDIST((I31-$P$28)/B15))</f>
        <v>7.73141801557711e-10</v>
      </c>
      <c r="P31" s="63">
        <f>(NORMSDIST((I31-$P$28)/B15)-NORMSDIST((I31-$Q$28)/B15))</f>
        <v>5.86576114027796e-19</v>
      </c>
      <c r="Q31" s="63">
        <f>(NORMSDIST((I31-$Q$28)/B15)-NORMSDIST((I31-$R$28)/B15))</f>
        <v>2.18386541825892e-31</v>
      </c>
      <c r="R31" s="63">
        <f>(NORMSDIST((I31-$R$28)/B15)-NORMSDIST((L31-$S$28)/B15))</f>
        <v>3.83361701357366e-47</v>
      </c>
      <c r="S31" s="63">
        <f>(NORMSDIST((I31-$S$28)/B15)-NORMSDIST((I31-$T$28)/B15))</f>
        <v>3.11175107732579e-66</v>
      </c>
      <c r="T31" s="63"/>
      <c r="U31" s="64">
        <f t="shared" si="2"/>
        <v>0.999999802807858</v>
      </c>
    </row>
    <row r="32" s="16" customFormat="1" ht="18" customHeight="1" spans="1:25">
      <c r="A32" s="65"/>
      <c r="B32" s="65"/>
      <c r="C32" s="56">
        <f t="shared" si="3"/>
        <v>0.25</v>
      </c>
      <c r="D32" s="67"/>
      <c r="E32" s="58">
        <v>38184</v>
      </c>
      <c r="F32" s="70">
        <f t="shared" si="0"/>
        <v>9.546</v>
      </c>
      <c r="G32" s="59">
        <f t="shared" si="1"/>
        <v>630.036</v>
      </c>
      <c r="H32" s="71">
        <f t="shared" si="4"/>
        <v>0.977166851957916</v>
      </c>
      <c r="I32" s="61">
        <f t="shared" si="5"/>
        <v>615.650294740157</v>
      </c>
      <c r="J32" s="72"/>
      <c r="K32" s="73">
        <f>(NORMSDIST((I32-$K$28)/B15)-NORMSDIST((I32-$L$28)/B15))</f>
        <v>0.000847473363259854</v>
      </c>
      <c r="L32" s="73">
        <f>(NORMSDIST((I32-$L$28)/B15)-NORMSDIST((I32-$M$28)/B15))</f>
        <v>0.358099519231001</v>
      </c>
      <c r="M32" s="73">
        <f>(NORMSDIST((I32-$M$28)/B15)-NORMSDIST((I32-$N$28)/B15))</f>
        <v>0.633217805538031</v>
      </c>
      <c r="N32" s="73">
        <f>(NORMSDIST((I32-$N$28)/B15)-NORMSDIST((I32-$O$28)/B15))</f>
        <v>0.00783509747025187</v>
      </c>
      <c r="O32" s="73">
        <f>(NORMSDIST((I32-$O$28)/B15)-NORMSDIST((I32-$P$28)/B15))</f>
        <v>1.02756431672075e-7</v>
      </c>
      <c r="P32" s="73">
        <f>(NORMSDIST((I32-$P$28)/B15)-NORMSDIST((I32-$Q$28)/B15))</f>
        <v>7.80264638174978e-16</v>
      </c>
      <c r="Q32" s="73">
        <f>(NORMSDIST((I32-$Q$28)/B15)-NORMSDIST((I32-$R$28)/B15))</f>
        <v>2.96834566899935e-27</v>
      </c>
      <c r="R32" s="73">
        <f>(NORMSDIST((I32-$R$28)/B15)-NORMSDIST((L32-$S$28)/B15))</f>
        <v>5.37274903804232e-42</v>
      </c>
      <c r="S32" s="63">
        <f>(NORMSDIST((I32-$S$28)/B15)-NORMSDIST((I32-$T$28)/B15))</f>
        <v>4.51788328756285e-60</v>
      </c>
      <c r="T32" s="63"/>
      <c r="U32" s="64">
        <f t="shared" si="2"/>
        <v>0.999999998358976</v>
      </c>
    </row>
    <row r="33" s="14" customFormat="1" ht="18" customHeight="1" spans="1:21">
      <c r="A33" s="65"/>
      <c r="B33" s="65"/>
      <c r="C33" s="56">
        <f t="shared" si="3"/>
        <v>0.251</v>
      </c>
      <c r="D33" s="76"/>
      <c r="E33" s="58">
        <v>38184</v>
      </c>
      <c r="F33" s="59">
        <f t="shared" si="0"/>
        <v>9.584184</v>
      </c>
      <c r="G33" s="59">
        <f t="shared" si="1"/>
        <v>632.556144</v>
      </c>
      <c r="H33" s="60">
        <f t="shared" si="4"/>
        <v>0.975666851957916</v>
      </c>
      <c r="I33" s="61">
        <f t="shared" si="5"/>
        <v>617.164061703118</v>
      </c>
      <c r="J33" s="72"/>
      <c r="K33" s="62">
        <f>(NORMSDIST((I33-$K$28)/B15)-NORMSDIST((I33-$L$28)/B15))</f>
        <v>3.44526587181537e-5</v>
      </c>
      <c r="L33" s="62">
        <f>(NORMSDIST((I33-$L$28)/B15)-NORMSDIST((I33-$M$28)/B15))</f>
        <v>0.114597629476484</v>
      </c>
      <c r="M33" s="63">
        <f>(NORMSDIST((I33-$M$28)/B15)-NORMSDIST((I33-$N$28)/B15))</f>
        <v>0.827799832154155</v>
      </c>
      <c r="N33" s="63">
        <f>(NORMSDIST((I33-$N$28)/B15)-NORMSDIST((I33-$O$28)/B15))</f>
        <v>0.0575613805028125</v>
      </c>
      <c r="O33" s="63">
        <f>(NORMSDIST((I33-$O$28)/B15)-NORMSDIST((I33-$P$28)/B15))</f>
        <v>6.7052003274711e-6</v>
      </c>
      <c r="P33" s="63">
        <f>(NORMSDIST((I33-$P$28)/B15)-NORMSDIST((I33-$Q$28)/B15))</f>
        <v>4.97933535562461e-13</v>
      </c>
      <c r="Q33" s="63">
        <f>(NORMSDIST((I33-$Q$28)/B15)-NORMSDIST((I33-$R$28)/B15))</f>
        <v>1.90494352050073e-23</v>
      </c>
      <c r="R33" s="63">
        <f>(NORMSDIST((I33-$R$28)/B15)-NORMSDIST((L33-$S$28)/B15))</f>
        <v>3.50685968552758e-37</v>
      </c>
      <c r="S33" s="63">
        <f>(NORMSDIST((I33-$S$28)/B15)-NORMSDIST((I33-$T$28)/B15))</f>
        <v>3.01616354323426e-54</v>
      </c>
      <c r="T33" s="63"/>
      <c r="U33" s="64">
        <f t="shared" si="2"/>
        <v>0.999999999992995</v>
      </c>
    </row>
    <row r="34" s="14" customFormat="1" ht="18" customHeight="1" spans="1:21">
      <c r="A34" s="65"/>
      <c r="B34" s="65"/>
      <c r="C34" s="56">
        <f t="shared" si="3"/>
        <v>0.252</v>
      </c>
      <c r="D34" s="76"/>
      <c r="E34" s="58">
        <v>38184</v>
      </c>
      <c r="F34" s="59">
        <f t="shared" si="0"/>
        <v>9.622368</v>
      </c>
      <c r="G34" s="59">
        <f t="shared" si="1"/>
        <v>635.076288</v>
      </c>
      <c r="H34" s="60">
        <f t="shared" si="4"/>
        <v>0.974166851957916</v>
      </c>
      <c r="I34" s="61">
        <f t="shared" si="5"/>
        <v>618.670268234079</v>
      </c>
      <c r="J34" s="75"/>
      <c r="K34" s="62">
        <f>(NORMSDIST((I34-$K$28)/B15)-NORMSDIST((I34-$L$28)/B15))</f>
        <v>7.2933654071683e-7</v>
      </c>
      <c r="L34" s="62">
        <f>(NORMSDIST((I34-$L$28)/B15)-NORMSDIST((I34-$M$28)/B15))</f>
        <v>0.0207223928457319</v>
      </c>
      <c r="M34" s="63">
        <f>(NORMSDIST((I34-$M$28)/B15)-NORMSDIST((I34-$N$28)/B15))</f>
        <v>0.74924439249606</v>
      </c>
      <c r="N34" s="63">
        <f>(NORMSDIST((I34-$N$28)/B15)-NORMSDIST((I34-$O$28)/B15))</f>
        <v>0.229813861526383</v>
      </c>
      <c r="O34" s="63">
        <f>(NORMSDIST((I34-$O$28)/B15)-NORMSDIST((I34-$P$28)/B15))</f>
        <v>0.000218623640869492</v>
      </c>
      <c r="P34" s="63">
        <f>(NORMSDIST((I34-$P$28)/B15)-NORMSDIST((I34-$Q$28)/B15))</f>
        <v>1.5439961272936e-10</v>
      </c>
      <c r="Q34" s="63">
        <f>(NORMSDIST((I34-$Q$28)/B15)-NORMSDIST((I34-$R$28)/B15))</f>
        <v>5.8386802955416e-20</v>
      </c>
      <c r="R34" s="63">
        <f>(NORMSDIST((I34-$R$28)/B15)-NORMSDIST((L34-$S$28)/B15))</f>
        <v>1.07786908044743e-32</v>
      </c>
      <c r="S34" s="63">
        <f>(NORMSDIST((I34-$S$28)/B15)-NORMSDIST((I34-$T$28)/B15))</f>
        <v>9.3599236219958e-49</v>
      </c>
      <c r="T34" s="63"/>
      <c r="U34" s="64">
        <f t="shared" si="2"/>
        <v>0.999999999999984</v>
      </c>
    </row>
    <row r="35" s="14" customFormat="1" ht="18" customHeight="1" spans="1:21">
      <c r="A35" s="65"/>
      <c r="B35" s="65"/>
      <c r="C35" s="124">
        <f t="shared" si="3"/>
        <v>0.253</v>
      </c>
      <c r="D35" s="125">
        <v>0.0295456190081947</v>
      </c>
      <c r="E35" s="126">
        <v>38184</v>
      </c>
      <c r="F35" s="127">
        <f t="shared" si="0"/>
        <v>9.660552</v>
      </c>
      <c r="G35" s="127">
        <f t="shared" si="1"/>
        <v>637.596432</v>
      </c>
      <c r="H35" s="128">
        <f t="shared" si="4"/>
        <v>0.972666851957916</v>
      </c>
      <c r="I35" s="127">
        <f t="shared" si="5"/>
        <v>620.168914333039</v>
      </c>
      <c r="J35" s="136"/>
      <c r="K35" s="69">
        <f>(NORMSDIST((I35-$K$28)/B15)-NORMSDIST((I35-$L$28)/B15))</f>
        <v>8.05058808506232e-9</v>
      </c>
      <c r="L35" s="69">
        <f>(NORMSDIST((I35-$L$28)/B15)-NORMSDIST((I35-$M$28)/B15))</f>
        <v>0.0020418664423838</v>
      </c>
      <c r="M35" s="69">
        <f>(NORMSDIST((I35-$M$28)/B15)-NORMSDIST((I35-$N$28)/B15))</f>
        <v>0.460575738925414</v>
      </c>
      <c r="N35" s="69">
        <f>(NORMSDIST((I35-$N$28)/B15)-NORMSDIST((I35-$O$28)/B15))</f>
        <v>0.53374434015582</v>
      </c>
      <c r="O35" s="69">
        <f>(NORMSDIST((I35-$O$28)/B15)-NORMSDIST((I35-$P$28)/B15))</f>
        <v>0.0036380228478616</v>
      </c>
      <c r="P35" s="69">
        <f>(NORMSDIST((I35-$P$28)/B15)-NORMSDIST((I35-$Q$28)/B15))</f>
        <v>2.35779328647904e-8</v>
      </c>
      <c r="Q35" s="63">
        <f>(NORMSDIST((I35-$Q$28)/B15)-NORMSDIST((I35-$R$28)/B15))</f>
        <v>8.64716596448281e-17</v>
      </c>
      <c r="R35" s="63">
        <f>(NORMSDIST((I35-$R$28)/B15)-NORMSDIST((I35-$S$28)/B15))</f>
        <v>1.57741518873701e-28</v>
      </c>
      <c r="S35" s="63">
        <f>(NORMSDIST((I35-$S$28)/B15)-NORMSDIST((I35-$T$28)/B15))</f>
        <v>1.36486333431536e-43</v>
      </c>
      <c r="T35" s="63"/>
      <c r="U35" s="64">
        <f t="shared" si="2"/>
        <v>1</v>
      </c>
    </row>
    <row r="36" s="16" customFormat="1" ht="18" customHeight="1" spans="1:21">
      <c r="A36" s="65"/>
      <c r="B36" s="65"/>
      <c r="C36" s="137">
        <f t="shared" si="3"/>
        <v>0.254</v>
      </c>
      <c r="D36" s="125">
        <v>0.116401899135563</v>
      </c>
      <c r="E36" s="138">
        <v>38184</v>
      </c>
      <c r="F36" s="139">
        <f t="shared" si="0"/>
        <v>9.698736</v>
      </c>
      <c r="G36" s="139">
        <f t="shared" si="1"/>
        <v>640.116576</v>
      </c>
      <c r="H36" s="140">
        <f t="shared" si="4"/>
        <v>0.971166851957916</v>
      </c>
      <c r="I36" s="139">
        <v>621.66</v>
      </c>
      <c r="J36" s="139" t="s">
        <v>99</v>
      </c>
      <c r="K36" s="141">
        <f>(NORMSDIST((I36-$K$28)/B15)-NORMSDIST((I36-$L$28)/B15))</f>
        <v>4.65416594153112e-11</v>
      </c>
      <c r="L36" s="141">
        <f>(NORMSDIST((I36-$L$28)/B15)-NORMSDIST((I36-$M$28)/B15))</f>
        <v>0.00010779968693575</v>
      </c>
      <c r="M36" s="141">
        <f>(NORMSDIST((I36-$M$28)/B15)-NORMSDIST((I36-$N$28)/B15))</f>
        <v>0.178098537268014</v>
      </c>
      <c r="N36" s="141">
        <f>(NORMSDIST((I36-$N$28)/B15)-NORMSDIST((I36-$O$28)/B15))</f>
        <v>0.790035196194998</v>
      </c>
      <c r="O36" s="141">
        <f>(NORMSDIST((I36-$O$28)/B15)-NORMSDIST((I36-$P$28)/B15))</f>
        <v>0.0317566676811999</v>
      </c>
      <c r="P36" s="141">
        <f>(NORMSDIST((I36-$P$28)/B15)-NORMSDIST((I36-$Q$28)/B15))</f>
        <v>1.79912224824996e-6</v>
      </c>
      <c r="Q36" s="84">
        <f>(NORMSDIST((I36-$Q$28)/B15)-NORMSDIST((I36-$R$28)/B15))</f>
        <v>6.26227959817427e-14</v>
      </c>
      <c r="R36" s="84">
        <f>(NORMSDIST((I36-$R$28)/B15)-NORMSDIST((I36-$S$28)/B15))</f>
        <v>1.11145112872958e-24</v>
      </c>
      <c r="S36" s="84">
        <f>(NORMSDIST((I36-$S$28)/B15)-NORMSDIST((I36-$T$28)/B15))</f>
        <v>9.45377595348266e-39</v>
      </c>
      <c r="T36" s="84"/>
      <c r="U36" s="85">
        <f t="shared" si="2"/>
        <v>1</v>
      </c>
    </row>
    <row r="37" s="27" customFormat="1" ht="18" customHeight="1" spans="1:21">
      <c r="A37" s="65"/>
      <c r="B37" s="65"/>
      <c r="C37" s="107">
        <f t="shared" si="3"/>
        <v>0.255</v>
      </c>
      <c r="D37" s="66">
        <v>0.218609267434653</v>
      </c>
      <c r="E37" s="108">
        <v>38184</v>
      </c>
      <c r="F37" s="109">
        <f t="shared" si="0"/>
        <v>9.73692</v>
      </c>
      <c r="G37" s="109">
        <f t="shared" si="1"/>
        <v>642.63672</v>
      </c>
      <c r="H37" s="71">
        <f t="shared" si="4"/>
        <v>0.969666851957916</v>
      </c>
      <c r="I37" s="61">
        <f t="shared" ref="I37:I48" si="6">G37*(H36-0.15%)</f>
        <v>623.143525234961</v>
      </c>
      <c r="J37" s="61"/>
      <c r="K37" s="73">
        <f>(NORMSDIST((I37-$K$28)/B15)-NORMSDIST((I37-$L$28)/B15))</f>
        <v>1.41775480244632e-13</v>
      </c>
      <c r="L37" s="73">
        <f>(NORMSDIST((I37-$L$28)/B15)-NORMSDIST((I37-$M$28)/B15))</f>
        <v>3.03149548230852e-6</v>
      </c>
      <c r="M37" s="73">
        <f>(NORMSDIST((I37-$M$28)/B15)-NORMSDIST((I37-$N$28)/B15))</f>
        <v>0.0403674509797053</v>
      </c>
      <c r="N37" s="73">
        <f>(NORMSDIST((I37-$N$28)/B15)-NORMSDIST((I37-$O$28)/B15))</f>
        <v>0.808446987039077</v>
      </c>
      <c r="O37" s="73">
        <f>(NORMSDIST((I37-$O$28)/B15)-NORMSDIST((I37-$P$28)/B15))</f>
        <v>0.151112808558935</v>
      </c>
      <c r="P37" s="73">
        <f>(NORMSDIST((I37-$P$28)/B15)-NORMSDIST((I37-$Q$28)/B15))</f>
        <v>6.97219042077057e-5</v>
      </c>
      <c r="Q37" s="73">
        <f>(NORMSDIST((I37-$Q$28)/B15)-NORMSDIST((I37-$R$28)/B15))</f>
        <v>2.24506277998611e-11</v>
      </c>
      <c r="R37" s="73">
        <f>(NORMSDIST((I37-$R$28)/B15)-NORMSDIST((I37-$S$28)/B15))</f>
        <v>3.81303594164623e-21</v>
      </c>
      <c r="S37" s="73">
        <f>(NORMSDIST((I37-$S$28)/B15)-NORMSDIST((I37-$T$28)/B15))</f>
        <v>3.14429626844329e-34</v>
      </c>
      <c r="T37" s="73"/>
      <c r="U37" s="107">
        <f t="shared" si="2"/>
        <v>1</v>
      </c>
    </row>
    <row r="38" s="27" customFormat="1" ht="18" customHeight="1" spans="1:21">
      <c r="A38" s="65"/>
      <c r="B38" s="65"/>
      <c r="C38" s="107">
        <f t="shared" si="3"/>
        <v>0.256</v>
      </c>
      <c r="D38" s="66">
        <v>0.369406061808223</v>
      </c>
      <c r="E38" s="108">
        <v>38184</v>
      </c>
      <c r="F38" s="109">
        <f t="shared" si="0"/>
        <v>9.775104</v>
      </c>
      <c r="G38" s="109">
        <f t="shared" ref="G38:G48" si="7">F38*66</f>
        <v>645.156864</v>
      </c>
      <c r="H38" s="71">
        <f t="shared" si="4"/>
        <v>0.968166851957916</v>
      </c>
      <c r="I38" s="61">
        <f t="shared" si="6"/>
        <v>624.619490037921</v>
      </c>
      <c r="J38" s="61"/>
      <c r="K38" s="73">
        <f>(NORMSDIST((I38-$K$28)/B15)-NORMSDIST((I38-$L$28)/B15))</f>
        <v>0</v>
      </c>
      <c r="L38" s="73">
        <f>(NORMSDIST((I38-$L$28)/B15)-NORMSDIST((I38-$M$28)/B15))</f>
        <v>4.5418368621597e-8</v>
      </c>
      <c r="M38" s="73">
        <f>(NORMSDIST((I38-$M$28)/B15)-NORMSDIST((I38-$N$28)/B15))</f>
        <v>0.00513821371673528</v>
      </c>
      <c r="N38" s="73">
        <f>(NORMSDIST((I38-$N$28)/B15)-NORMSDIST((I38-$O$28)/B15))</f>
        <v>0.578571986902329</v>
      </c>
      <c r="O38" s="73">
        <f>(NORMSDIST((I38-$O$28)/B15)-NORMSDIST((I38-$P$28)/B15))</f>
        <v>0.41489108182751</v>
      </c>
      <c r="P38" s="73">
        <f>(NORMSDIST((I38-$P$28)/B15)-NORMSDIST((I38-$Q$28)/B15))</f>
        <v>0.00139866809910683</v>
      </c>
      <c r="Q38" s="73">
        <f>(NORMSDIST((I38-$Q$28)/B15)-NORMSDIST((I38-$R$28)/B15))</f>
        <v>4.03594984872221e-9</v>
      </c>
      <c r="R38" s="73">
        <f>(NORMSDIST((I38-$R$28)/B15)-NORMSDIST((I38-$S$28)/B15))</f>
        <v>6.44198167153449e-18</v>
      </c>
      <c r="S38" s="73">
        <f>(NORMSDIST((I38-$S$28)/B15)-NORMSDIST((I38-$T$28)/B15))</f>
        <v>5.07639966460692e-30</v>
      </c>
      <c r="T38" s="73"/>
      <c r="U38" s="107">
        <f t="shared" si="2"/>
        <v>1</v>
      </c>
    </row>
    <row r="39" s="27" customFormat="1" ht="18" customHeight="1" spans="1:21">
      <c r="A39" s="65"/>
      <c r="B39" s="65"/>
      <c r="C39" s="107">
        <f t="shared" si="3"/>
        <v>0.257</v>
      </c>
      <c r="D39" s="66">
        <v>0.203636120836822</v>
      </c>
      <c r="E39" s="108">
        <v>38184</v>
      </c>
      <c r="F39" s="109">
        <f t="shared" si="0"/>
        <v>9.813288</v>
      </c>
      <c r="G39" s="109">
        <f t="shared" si="7"/>
        <v>647.677008</v>
      </c>
      <c r="H39" s="71">
        <f t="shared" si="4"/>
        <v>0.966666851957916</v>
      </c>
      <c r="I39" s="61">
        <f t="shared" si="6"/>
        <v>626.087894408882</v>
      </c>
      <c r="J39" s="61"/>
      <c r="K39" s="73">
        <f>(NORMSDIST((I39-$K$28)/B15)-NORMSDIST((I39-$L$28)/B15))</f>
        <v>0</v>
      </c>
      <c r="L39" s="73">
        <f>(NORMSDIST((I39-$L$28)/B15)-NORMSDIST((I39-$M$28)/B15))</f>
        <v>3.63859498087038e-10</v>
      </c>
      <c r="M39" s="73">
        <f>(NORMSDIST((I39-$M$28)/B15)-NORMSDIST((I39-$N$28)/B15))</f>
        <v>0.000359586191167605</v>
      </c>
      <c r="N39" s="73">
        <f>(NORMSDIST((I39-$N$28)/B15)-NORMSDIST((I39-$O$28)/B15))</f>
        <v>0.272434006364324</v>
      </c>
      <c r="O39" s="73">
        <f>(NORMSDIST((I39-$O$28)/B15)-NORMSDIST((I39-$P$28)/B15))</f>
        <v>0.712330993678317</v>
      </c>
      <c r="P39" s="73">
        <f>(NORMSDIST((I39-$P$28)/B15)-NORMSDIST((I39-$Q$28)/B15))</f>
        <v>0.0148750445587688</v>
      </c>
      <c r="Q39" s="73">
        <f>(NORMSDIST((I39-$Q$28)/B15)-NORMSDIST((I39-$R$28)/B15))</f>
        <v>3.68843557751616e-7</v>
      </c>
      <c r="R39" s="73">
        <f>(NORMSDIST((I39-$R$28)/B15)-NORMSDIST((I39-$S$28)/B15))</f>
        <v>5.4219668650841e-15</v>
      </c>
      <c r="S39" s="73">
        <f>(NORMSDIST((I39-$S$28)/B15)-NORMSDIST((I39-$T$28)/B15))</f>
        <v>4.02191278078535e-26</v>
      </c>
      <c r="T39" s="73"/>
      <c r="U39" s="107">
        <f t="shared" si="2"/>
        <v>1</v>
      </c>
    </row>
    <row r="40" s="14" customFormat="1" ht="18" customHeight="1" spans="1:21">
      <c r="A40" s="65"/>
      <c r="B40" s="65"/>
      <c r="C40" s="56">
        <f t="shared" si="3"/>
        <v>0.258</v>
      </c>
      <c r="D40" s="76">
        <v>0.0559544242125723</v>
      </c>
      <c r="E40" s="58">
        <v>38184</v>
      </c>
      <c r="F40" s="59">
        <f t="shared" si="0"/>
        <v>9.851472</v>
      </c>
      <c r="G40" s="59">
        <f t="shared" si="7"/>
        <v>650.197152</v>
      </c>
      <c r="H40" s="60">
        <f t="shared" si="4"/>
        <v>0.965166851957916</v>
      </c>
      <c r="I40" s="61">
        <f t="shared" si="6"/>
        <v>627.548738347843</v>
      </c>
      <c r="J40" s="61"/>
      <c r="K40" s="62">
        <f>(NORMSDIST((I40-$K$28)/B15)-NORMSDIST((I40-$L$28)/B15))</f>
        <v>0</v>
      </c>
      <c r="L40" s="62">
        <f>(NORMSDIST((I40-$L$28)/B15)-NORMSDIST((I40-$M$28)/B15))</f>
        <v>1.56763491077072e-12</v>
      </c>
      <c r="M40" s="63">
        <f>(NORMSDIST((I40-$M$28)/B15)-NORMSDIST((I40-$N$28)/B15))</f>
        <v>1.3719408645696e-5</v>
      </c>
      <c r="N40" s="63">
        <f>(NORMSDIST((I40-$N$28)/B15)-NORMSDIST((I40-$O$28)/B15))</f>
        <v>0.0783790470479717</v>
      </c>
      <c r="O40" s="63">
        <f>(NORMSDIST((I40-$O$28)/B15)-NORMSDIST((I40-$P$28)/B15))</f>
        <v>0.834978626357388</v>
      </c>
      <c r="P40" s="63">
        <f>(NORMSDIST((I40-$P$28)/B15)-NORMSDIST((I40-$Q$28)/B15))</f>
        <v>0.0866112108155349</v>
      </c>
      <c r="Q40" s="63">
        <f>(NORMSDIST((I40-$Q$28)/B15)-NORMSDIST((I40-$R$28)/B15))</f>
        <v>1.73963665910743e-5</v>
      </c>
      <c r="R40" s="63">
        <f>(NORMSDIST((I40-$R$28)/B15)-NORMSDIST((I40-$S$28)/B15))</f>
        <v>2.30056555247e-12</v>
      </c>
      <c r="S40" s="63">
        <f>(NORMSDIST((I40-$S$28)/B15)-NORMSDIST((I40-$T$28)/B15))</f>
        <v>1.58093556670633e-22</v>
      </c>
      <c r="T40" s="63"/>
      <c r="U40" s="64">
        <f t="shared" si="2"/>
        <v>1</v>
      </c>
    </row>
    <row r="41" s="14" customFormat="1" ht="18" customHeight="1" spans="1:21">
      <c r="A41" s="65"/>
      <c r="B41" s="65"/>
      <c r="C41" s="56">
        <f t="shared" si="3"/>
        <v>0.259</v>
      </c>
      <c r="D41" s="76">
        <v>0.006446607563972</v>
      </c>
      <c r="E41" s="58">
        <v>38184</v>
      </c>
      <c r="F41" s="59">
        <f t="shared" si="0"/>
        <v>9.889656</v>
      </c>
      <c r="G41" s="59">
        <f t="shared" si="7"/>
        <v>652.717296</v>
      </c>
      <c r="H41" s="60">
        <f t="shared" si="4"/>
        <v>0.963666851957917</v>
      </c>
      <c r="I41" s="61">
        <f t="shared" si="6"/>
        <v>629.002021854804</v>
      </c>
      <c r="J41" s="61"/>
      <c r="K41" s="62">
        <f>(NORMSDIST((I41-$K$28)/B15)-NORMSDIST((I41-$L$28)/B15))</f>
        <v>0</v>
      </c>
      <c r="L41" s="62">
        <f>(NORMSDIST((I41-$L$28)/B15)-NORMSDIST((I41-$M$28)/B15))</f>
        <v>3.66373598126302e-15</v>
      </c>
      <c r="M41" s="63">
        <f>(NORMSDIST((I41-$M$28)/B15)-NORMSDIST((I41-$N$28)/B15))</f>
        <v>2.84986287568678e-7</v>
      </c>
      <c r="N41" s="63">
        <f>(NORMSDIST((I41-$N$28)/B15)-NORMSDIST((I41-$O$28)/B15))</f>
        <v>0.0130959716764432</v>
      </c>
      <c r="O41" s="63">
        <f>(NORMSDIST((I41-$O$28)/B15)-NORMSDIST((I41-$P$28)/B15))</f>
        <v>0.697262231383911</v>
      </c>
      <c r="P41" s="63">
        <f>(NORMSDIST((I41-$P$28)/B15)-NORMSDIST((I41-$Q$28)/B15))</f>
        <v>0.289210716004326</v>
      </c>
      <c r="Q41" s="63">
        <f>(NORMSDIST((I41-$Q$28)/B15)-NORMSDIST((I41-$R$28)/B15))</f>
        <v>0.000430795450834614</v>
      </c>
      <c r="R41" s="63">
        <f>(NORMSDIST((I41-$R$28)/B15)-NORMSDIST((I41-$S$28)/B15))</f>
        <v>4.98193600011393e-10</v>
      </c>
      <c r="S41" s="63">
        <f>(NORMSDIST((I41-$S$28)/B15)-NORMSDIST((I41-$T$28)/B15))</f>
        <v>3.11750114087805e-19</v>
      </c>
      <c r="T41" s="63"/>
      <c r="U41" s="64">
        <f t="shared" si="2"/>
        <v>1</v>
      </c>
    </row>
    <row r="42" s="14" customFormat="1" ht="18" customHeight="1" spans="1:21">
      <c r="A42" s="65"/>
      <c r="B42" s="65"/>
      <c r="C42" s="56">
        <f t="shared" si="3"/>
        <v>0.26</v>
      </c>
      <c r="D42" s="76"/>
      <c r="E42" s="58">
        <v>38184</v>
      </c>
      <c r="F42" s="59">
        <f t="shared" si="0"/>
        <v>9.92784</v>
      </c>
      <c r="G42" s="59">
        <f t="shared" si="7"/>
        <v>655.23744</v>
      </c>
      <c r="H42" s="60">
        <f t="shared" si="4"/>
        <v>0.962166851957917</v>
      </c>
      <c r="I42" s="61">
        <f t="shared" si="6"/>
        <v>630.447744929764</v>
      </c>
      <c r="J42" s="61"/>
      <c r="K42" s="62">
        <f>(NORMSDIST((I42-$K$28)/B15)-NORMSDIST((I42-$L$28)/B15))</f>
        <v>0</v>
      </c>
      <c r="L42" s="62">
        <f>(NORMSDIST((I42-$L$28)/B15)-NORMSDIST((I42-$M$28)/B15))</f>
        <v>0</v>
      </c>
      <c r="M42" s="63">
        <f>(NORMSDIST((I42-$M$28)/B15)-NORMSDIST((I42-$N$28)/B15))</f>
        <v>3.23172022476115e-9</v>
      </c>
      <c r="N42" s="63">
        <f>(NORMSDIST((I42-$N$28)/B15)-NORMSDIST((I42-$O$28)/B15))</f>
        <v>0.00123690874384474</v>
      </c>
      <c r="O42" s="63">
        <f>(NORMSDIST((I42-$O$28)/B15)-NORMSDIST((I42-$P$28)/B15))</f>
        <v>0.400541262396371</v>
      </c>
      <c r="P42" s="63">
        <f>(NORMSDIST((I42-$P$28)/B15)-NORMSDIST((I42-$Q$28)/B15))</f>
        <v>0.592502922806366</v>
      </c>
      <c r="Q42" s="63">
        <f>(NORMSDIST((I42-$Q$28)/B15)-NORMSDIST((I42-$R$28)/B15))</f>
        <v>0.00571884704102238</v>
      </c>
      <c r="R42" s="63">
        <f>(NORMSDIST((I42-$R$28)/B15)-NORMSDIST((I42-$S$28)/B15))</f>
        <v>5.57806755133146e-8</v>
      </c>
      <c r="S42" s="63">
        <f>(NORMSDIST((I42-$S$28)/B15)-NORMSDIST((I42-$T$28)/B15))</f>
        <v>3.11878210121392e-16</v>
      </c>
      <c r="T42" s="63"/>
      <c r="U42" s="64">
        <f t="shared" si="2"/>
        <v>1</v>
      </c>
    </row>
    <row r="43" s="14" customFormat="1" ht="18" customHeight="1" spans="1:21">
      <c r="A43" s="65"/>
      <c r="B43" s="65"/>
      <c r="C43" s="56">
        <f t="shared" si="3"/>
        <v>0.261</v>
      </c>
      <c r="D43" s="76"/>
      <c r="E43" s="58">
        <v>38184</v>
      </c>
      <c r="F43" s="59">
        <f t="shared" si="0"/>
        <v>9.966024</v>
      </c>
      <c r="G43" s="59">
        <f t="shared" si="7"/>
        <v>657.757584</v>
      </c>
      <c r="H43" s="60">
        <f t="shared" si="4"/>
        <v>0.960666851957917</v>
      </c>
      <c r="I43" s="61">
        <f t="shared" si="6"/>
        <v>631.885907572725</v>
      </c>
      <c r="J43" s="61"/>
      <c r="K43" s="62">
        <f>(NORMSDIST((I43-$K$28)/B15)-NORMSDIST((I43-$L$28)/B15))</f>
        <v>0</v>
      </c>
      <c r="L43" s="62">
        <f>(NORMSDIST((I43-$L$28)/B15)-NORMSDIST((I43-$M$28)/B15))</f>
        <v>0</v>
      </c>
      <c r="M43" s="63">
        <f>(NORMSDIST((I43-$M$28)/B15)-NORMSDIST((I43-$N$28)/B15))</f>
        <v>2.01076932881961e-11</v>
      </c>
      <c r="N43" s="63">
        <f>(NORMSDIST((I43-$N$28)/B15)-NORMSDIST((I43-$O$28)/B15))</f>
        <v>6.52523326789556e-5</v>
      </c>
      <c r="O43" s="63">
        <f>(NORMSDIST((I43-$O$28)/B15)-NORMSDIST((I43-$P$28)/B15))</f>
        <v>0.147317081222025</v>
      </c>
      <c r="P43" s="63">
        <f>(NORMSDIST((I43-$P$28)/B15)-NORMSDIST((I43-$Q$28)/B15))</f>
        <v>0.81080711570283</v>
      </c>
      <c r="Q43" s="63">
        <f>(NORMSDIST((I43-$Q$28)/B15)-NORMSDIST((I43-$R$28)/B15))</f>
        <v>0.0418072760079924</v>
      </c>
      <c r="R43" s="63">
        <f>(NORMSDIST((I43-$R$28)/B15)-NORMSDIST((I43-$S$28)/B15))</f>
        <v>3.274714206717e-6</v>
      </c>
      <c r="S43" s="63">
        <f>(NORMSDIST((I43-$S$28)/B15)-NORMSDIST((I43-$T$28)/B15))</f>
        <v>1.60112713977928e-13</v>
      </c>
      <c r="T43" s="63"/>
      <c r="U43" s="64">
        <f t="shared" si="2"/>
        <v>1</v>
      </c>
    </row>
    <row r="44" s="14" customFormat="1" ht="18" customHeight="1" spans="1:21">
      <c r="A44" s="65"/>
      <c r="B44" s="65"/>
      <c r="C44" s="56">
        <f t="shared" si="3"/>
        <v>0.262</v>
      </c>
      <c r="D44" s="76"/>
      <c r="E44" s="58">
        <v>38184</v>
      </c>
      <c r="F44" s="59">
        <f t="shared" si="0"/>
        <v>10.004208</v>
      </c>
      <c r="G44" s="59">
        <f t="shared" si="7"/>
        <v>660.277728</v>
      </c>
      <c r="H44" s="60">
        <f t="shared" si="4"/>
        <v>0.959166851957917</v>
      </c>
      <c r="I44" s="61">
        <f t="shared" si="6"/>
        <v>633.316509783686</v>
      </c>
      <c r="J44" s="61"/>
      <c r="K44" s="62">
        <f>(NORMSDIST((I44-$K$28)/B15)-NORMSDIST((I44-$L$28)/B15))</f>
        <v>0</v>
      </c>
      <c r="L44" s="62">
        <f>(NORMSDIST((I44-$L$28)/B15)-NORMSDIST((I44-$M$28)/B15))</f>
        <v>0</v>
      </c>
      <c r="M44" s="63">
        <f>(NORMSDIST((I44-$M$28)/B15)-NORMSDIST((I44-$N$28)/B15))</f>
        <v>6.90558721316847e-14</v>
      </c>
      <c r="N44" s="63">
        <f>(NORMSDIST((I44-$N$28)/B15)-NORMSDIST((I44-$O$28)/B15))</f>
        <v>1.91608280075695e-6</v>
      </c>
      <c r="O44" s="63">
        <f>(NORMSDIST((I44-$O$28)/B15)-NORMSDIST((I44-$P$28)/B15))</f>
        <v>0.0326987100184563</v>
      </c>
      <c r="P44" s="63">
        <f>(NORMSDIST((I44-$P$28)/B15)-NORMSDIST((I44-$Q$28)/B15))</f>
        <v>0.792475391438661</v>
      </c>
      <c r="Q44" s="63">
        <f>(NORMSDIST((I44-$Q$28)/B15)-NORMSDIST((I44-$R$28)/B15))</f>
        <v>0.174721594303102</v>
      </c>
      <c r="R44" s="63">
        <f>(NORMSDIST((I44-$R$28)/B15)-NORMSDIST((I44-$S$28)/B15))</f>
        <v>0.000102388114228627</v>
      </c>
      <c r="S44" s="63">
        <f>(NORMSDIST((I44-$S$28)/B15)-NORMSDIST((I44-$T$28)/B15))</f>
        <v>4.26829763634767e-11</v>
      </c>
      <c r="T44" s="63"/>
      <c r="U44" s="64">
        <f t="shared" si="2"/>
        <v>1</v>
      </c>
    </row>
    <row r="45" s="14" customFormat="1" ht="18" customHeight="1" spans="1:21">
      <c r="A45" s="65"/>
      <c r="B45" s="65"/>
      <c r="C45" s="56">
        <f t="shared" si="3"/>
        <v>0.263</v>
      </c>
      <c r="D45" s="87"/>
      <c r="E45" s="58">
        <v>38184</v>
      </c>
      <c r="F45" s="59">
        <f t="shared" si="0"/>
        <v>10.042392</v>
      </c>
      <c r="G45" s="59">
        <f t="shared" si="7"/>
        <v>662.797872</v>
      </c>
      <c r="H45" s="60">
        <f t="shared" si="4"/>
        <v>0.957666851957917</v>
      </c>
      <c r="I45" s="61">
        <f t="shared" si="6"/>
        <v>634.739551562646</v>
      </c>
      <c r="J45" s="61"/>
      <c r="K45" s="62">
        <f>(NORMSDIST((I45-$K$28)/B15)-NORMSDIST((I45-$L$28)/B15))</f>
        <v>0</v>
      </c>
      <c r="L45" s="62">
        <f>(NORMSDIST((I45-$L$28)/B15)-NORMSDIST((I45-$M$28)/B15))</f>
        <v>0</v>
      </c>
      <c r="M45" s="63">
        <f>(NORMSDIST((I45-$M$28)/B15)-NORMSDIST((I45-$N$28)/B15))</f>
        <v>0</v>
      </c>
      <c r="N45" s="63">
        <f>(NORMSDIST((I45-$N$28)/B15)-NORMSDIST((I45-$O$28)/B15))</f>
        <v>3.1361050534251e-8</v>
      </c>
      <c r="O45" s="63">
        <f>(NORMSDIST((I45-$O$28)/B15)-NORMSDIST((I45-$P$28)/B15))</f>
        <v>0.00423063702631998</v>
      </c>
      <c r="P45" s="63">
        <f>(NORMSDIST((I45-$P$28)/B15)-NORMSDIST((I45-$Q$28)/B15))</f>
        <v>0.553292926038625</v>
      </c>
      <c r="Q45" s="63">
        <f>(NORMSDIST((I45-$Q$28)/B15)-NORMSDIST((I45-$R$28)/B15))</f>
        <v>0.440740077757333</v>
      </c>
      <c r="R45" s="63">
        <f>(NORMSDIST((I45-$R$28)/B15)-NORMSDIST((I45-$S$28)/B15))</f>
        <v>0.00173632183504864</v>
      </c>
      <c r="S45" s="63">
        <f>(NORMSDIST((I45-$S$28)/B15)-NORMSDIST((I45-$T$28)/B15))</f>
        <v>5.98162322079866e-9</v>
      </c>
      <c r="T45" s="63"/>
      <c r="U45" s="64">
        <f t="shared" si="2"/>
        <v>1</v>
      </c>
    </row>
    <row r="46" s="14" customFormat="1" ht="18" customHeight="1" spans="1:21">
      <c r="A46" s="65"/>
      <c r="B46" s="65"/>
      <c r="C46" s="56">
        <f t="shared" si="3"/>
        <v>0.264</v>
      </c>
      <c r="D46" s="87"/>
      <c r="E46" s="58">
        <v>38184</v>
      </c>
      <c r="F46" s="59">
        <f t="shared" si="0"/>
        <v>10.080576</v>
      </c>
      <c r="G46" s="59">
        <f t="shared" si="7"/>
        <v>665.318016</v>
      </c>
      <c r="H46" s="60">
        <f t="shared" si="4"/>
        <v>0.956166851957917</v>
      </c>
      <c r="I46" s="61">
        <f t="shared" si="6"/>
        <v>636.155032909607</v>
      </c>
      <c r="J46" s="61"/>
      <c r="K46" s="62">
        <f>(NORMSDIST((I46-$K$28)/B15)-NORMSDIST((I46-$L$28)/B15))</f>
        <v>0</v>
      </c>
      <c r="L46" s="62">
        <f>(NORMSDIST((I46-$L$28)/B15)-NORMSDIST((I46-$M$28)/B15))</f>
        <v>0</v>
      </c>
      <c r="M46" s="63">
        <f>(NORMSDIST((I46-$M$28)/B15)-NORMSDIST((I46-$N$28)/B15))</f>
        <v>0</v>
      </c>
      <c r="N46" s="63">
        <f>(NORMSDIST((I46-$N$28)/B15)-NORMSDIST((I46-$O$28)/B15))</f>
        <v>2.87308288271504e-10</v>
      </c>
      <c r="O46" s="63">
        <f>(NORMSDIST((I46-$O$28)/B15)-NORMSDIST((I46-$P$28)/B15))</f>
        <v>0.000313724351413969</v>
      </c>
      <c r="P46" s="63">
        <f>(NORMSDIST((I46-$P$28)/B15)-NORMSDIST((I46-$Q$28)/B15))</f>
        <v>0.260225156934434</v>
      </c>
      <c r="Q46" s="63">
        <f>(NORMSDIST((I46-$Q$28)/B15)-NORMSDIST((I46-$R$28)/B15))</f>
        <v>0.723125194310264</v>
      </c>
      <c r="R46" s="63">
        <f>(NORMSDIST((I46-$R$28)/B15)-NORMSDIST((I46-$S$28)/B15))</f>
        <v>0.0163354776381041</v>
      </c>
      <c r="S46" s="63">
        <f>(NORMSDIST((I46-$S$28)/B15)-NORMSDIST((I46-$T$28)/B15))</f>
        <v>4.46478468091555e-7</v>
      </c>
      <c r="T46" s="63"/>
      <c r="U46" s="64">
        <f t="shared" si="2"/>
        <v>0.999999999999993</v>
      </c>
    </row>
    <row r="47" s="14" customFormat="1" ht="18" customHeight="1" spans="1:21">
      <c r="A47" s="65"/>
      <c r="B47" s="65"/>
      <c r="C47" s="56">
        <f t="shared" si="3"/>
        <v>0.265</v>
      </c>
      <c r="D47" s="87"/>
      <c r="E47" s="58">
        <v>38184</v>
      </c>
      <c r="F47" s="59">
        <f t="shared" si="0"/>
        <v>10.11876</v>
      </c>
      <c r="G47" s="59">
        <f t="shared" si="7"/>
        <v>667.83816</v>
      </c>
      <c r="H47" s="60">
        <f t="shared" si="4"/>
        <v>0.954666851957917</v>
      </c>
      <c r="I47" s="61">
        <f t="shared" si="6"/>
        <v>637.562953824568</v>
      </c>
      <c r="J47" s="61"/>
      <c r="K47" s="62">
        <f>(NORMSDIST((I47-$K$28)/B15)-NORMSDIST((I47-$L$28)/B15))</f>
        <v>0</v>
      </c>
      <c r="L47" s="62">
        <f>(NORMSDIST((I47-$L$28)/B15)-NORMSDIST((I47-$M$28)/B15))</f>
        <v>0</v>
      </c>
      <c r="M47" s="63">
        <f>(NORMSDIST((I47-$M$28)/B15)-NORMSDIST((I47-$N$28)/B15))</f>
        <v>0</v>
      </c>
      <c r="N47" s="63">
        <f>(NORMSDIST((I47-$N$28)/B15)-NORMSDIST((I47-$O$28)/B15))</f>
        <v>1.48203671557212e-12</v>
      </c>
      <c r="O47" s="63">
        <f>(NORMSDIST((I47-$O$28)/B15)-NORMSDIST((I47-$P$28)/B15))</f>
        <v>1.32493537654543e-5</v>
      </c>
      <c r="P47" s="63">
        <f>(NORMSDIST((I47-$P$28)/B15)-NORMSDIST((I47-$Q$28)/B15))</f>
        <v>0.0772297836434577</v>
      </c>
      <c r="Q47" s="63">
        <f>(NORMSDIST((I47-$Q$28)/B15)-NORMSDIST((I47-$R$28)/B15))</f>
        <v>0.834875145223375</v>
      </c>
      <c r="R47" s="63">
        <f>(NORMSDIST((I47-$R$28)/B15)-NORMSDIST((I47-$S$28)/B15))</f>
        <v>0.0878638166667512</v>
      </c>
      <c r="S47" s="63">
        <f>(NORMSDIST((I47-$S$28)/B15)-NORMSDIST((I47-$T$28)/B15))</f>
        <v>1.80051087365149e-5</v>
      </c>
      <c r="T47" s="63"/>
      <c r="U47" s="64">
        <f t="shared" si="2"/>
        <v>0.999999999997568</v>
      </c>
    </row>
    <row r="48" s="14" customFormat="1" ht="18" customHeight="1" spans="1:21">
      <c r="A48" s="65"/>
      <c r="B48" s="65"/>
      <c r="C48" s="56">
        <f t="shared" si="3"/>
        <v>0.266</v>
      </c>
      <c r="D48" s="87"/>
      <c r="E48" s="58">
        <v>38184</v>
      </c>
      <c r="F48" s="59">
        <f t="shared" si="0"/>
        <v>10.156944</v>
      </c>
      <c r="G48" s="59">
        <f t="shared" si="7"/>
        <v>670.358304</v>
      </c>
      <c r="H48" s="60">
        <f t="shared" si="4"/>
        <v>0.953166851957917</v>
      </c>
      <c r="I48" s="61">
        <f t="shared" si="6"/>
        <v>638.963314307528</v>
      </c>
      <c r="J48" s="61"/>
      <c r="K48" s="62">
        <f>(NORMSDIST((I48-$K$28)/B15)-NORMSDIST((I48-$L$28)/B15))</f>
        <v>0</v>
      </c>
      <c r="L48" s="62">
        <f>(NORMSDIST((I48-$L$28)/B15)-NORMSDIST((I48-$M$28)/B15))</f>
        <v>0</v>
      </c>
      <c r="M48" s="63">
        <f>(NORMSDIST((I48-$M$28)/B15)-NORMSDIST((I48-$N$28)/B15))</f>
        <v>0</v>
      </c>
      <c r="N48" s="63">
        <f>(NORMSDIST((I48-$N$28)/B15)-NORMSDIST((I48-$O$28)/B15))</f>
        <v>4.32986979603811e-15</v>
      </c>
      <c r="O48" s="63">
        <f>(NORMSDIST((I48-$O$28)/B15)-NORMSDIST((I48-$P$28)/B15))</f>
        <v>3.18547745625786e-7</v>
      </c>
      <c r="P48" s="63">
        <f>(NORMSDIST((I48-$P$28)/B15)-NORMSDIST((I48-$Q$28)/B15))</f>
        <v>0.0138379423934487</v>
      </c>
      <c r="Q48" s="63">
        <f>(NORMSDIST((I48-$Q$28)/B15)-NORMSDIST((I48-$R$28)/B15))</f>
        <v>0.703832685970474</v>
      </c>
      <c r="R48" s="63">
        <f>(NORMSDIST((I48-$R$28)/B15)-NORMSDIST((I48-$S$28)/B15))</f>
        <v>0.281930379830437</v>
      </c>
      <c r="S48" s="63">
        <f>(NORMSDIST((I48-$S$28)/B15)-NORMSDIST((I48-$T$28)/B15))</f>
        <v>0.000398672822596793</v>
      </c>
      <c r="T48" s="63"/>
      <c r="U48" s="64">
        <f t="shared" si="2"/>
        <v>0.999999999564707</v>
      </c>
    </row>
    <row r="49" s="14" customFormat="1" ht="9.6" customHeight="1" spans="4:21">
      <c r="D49" s="88"/>
    </row>
    <row r="50" s="14" customFormat="1" ht="18" customHeight="1" spans="4:21">
      <c r="D50" s="89"/>
      <c r="I50" s="90" t="s">
        <v>90</v>
      </c>
      <c r="J50" s="90" t="s">
        <v>89</v>
      </c>
      <c r="K50" s="53">
        <f>K28</f>
        <v>605</v>
      </c>
      <c r="L50" s="53">
        <f t="shared" ref="L50:T50" si="8">L28</f>
        <v>610</v>
      </c>
      <c r="M50" s="53">
        <f t="shared" si="8"/>
        <v>615</v>
      </c>
      <c r="N50" s="53">
        <f t="shared" si="8"/>
        <v>620</v>
      </c>
      <c r="O50" s="53">
        <f t="shared" si="8"/>
        <v>625</v>
      </c>
      <c r="P50" s="53">
        <f t="shared" si="8"/>
        <v>630</v>
      </c>
      <c r="Q50" s="53">
        <f t="shared" si="8"/>
        <v>635</v>
      </c>
      <c r="R50" s="53">
        <f t="shared" si="8"/>
        <v>640</v>
      </c>
      <c r="S50" s="53">
        <f t="shared" si="8"/>
        <v>645</v>
      </c>
      <c r="T50" s="53">
        <f t="shared" si="8"/>
        <v>650</v>
      </c>
      <c r="U50" s="54" t="s">
        <v>96</v>
      </c>
    </row>
    <row r="51" s="14" customFormat="1" ht="18" customHeight="1" spans="4:21">
      <c r="I51" s="91">
        <f t="shared" ref="I51:I70" si="9">D29</f>
        <v>0</v>
      </c>
      <c r="J51" s="56">
        <f t="shared" ref="J51:J70" si="10">C29</f>
        <v>0.247</v>
      </c>
      <c r="K51" s="63">
        <f t="shared" ref="K51:K70" si="11">D29*K29</f>
        <v>0</v>
      </c>
      <c r="L51" s="63">
        <f t="shared" ref="L51:L70" si="12">D29*L29</f>
        <v>0</v>
      </c>
      <c r="M51" s="63">
        <f t="shared" ref="M51:M70" si="13">D29*M29</f>
        <v>0</v>
      </c>
      <c r="N51" s="63">
        <f t="shared" ref="N51:N70" si="14">D29*N29</f>
        <v>0</v>
      </c>
      <c r="O51" s="63">
        <f t="shared" ref="O51:O70" si="15">D29*O29</f>
        <v>0</v>
      </c>
      <c r="P51" s="63">
        <f t="shared" ref="P51:P70" si="16">D29*P29</f>
        <v>0</v>
      </c>
      <c r="Q51" s="63">
        <f t="shared" ref="Q51:Q70" si="17">D29*Q29</f>
        <v>0</v>
      </c>
      <c r="R51" s="63">
        <f t="shared" ref="R51:R70" si="18">D29*R29</f>
        <v>0</v>
      </c>
      <c r="S51" s="63">
        <f t="shared" ref="S51:S70" si="19">S29*D29</f>
        <v>0</v>
      </c>
      <c r="T51" s="63"/>
      <c r="U51" s="64"/>
    </row>
    <row r="52" s="14" customFormat="1" ht="18" customHeight="1" spans="4:21">
      <c r="I52" s="91">
        <f t="shared" si="9"/>
        <v>0</v>
      </c>
      <c r="J52" s="56">
        <f t="shared" si="10"/>
        <v>0.248</v>
      </c>
      <c r="K52" s="63">
        <f t="shared" si="11"/>
        <v>0</v>
      </c>
      <c r="L52" s="63">
        <f t="shared" si="12"/>
        <v>0</v>
      </c>
      <c r="M52" s="63">
        <f t="shared" si="13"/>
        <v>0</v>
      </c>
      <c r="N52" s="63">
        <f t="shared" si="14"/>
        <v>0</v>
      </c>
      <c r="O52" s="63">
        <f t="shared" si="15"/>
        <v>0</v>
      </c>
      <c r="P52" s="63">
        <f t="shared" si="16"/>
        <v>0</v>
      </c>
      <c r="Q52" s="63">
        <f t="shared" si="17"/>
        <v>0</v>
      </c>
      <c r="R52" s="63">
        <f t="shared" si="18"/>
        <v>0</v>
      </c>
      <c r="S52" s="63">
        <f t="shared" si="19"/>
        <v>0</v>
      </c>
      <c r="T52" s="63"/>
      <c r="U52" s="64"/>
    </row>
    <row r="53" s="14" customFormat="1" ht="18" customHeight="1" spans="4:21">
      <c r="I53" s="91">
        <f t="shared" si="9"/>
        <v>0</v>
      </c>
      <c r="J53" s="56">
        <f t="shared" si="10"/>
        <v>0.249</v>
      </c>
      <c r="K53" s="63">
        <f t="shared" si="11"/>
        <v>0</v>
      </c>
      <c r="L53" s="63">
        <f t="shared" si="12"/>
        <v>0</v>
      </c>
      <c r="M53" s="63">
        <f t="shared" si="13"/>
        <v>0</v>
      </c>
      <c r="N53" s="63">
        <f t="shared" si="14"/>
        <v>0</v>
      </c>
      <c r="O53" s="63">
        <f t="shared" si="15"/>
        <v>0</v>
      </c>
      <c r="P53" s="63">
        <f t="shared" si="16"/>
        <v>0</v>
      </c>
      <c r="Q53" s="63">
        <f t="shared" si="17"/>
        <v>0</v>
      </c>
      <c r="R53" s="63">
        <f t="shared" si="18"/>
        <v>0</v>
      </c>
      <c r="S53" s="63">
        <f t="shared" si="19"/>
        <v>0</v>
      </c>
      <c r="T53" s="63"/>
      <c r="U53" s="64"/>
    </row>
    <row r="54" s="14" customFormat="1" ht="18" customHeight="1" spans="4:21">
      <c r="I54" s="91">
        <f t="shared" si="9"/>
        <v>0</v>
      </c>
      <c r="J54" s="56">
        <f t="shared" si="10"/>
        <v>0.25</v>
      </c>
      <c r="K54" s="73">
        <f t="shared" si="11"/>
        <v>0</v>
      </c>
      <c r="L54" s="73">
        <f t="shared" si="12"/>
        <v>0</v>
      </c>
      <c r="M54" s="73">
        <f t="shared" si="13"/>
        <v>0</v>
      </c>
      <c r="N54" s="73">
        <f t="shared" si="14"/>
        <v>0</v>
      </c>
      <c r="O54" s="73">
        <f t="shared" si="15"/>
        <v>0</v>
      </c>
      <c r="P54" s="73">
        <f t="shared" si="16"/>
        <v>0</v>
      </c>
      <c r="Q54" s="73">
        <f t="shared" si="17"/>
        <v>0</v>
      </c>
      <c r="R54" s="73">
        <f t="shared" si="18"/>
        <v>0</v>
      </c>
      <c r="S54" s="73">
        <f t="shared" si="19"/>
        <v>0</v>
      </c>
      <c r="T54" s="63"/>
      <c r="U54" s="64"/>
    </row>
    <row r="55" s="14" customFormat="1" ht="18" customHeight="1" spans="4:21">
      <c r="I55" s="91">
        <f t="shared" si="9"/>
        <v>0</v>
      </c>
      <c r="J55" s="56">
        <f t="shared" si="10"/>
        <v>0.251</v>
      </c>
      <c r="K55" s="63">
        <f t="shared" si="11"/>
        <v>0</v>
      </c>
      <c r="L55" s="63">
        <f t="shared" si="12"/>
        <v>0</v>
      </c>
      <c r="M55" s="63">
        <f t="shared" si="13"/>
        <v>0</v>
      </c>
      <c r="N55" s="63">
        <f t="shared" si="14"/>
        <v>0</v>
      </c>
      <c r="O55" s="63">
        <f t="shared" si="15"/>
        <v>0</v>
      </c>
      <c r="P55" s="63">
        <f t="shared" si="16"/>
        <v>0</v>
      </c>
      <c r="Q55" s="63">
        <f t="shared" si="17"/>
        <v>0</v>
      </c>
      <c r="R55" s="63">
        <f t="shared" si="18"/>
        <v>0</v>
      </c>
      <c r="S55" s="63">
        <f t="shared" si="19"/>
        <v>0</v>
      </c>
      <c r="T55" s="63"/>
      <c r="U55" s="64"/>
    </row>
    <row r="56" s="14" customFormat="1" ht="18" customHeight="1" spans="4:21">
      <c r="I56" s="91">
        <f t="shared" si="9"/>
        <v>0</v>
      </c>
      <c r="J56" s="56">
        <f t="shared" si="10"/>
        <v>0.252</v>
      </c>
      <c r="K56" s="63">
        <f t="shared" si="11"/>
        <v>0</v>
      </c>
      <c r="L56" s="63">
        <f t="shared" si="12"/>
        <v>0</v>
      </c>
      <c r="M56" s="63">
        <f t="shared" si="13"/>
        <v>0</v>
      </c>
      <c r="N56" s="63">
        <f t="shared" si="14"/>
        <v>0</v>
      </c>
      <c r="O56" s="63">
        <f t="shared" si="15"/>
        <v>0</v>
      </c>
      <c r="P56" s="63">
        <f t="shared" si="16"/>
        <v>0</v>
      </c>
      <c r="Q56" s="63">
        <f t="shared" si="17"/>
        <v>0</v>
      </c>
      <c r="R56" s="63">
        <f t="shared" si="18"/>
        <v>0</v>
      </c>
      <c r="S56" s="63">
        <f t="shared" si="19"/>
        <v>0</v>
      </c>
      <c r="T56" s="63"/>
      <c r="U56" s="64"/>
    </row>
    <row r="57" s="14" customFormat="1" ht="18" customHeight="1" spans="4:21">
      <c r="I57" s="91">
        <f t="shared" si="9"/>
        <v>0.0295456190081947</v>
      </c>
      <c r="J57" s="56">
        <f t="shared" si="10"/>
        <v>0.253</v>
      </c>
      <c r="K57" s="63">
        <f t="shared" si="11"/>
        <v>2.37859608353163e-10</v>
      </c>
      <c r="L57" s="63">
        <f t="shared" si="12"/>
        <v>6.03282079722897e-5</v>
      </c>
      <c r="M57" s="63">
        <f t="shared" si="13"/>
        <v>0.013607995306708</v>
      </c>
      <c r="N57" s="63">
        <f t="shared" si="14"/>
        <v>0.0157698069220241</v>
      </c>
      <c r="O57" s="63">
        <f t="shared" si="15"/>
        <v>0.000107487637006026</v>
      </c>
      <c r="P57" s="63">
        <f t="shared" si="16"/>
        <v>6.96624621423889e-10</v>
      </c>
      <c r="Q57" s="63">
        <f t="shared" si="17"/>
        <v>2.55485871087237e-18</v>
      </c>
      <c r="R57" s="63">
        <f t="shared" si="18"/>
        <v>4.66057081841634e-30</v>
      </c>
      <c r="S57" s="63">
        <f t="shared" si="19"/>
        <v>4.03257320739359e-45</v>
      </c>
      <c r="T57" s="63"/>
      <c r="U57" s="64"/>
    </row>
    <row r="58" s="14" customFormat="1" ht="18" customHeight="1" spans="4:21">
      <c r="I58" s="91">
        <f t="shared" si="9"/>
        <v>0.116401899135563</v>
      </c>
      <c r="J58" s="56">
        <f t="shared" si="10"/>
        <v>0.254</v>
      </c>
      <c r="K58" s="63">
        <f t="shared" si="11"/>
        <v>5.41753754486278e-12</v>
      </c>
      <c r="L58" s="63">
        <f t="shared" si="12"/>
        <v>1.25480882855404e-5</v>
      </c>
      <c r="M58" s="63">
        <f t="shared" si="13"/>
        <v>0.0207310079712626</v>
      </c>
      <c r="N58" s="63">
        <f t="shared" si="14"/>
        <v>0.0919615972210349</v>
      </c>
      <c r="O58" s="63">
        <f t="shared" si="15"/>
        <v>0.00369653642830863</v>
      </c>
      <c r="P58" s="63">
        <f t="shared" si="16"/>
        <v>2.09421246473339e-7</v>
      </c>
      <c r="Q58" s="63">
        <f t="shared" si="17"/>
        <v>7.28941238145376e-15</v>
      </c>
      <c r="R58" s="63">
        <f t="shared" si="18"/>
        <v>1.29375022180489e-25</v>
      </c>
      <c r="S58" s="63">
        <f t="shared" si="19"/>
        <v>1.1004374749875e-39</v>
      </c>
      <c r="T58" s="63"/>
      <c r="U58" s="64"/>
    </row>
    <row r="59" s="14" customFormat="1" ht="18" customHeight="1" spans="4:21">
      <c r="I59" s="91">
        <f t="shared" si="9"/>
        <v>0.218609267434653</v>
      </c>
      <c r="J59" s="56">
        <f t="shared" si="10"/>
        <v>0.255</v>
      </c>
      <c r="K59" s="63">
        <f t="shared" si="11"/>
        <v>3.09934338764752e-14</v>
      </c>
      <c r="L59" s="63">
        <f t="shared" si="12"/>
        <v>6.62713006618926e-7</v>
      </c>
      <c r="M59" s="63">
        <f t="shared" si="13"/>
        <v>0.00882469888687764</v>
      </c>
      <c r="N59" s="63">
        <f t="shared" si="14"/>
        <v>0.176734003596365</v>
      </c>
      <c r="O59" s="63">
        <f t="shared" si="15"/>
        <v>0.0330346603790617</v>
      </c>
      <c r="P59" s="63">
        <f t="shared" si="16"/>
        <v>1.52418544029956e-5</v>
      </c>
      <c r="Q59" s="63">
        <f t="shared" si="17"/>
        <v>4.90791529677569e-12</v>
      </c>
      <c r="R59" s="63">
        <f t="shared" si="18"/>
        <v>8.33564993905285e-22</v>
      </c>
      <c r="S59" s="63">
        <f t="shared" si="19"/>
        <v>6.873723038419e-35</v>
      </c>
      <c r="T59" s="63"/>
      <c r="U59" s="64"/>
    </row>
    <row r="60" s="14" customFormat="1" ht="18" customHeight="1" spans="4:21">
      <c r="I60" s="91">
        <f t="shared" si="9"/>
        <v>0.369406061808223</v>
      </c>
      <c r="J60" s="56">
        <f t="shared" si="10"/>
        <v>0.256</v>
      </c>
      <c r="K60" s="63">
        <f t="shared" si="11"/>
        <v>0</v>
      </c>
      <c r="L60" s="63">
        <f t="shared" si="12"/>
        <v>1.67778206862583e-8</v>
      </c>
      <c r="M60" s="63">
        <f t="shared" si="13"/>
        <v>0.00189808729382817</v>
      </c>
      <c r="N60" s="63">
        <f t="shared" si="14"/>
        <v>0.213727999154148</v>
      </c>
      <c r="O60" s="63">
        <f t="shared" si="15"/>
        <v>0.153263280617254</v>
      </c>
      <c r="P60" s="63">
        <f t="shared" si="16"/>
        <v>0.000516676474267848</v>
      </c>
      <c r="Q60" s="63">
        <f t="shared" si="17"/>
        <v>1.49090433927197e-9</v>
      </c>
      <c r="R60" s="63">
        <f t="shared" si="18"/>
        <v>2.37970707952231e-18</v>
      </c>
      <c r="S60" s="63">
        <f t="shared" si="19"/>
        <v>1.87525280826702e-30</v>
      </c>
      <c r="T60" s="63"/>
      <c r="U60" s="64"/>
    </row>
    <row r="61" s="14" customFormat="1" ht="18" customHeight="1" spans="4:21">
      <c r="I61" s="91">
        <f t="shared" si="9"/>
        <v>0.203636120836822</v>
      </c>
      <c r="J61" s="56">
        <f t="shared" si="10"/>
        <v>0.257</v>
      </c>
      <c r="K61" s="63">
        <f t="shared" si="11"/>
        <v>0</v>
      </c>
      <c r="L61" s="63">
        <f t="shared" si="12"/>
        <v>7.40949367200775e-11</v>
      </c>
      <c r="M61" s="63">
        <f t="shared" si="13"/>
        <v>7.32247370758589e-5</v>
      </c>
      <c r="N61" s="63">
        <f t="shared" si="14"/>
        <v>0.0554774042400651</v>
      </c>
      <c r="O61" s="63">
        <f t="shared" si="15"/>
        <v>0.145056320304491</v>
      </c>
      <c r="P61" s="63">
        <f t="shared" si="16"/>
        <v>0.00302909637122256</v>
      </c>
      <c r="Q61" s="63">
        <f t="shared" si="17"/>
        <v>7.51098712961914e-8</v>
      </c>
      <c r="R61" s="63">
        <f t="shared" si="18"/>
        <v>1.10410829971151e-15</v>
      </c>
      <c r="S61" s="63">
        <f t="shared" si="19"/>
        <v>8.19006717023165e-27</v>
      </c>
      <c r="T61" s="63"/>
      <c r="U61" s="64"/>
    </row>
    <row r="62" s="14" customFormat="1" ht="18" customHeight="1" spans="4:21">
      <c r="I62" s="91">
        <f t="shared" si="9"/>
        <v>0.0559544242125723</v>
      </c>
      <c r="J62" s="56">
        <f t="shared" si="10"/>
        <v>0.258</v>
      </c>
      <c r="K62" s="63">
        <f t="shared" si="11"/>
        <v>0</v>
      </c>
      <c r="L62" s="63">
        <f t="shared" si="12"/>
        <v>8.77161088077029e-14</v>
      </c>
      <c r="M62" s="63">
        <f t="shared" si="13"/>
        <v>7.67661611306905e-7</v>
      </c>
      <c r="N62" s="63">
        <f t="shared" si="14"/>
        <v>0.00438565444789937</v>
      </c>
      <c r="O62" s="63">
        <f t="shared" si="15"/>
        <v>0.0467207482676322</v>
      </c>
      <c r="P62" s="63">
        <f t="shared" si="16"/>
        <v>0.00484628043153697</v>
      </c>
      <c r="Q62" s="63">
        <f t="shared" si="17"/>
        <v>9.73403675994394e-7</v>
      </c>
      <c r="R62" s="63">
        <f t="shared" si="18"/>
        <v>1.28726820851737e-13</v>
      </c>
      <c r="S62" s="63">
        <f t="shared" si="19"/>
        <v>8.84603393522296e-24</v>
      </c>
      <c r="T62" s="63"/>
      <c r="U62" s="64"/>
    </row>
    <row r="63" s="14" customFormat="1" ht="18" customHeight="1" spans="4:21">
      <c r="I63" s="91">
        <f t="shared" si="9"/>
        <v>0.006446607563972</v>
      </c>
      <c r="J63" s="56">
        <f t="shared" si="10"/>
        <v>0.259</v>
      </c>
      <c r="K63" s="63">
        <f t="shared" si="11"/>
        <v>0</v>
      </c>
      <c r="L63" s="63">
        <f t="shared" si="12"/>
        <v>2.36186680892065e-17</v>
      </c>
      <c r="M63" s="63">
        <f t="shared" si="13"/>
        <v>1.83719475706854e-9</v>
      </c>
      <c r="N63" s="63">
        <f t="shared" si="14"/>
        <v>8.44245900669216e-5</v>
      </c>
      <c r="O63" s="63">
        <f t="shared" si="15"/>
        <v>0.00449497597491152</v>
      </c>
      <c r="P63" s="63">
        <f t="shared" si="16"/>
        <v>0.00186442798937525</v>
      </c>
      <c r="Q63" s="63">
        <f t="shared" si="17"/>
        <v>2.77716921187515e-6</v>
      </c>
      <c r="R63" s="63">
        <f t="shared" si="18"/>
        <v>3.21165863015589e-12</v>
      </c>
      <c r="S63" s="63">
        <f t="shared" si="19"/>
        <v>2.00973064354758e-21</v>
      </c>
      <c r="T63" s="63"/>
      <c r="U63" s="64"/>
    </row>
    <row r="64" s="14" customFormat="1" ht="18" customHeight="1" spans="4:21">
      <c r="I64" s="91">
        <f t="shared" si="9"/>
        <v>0</v>
      </c>
      <c r="J64" s="56">
        <f t="shared" si="10"/>
        <v>0.26</v>
      </c>
      <c r="K64" s="63">
        <f t="shared" si="11"/>
        <v>0</v>
      </c>
      <c r="L64" s="63">
        <f t="shared" si="12"/>
        <v>0</v>
      </c>
      <c r="M64" s="63">
        <f t="shared" si="13"/>
        <v>0</v>
      </c>
      <c r="N64" s="63">
        <f t="shared" si="14"/>
        <v>0</v>
      </c>
      <c r="O64" s="63">
        <f t="shared" si="15"/>
        <v>0</v>
      </c>
      <c r="P64" s="63">
        <f t="shared" si="16"/>
        <v>0</v>
      </c>
      <c r="Q64" s="63">
        <f t="shared" si="17"/>
        <v>0</v>
      </c>
      <c r="R64" s="63">
        <f t="shared" si="18"/>
        <v>0</v>
      </c>
      <c r="S64" s="63">
        <f t="shared" si="19"/>
        <v>0</v>
      </c>
      <c r="T64" s="63"/>
      <c r="U64" s="64"/>
    </row>
    <row r="65" s="14" customFormat="1" ht="18" customHeight="1" spans="1:21">
      <c r="I65" s="91">
        <f t="shared" si="9"/>
        <v>0</v>
      </c>
      <c r="J65" s="56">
        <f t="shared" si="10"/>
        <v>0.261</v>
      </c>
      <c r="K65" s="63">
        <f t="shared" si="11"/>
        <v>0</v>
      </c>
      <c r="L65" s="63">
        <f t="shared" si="12"/>
        <v>0</v>
      </c>
      <c r="M65" s="63">
        <f t="shared" si="13"/>
        <v>0</v>
      </c>
      <c r="N65" s="63">
        <f t="shared" si="14"/>
        <v>0</v>
      </c>
      <c r="O65" s="63">
        <f t="shared" si="15"/>
        <v>0</v>
      </c>
      <c r="P65" s="63">
        <f t="shared" si="16"/>
        <v>0</v>
      </c>
      <c r="Q65" s="63">
        <f t="shared" si="17"/>
        <v>0</v>
      </c>
      <c r="R65" s="63">
        <f t="shared" si="18"/>
        <v>0</v>
      </c>
      <c r="S65" s="63">
        <f t="shared" si="19"/>
        <v>0</v>
      </c>
      <c r="T65" s="63"/>
      <c r="U65" s="64"/>
    </row>
    <row r="66" s="14" customFormat="1" ht="18" customHeight="1" spans="1:21">
      <c r="I66" s="91">
        <f t="shared" si="9"/>
        <v>0</v>
      </c>
      <c r="J66" s="56">
        <f t="shared" si="10"/>
        <v>0.262</v>
      </c>
      <c r="K66" s="63">
        <f t="shared" si="11"/>
        <v>0</v>
      </c>
      <c r="L66" s="63">
        <f t="shared" si="12"/>
        <v>0</v>
      </c>
      <c r="M66" s="63">
        <f t="shared" si="13"/>
        <v>0</v>
      </c>
      <c r="N66" s="63">
        <f t="shared" si="14"/>
        <v>0</v>
      </c>
      <c r="O66" s="63">
        <f t="shared" si="15"/>
        <v>0</v>
      </c>
      <c r="P66" s="63">
        <f t="shared" si="16"/>
        <v>0</v>
      </c>
      <c r="Q66" s="63">
        <f t="shared" si="17"/>
        <v>0</v>
      </c>
      <c r="R66" s="63">
        <f t="shared" si="18"/>
        <v>0</v>
      </c>
      <c r="S66" s="63">
        <f t="shared" si="19"/>
        <v>0</v>
      </c>
      <c r="T66" s="63"/>
      <c r="U66" s="64"/>
    </row>
    <row r="67" s="14" customFormat="1" ht="18" customHeight="1" spans="1:21">
      <c r="I67" s="91">
        <f t="shared" si="9"/>
        <v>0</v>
      </c>
      <c r="J67" s="56">
        <f t="shared" si="10"/>
        <v>0.263</v>
      </c>
      <c r="K67" s="63">
        <f t="shared" si="11"/>
        <v>0</v>
      </c>
      <c r="L67" s="63">
        <f t="shared" si="12"/>
        <v>0</v>
      </c>
      <c r="M67" s="63">
        <f t="shared" si="13"/>
        <v>0</v>
      </c>
      <c r="N67" s="63">
        <f t="shared" si="14"/>
        <v>0</v>
      </c>
      <c r="O67" s="63">
        <f t="shared" si="15"/>
        <v>0</v>
      </c>
      <c r="P67" s="63">
        <f t="shared" si="16"/>
        <v>0</v>
      </c>
      <c r="Q67" s="63">
        <f t="shared" si="17"/>
        <v>0</v>
      </c>
      <c r="R67" s="63">
        <f t="shared" si="18"/>
        <v>0</v>
      </c>
      <c r="S67" s="63">
        <f t="shared" si="19"/>
        <v>0</v>
      </c>
      <c r="T67" s="63"/>
      <c r="U67" s="64"/>
    </row>
    <row r="68" s="14" customFormat="1" ht="18" customHeight="1" spans="1:21">
      <c r="I68" s="91">
        <f t="shared" si="9"/>
        <v>0</v>
      </c>
      <c r="J68" s="56">
        <f t="shared" si="10"/>
        <v>0.264</v>
      </c>
      <c r="K68" s="63">
        <f t="shared" si="11"/>
        <v>0</v>
      </c>
      <c r="L68" s="63">
        <f t="shared" si="12"/>
        <v>0</v>
      </c>
      <c r="M68" s="63">
        <f t="shared" si="13"/>
        <v>0</v>
      </c>
      <c r="N68" s="63">
        <f t="shared" si="14"/>
        <v>0</v>
      </c>
      <c r="O68" s="63">
        <f t="shared" si="15"/>
        <v>0</v>
      </c>
      <c r="P68" s="63">
        <f t="shared" si="16"/>
        <v>0</v>
      </c>
      <c r="Q68" s="63">
        <f t="shared" si="17"/>
        <v>0</v>
      </c>
      <c r="R68" s="63">
        <f t="shared" si="18"/>
        <v>0</v>
      </c>
      <c r="S68" s="63">
        <f t="shared" si="19"/>
        <v>0</v>
      </c>
      <c r="T68" s="63"/>
      <c r="U68" s="64"/>
    </row>
    <row r="69" s="14" customFormat="1" ht="18" customHeight="1" spans="1:21">
      <c r="I69" s="91">
        <f t="shared" si="9"/>
        <v>0</v>
      </c>
      <c r="J69" s="56">
        <f t="shared" si="10"/>
        <v>0.265</v>
      </c>
      <c r="K69" s="63">
        <f t="shared" si="11"/>
        <v>0</v>
      </c>
      <c r="L69" s="63">
        <f t="shared" si="12"/>
        <v>0</v>
      </c>
      <c r="M69" s="63">
        <f t="shared" si="13"/>
        <v>0</v>
      </c>
      <c r="N69" s="63">
        <f t="shared" si="14"/>
        <v>0</v>
      </c>
      <c r="O69" s="63">
        <f t="shared" si="15"/>
        <v>0</v>
      </c>
      <c r="P69" s="63">
        <f t="shared" si="16"/>
        <v>0</v>
      </c>
      <c r="Q69" s="63">
        <f t="shared" si="17"/>
        <v>0</v>
      </c>
      <c r="R69" s="63">
        <f t="shared" si="18"/>
        <v>0</v>
      </c>
      <c r="S69" s="63">
        <f t="shared" si="19"/>
        <v>0</v>
      </c>
      <c r="T69" s="63"/>
      <c r="U69" s="64"/>
    </row>
    <row r="70" s="14" customFormat="1" ht="18" customHeight="1" spans="1:21">
      <c r="I70" s="91">
        <f t="shared" si="9"/>
        <v>0</v>
      </c>
      <c r="J70" s="56">
        <f t="shared" si="10"/>
        <v>0.266</v>
      </c>
      <c r="K70" s="63">
        <f t="shared" si="11"/>
        <v>0</v>
      </c>
      <c r="L70" s="63">
        <f t="shared" si="12"/>
        <v>0</v>
      </c>
      <c r="M70" s="63">
        <f t="shared" si="13"/>
        <v>0</v>
      </c>
      <c r="N70" s="63">
        <f t="shared" si="14"/>
        <v>0</v>
      </c>
      <c r="O70" s="63">
        <f t="shared" si="15"/>
        <v>0</v>
      </c>
      <c r="P70" s="63">
        <f t="shared" si="16"/>
        <v>0</v>
      </c>
      <c r="Q70" s="63">
        <f t="shared" si="17"/>
        <v>0</v>
      </c>
      <c r="R70" s="63">
        <f t="shared" si="18"/>
        <v>0</v>
      </c>
      <c r="S70" s="63">
        <f t="shared" si="19"/>
        <v>0</v>
      </c>
      <c r="T70" s="63"/>
      <c r="U70" s="64"/>
    </row>
    <row r="71" s="14" customFormat="1" ht="18" customHeight="1" spans="1:21">
      <c r="I71" s="92" t="s">
        <v>100</v>
      </c>
      <c r="J71" s="93"/>
      <c r="K71" s="94">
        <f t="shared" ref="K71:S71" si="20">SUM(K51:K70)</f>
        <v>2.43308139331902e-10</v>
      </c>
      <c r="L71" s="94">
        <f t="shared" si="20"/>
        <v>7.35558612678117e-5</v>
      </c>
      <c r="M71" s="94">
        <f t="shared" si="20"/>
        <v>0.0451357836945584</v>
      </c>
      <c r="N71" s="94">
        <f t="shared" si="20"/>
        <v>0.558140890171604</v>
      </c>
      <c r="O71" s="94">
        <f t="shared" si="20"/>
        <v>0.386374009608665</v>
      </c>
      <c r="P71" s="94">
        <f t="shared" si="20"/>
        <v>0.0102719332386767</v>
      </c>
      <c r="Q71" s="94">
        <f t="shared" si="20"/>
        <v>3.82717857871228e-6</v>
      </c>
      <c r="R71" s="94">
        <f t="shared" si="20"/>
        <v>3.34149193984811e-12</v>
      </c>
      <c r="S71" s="94">
        <f t="shared" si="20"/>
        <v>2.01858486942529e-21</v>
      </c>
      <c r="T71" s="94"/>
      <c r="U71" s="95">
        <f>SUM(K71:T71)</f>
        <v>1</v>
      </c>
    </row>
    <row r="72" ht="18" customHeight="1" spans="1:21">
      <c r="K72" s="53">
        <f>K50</f>
        <v>605</v>
      </c>
      <c r="L72" s="53">
        <f t="shared" ref="L72:T72" si="21">L50</f>
        <v>610</v>
      </c>
      <c r="M72" s="53">
        <f t="shared" si="21"/>
        <v>615</v>
      </c>
      <c r="N72" s="53">
        <f t="shared" si="21"/>
        <v>620</v>
      </c>
      <c r="O72" s="53">
        <f t="shared" si="21"/>
        <v>625</v>
      </c>
      <c r="P72" s="53">
        <f t="shared" si="21"/>
        <v>630</v>
      </c>
      <c r="Q72" s="53">
        <f t="shared" si="21"/>
        <v>635</v>
      </c>
      <c r="R72" s="53">
        <f t="shared" si="21"/>
        <v>640</v>
      </c>
      <c r="S72" s="53">
        <f t="shared" si="21"/>
        <v>645</v>
      </c>
      <c r="T72" s="53">
        <f t="shared" si="21"/>
        <v>650</v>
      </c>
    </row>
    <row r="73" ht="4.8" customHeight="1" spans="1:21">
      <c r="I73" s="96"/>
    </row>
    <row r="74" ht="4.8" customHeight="1" spans="1:21">
      <c r="I74" s="96"/>
    </row>
    <row r="75" ht="4.8" customHeight="1" spans="1:21">
      <c r="I75" s="96"/>
    </row>
    <row r="76" ht="26.4" customHeight="1" spans="1:21">
      <c r="A76" s="97" t="s">
        <v>101</v>
      </c>
      <c r="B76" s="135" t="s">
        <v>89</v>
      </c>
      <c r="C76" s="135" t="str">
        <f>C9</f>
        <v>芜湖</v>
      </c>
      <c r="D76" s="135" t="str">
        <f t="shared" ref="D76:Q76" si="22">D9</f>
        <v>和光同程</v>
      </c>
      <c r="E76" s="135" t="str">
        <f t="shared" si="22"/>
        <v>中润</v>
      </c>
      <c r="F76" s="135" t="str">
        <f t="shared" si="22"/>
        <v>新霖飞</v>
      </c>
      <c r="G76" s="135" t="str">
        <f t="shared" si="22"/>
        <v>通威</v>
      </c>
      <c r="H76" s="135" t="str">
        <f t="shared" si="22"/>
        <v>英发</v>
      </c>
      <c r="I76" s="135" t="str">
        <f t="shared" si="22"/>
        <v>日月新能</v>
      </c>
      <c r="J76" s="135" t="str">
        <f t="shared" si="22"/>
        <v>捷泰</v>
      </c>
      <c r="K76" s="135" t="str">
        <f t="shared" si="22"/>
        <v>中环低碳</v>
      </c>
      <c r="L76" s="135" t="str">
        <f t="shared" si="22"/>
        <v>润阳</v>
      </c>
      <c r="M76" s="135" t="str">
        <f t="shared" si="22"/>
        <v>赛福天</v>
      </c>
      <c r="N76" s="135" t="str">
        <f t="shared" si="22"/>
        <v>弘元</v>
      </c>
      <c r="O76" s="135" t="str">
        <f t="shared" si="22"/>
        <v>润马</v>
      </c>
      <c r="P76" s="135">
        <f t="shared" si="22"/>
        <v>0</v>
      </c>
      <c r="Q76" s="135">
        <f t="shared" si="22"/>
        <v>0</v>
      </c>
    </row>
    <row r="77" ht="17.4" customHeight="1" spans="1:21">
      <c r="A77" s="97"/>
      <c r="B77" s="99">
        <f>C29</f>
        <v>0.247</v>
      </c>
      <c r="C77" s="100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42"/>
      <c r="Q77" s="142"/>
    </row>
    <row r="78" ht="17.4" customHeight="1" spans="1:21">
      <c r="A78" s="97"/>
      <c r="B78" s="99">
        <f t="shared" ref="B78:B96" si="23">C30</f>
        <v>0.248</v>
      </c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42"/>
      <c r="Q78" s="142"/>
    </row>
    <row r="79" ht="17.4" customHeight="1" spans="1:21">
      <c r="A79" s="97"/>
      <c r="B79" s="99">
        <f t="shared" si="23"/>
        <v>0.249</v>
      </c>
      <c r="C79" s="100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42"/>
      <c r="Q79" s="142"/>
    </row>
    <row r="80" ht="17.4" customHeight="1" spans="1:21">
      <c r="A80" s="97"/>
      <c r="B80" s="99">
        <f t="shared" si="23"/>
        <v>0.25</v>
      </c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42"/>
      <c r="Q80" s="142"/>
    </row>
    <row r="81" ht="17.4" customHeight="1" spans="1:17">
      <c r="A81" s="97"/>
      <c r="B81" s="99">
        <f t="shared" si="23"/>
        <v>0.251</v>
      </c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42"/>
      <c r="Q81" s="142"/>
    </row>
    <row r="82" ht="17.4" customHeight="1" spans="1:17">
      <c r="A82" s="97"/>
      <c r="B82" s="99">
        <f t="shared" si="23"/>
        <v>0.252</v>
      </c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42"/>
      <c r="Q82" s="142"/>
    </row>
    <row r="83" ht="17.4" customHeight="1" spans="1:17">
      <c r="A83" s="97"/>
      <c r="B83" s="99">
        <f t="shared" si="23"/>
        <v>0.253</v>
      </c>
      <c r="C83" s="100">
        <v>0.0292160166686159</v>
      </c>
      <c r="D83" s="100"/>
      <c r="E83" s="100"/>
      <c r="F83" s="100"/>
      <c r="G83" s="100"/>
      <c r="H83" s="100">
        <v>0.0202020202020202</v>
      </c>
      <c r="I83" s="100"/>
      <c r="J83" s="100"/>
      <c r="K83" s="100"/>
      <c r="L83" s="100"/>
      <c r="M83" s="100"/>
      <c r="N83" s="100"/>
      <c r="O83" s="100"/>
      <c r="P83" s="100"/>
      <c r="Q83" s="142"/>
    </row>
    <row r="84" ht="17.4" customHeight="1" spans="1:17">
      <c r="A84" s="97"/>
      <c r="B84" s="99">
        <f t="shared" si="23"/>
        <v>0.254</v>
      </c>
      <c r="C84" s="100">
        <v>0.11510335337567</v>
      </c>
      <c r="D84" s="100"/>
      <c r="E84" s="100">
        <v>0.0257075070698176</v>
      </c>
      <c r="F84" s="100"/>
      <c r="G84" s="100">
        <v>0.0103092783505155</v>
      </c>
      <c r="H84" s="100">
        <v>0.121212121212121</v>
      </c>
      <c r="I84" s="100"/>
      <c r="J84" s="100"/>
      <c r="K84" s="100"/>
      <c r="L84" s="100"/>
      <c r="M84" s="100"/>
      <c r="N84" s="100"/>
      <c r="O84" s="100"/>
      <c r="P84" s="100"/>
      <c r="Q84" s="142"/>
    </row>
    <row r="85" ht="17.4" customHeight="1" spans="1:17">
      <c r="A85" s="97"/>
      <c r="B85" s="99">
        <f t="shared" si="23"/>
        <v>0.255</v>
      </c>
      <c r="C85" s="100">
        <v>0.216170525975891</v>
      </c>
      <c r="D85" s="100"/>
      <c r="E85" s="100">
        <v>0.064782449698516</v>
      </c>
      <c r="F85" s="100"/>
      <c r="G85" s="100">
        <v>0.0824742268041237</v>
      </c>
      <c r="H85" s="100">
        <v>0.505050505050505</v>
      </c>
      <c r="I85" s="100"/>
      <c r="J85" s="100"/>
      <c r="K85" s="100"/>
      <c r="L85" s="100"/>
      <c r="M85" s="100"/>
      <c r="N85" s="100"/>
      <c r="O85" s="100"/>
      <c r="P85" s="100"/>
      <c r="Q85" s="142"/>
    </row>
    <row r="86" ht="17.4" customHeight="1" spans="1:17">
      <c r="A86" s="97"/>
      <c r="B86" s="99">
        <f t="shared" si="23"/>
        <v>0.256</v>
      </c>
      <c r="C86" s="100">
        <v>0.365285075133589</v>
      </c>
      <c r="D86" s="100"/>
      <c r="E86" s="100">
        <v>0.188621236723725</v>
      </c>
      <c r="F86" s="100"/>
      <c r="G86" s="100">
        <v>0.391752577319588</v>
      </c>
      <c r="H86" s="100">
        <v>0.292929292929293</v>
      </c>
      <c r="I86" s="100"/>
      <c r="J86" s="100"/>
      <c r="K86" s="100"/>
      <c r="L86" s="100"/>
      <c r="M86" s="100"/>
      <c r="N86" s="100"/>
      <c r="O86" s="100"/>
      <c r="P86" s="100"/>
      <c r="Q86" s="142"/>
    </row>
    <row r="87" ht="17.4" customHeight="1" spans="1:17">
      <c r="A87" s="97"/>
      <c r="B87" s="99">
        <f t="shared" si="23"/>
        <v>0.257</v>
      </c>
      <c r="C87" s="100">
        <v>0.201364415450248</v>
      </c>
      <c r="D87" s="100"/>
      <c r="E87" s="100">
        <v>0.436210376606238</v>
      </c>
      <c r="F87" s="100"/>
      <c r="G87" s="100">
        <v>0.412371134020619</v>
      </c>
      <c r="H87" s="100">
        <v>0.0606060606060606</v>
      </c>
      <c r="I87" s="100"/>
      <c r="J87" s="100"/>
      <c r="K87" s="100"/>
      <c r="L87" s="100"/>
      <c r="M87" s="100"/>
      <c r="N87" s="100"/>
      <c r="O87" s="100"/>
      <c r="P87" s="100"/>
      <c r="Q87" s="142"/>
    </row>
    <row r="88" ht="17.4" customHeight="1" spans="1:17">
      <c r="A88" s="97"/>
      <c r="B88" s="99">
        <f t="shared" si="23"/>
        <v>0.258</v>
      </c>
      <c r="C88" s="100">
        <v>0.0675483708264866</v>
      </c>
      <c r="D88" s="100"/>
      <c r="E88" s="100">
        <v>0.265925964597532</v>
      </c>
      <c r="F88" s="100"/>
      <c r="G88" s="100">
        <v>0.103092783505155</v>
      </c>
      <c r="H88" s="100">
        <v>0</v>
      </c>
      <c r="I88" s="100"/>
      <c r="J88" s="100"/>
      <c r="K88" s="100"/>
      <c r="L88" s="100"/>
      <c r="M88" s="100"/>
      <c r="N88" s="100"/>
      <c r="O88" s="100"/>
      <c r="P88" s="100"/>
      <c r="Q88" s="142"/>
    </row>
    <row r="89" ht="17.4" customHeight="1" spans="1:17">
      <c r="A89" s="97"/>
      <c r="B89" s="99">
        <f t="shared" si="23"/>
        <v>0.259</v>
      </c>
      <c r="C89" s="100">
        <v>0.00531224256949884</v>
      </c>
      <c r="D89" s="100"/>
      <c r="E89" s="100">
        <v>0.0183014510478573</v>
      </c>
      <c r="F89" s="100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42"/>
    </row>
    <row r="90" ht="17.4" customHeight="1" spans="1:17">
      <c r="A90" s="97"/>
      <c r="B90" s="99">
        <f t="shared" si="23"/>
        <v>0.26</v>
      </c>
      <c r="C90" s="100"/>
      <c r="D90" s="100"/>
      <c r="E90" s="100">
        <v>0.000451014256313469</v>
      </c>
      <c r="F90" s="100"/>
      <c r="G90" s="100"/>
      <c r="H90" s="100"/>
      <c r="I90" s="100"/>
      <c r="J90" s="100"/>
      <c r="K90" s="100"/>
      <c r="L90" s="100"/>
      <c r="M90" s="100"/>
      <c r="N90" s="100"/>
      <c r="O90" s="100"/>
      <c r="P90" s="100"/>
      <c r="Q90" s="142"/>
    </row>
    <row r="91" ht="17.4" customHeight="1" spans="1:17">
      <c r="A91" s="97"/>
      <c r="B91" s="99">
        <f t="shared" si="23"/>
        <v>0.261</v>
      </c>
      <c r="C91" s="100"/>
      <c r="D91" s="100"/>
      <c r="E91" s="100">
        <v>0</v>
      </c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42"/>
      <c r="Q91" s="142"/>
    </row>
    <row r="92" ht="17.4" customHeight="1" spans="1:17">
      <c r="A92" s="97"/>
      <c r="B92" s="99">
        <f t="shared" si="23"/>
        <v>0.262</v>
      </c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42"/>
      <c r="Q92" s="142"/>
    </row>
    <row r="93" ht="17.4" customHeight="1" spans="1:17">
      <c r="A93" s="97"/>
      <c r="B93" s="99">
        <f t="shared" si="23"/>
        <v>0.263</v>
      </c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42"/>
      <c r="Q93" s="142"/>
    </row>
    <row r="94" ht="17.4" customHeight="1" spans="1:17">
      <c r="A94" s="97"/>
      <c r="B94" s="99">
        <f t="shared" si="23"/>
        <v>0.264</v>
      </c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42"/>
      <c r="Q94" s="142"/>
    </row>
    <row r="95" ht="17.4" customHeight="1" spans="1:17">
      <c r="A95" s="97"/>
      <c r="B95" s="99">
        <f t="shared" si="23"/>
        <v>0.265</v>
      </c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42"/>
      <c r="Q95" s="142"/>
    </row>
    <row r="96" ht="17.4" customHeight="1" spans="1:17">
      <c r="A96" s="97"/>
      <c r="B96" s="99">
        <f t="shared" si="23"/>
        <v>0.266</v>
      </c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42"/>
      <c r="Q96" s="142"/>
    </row>
  </sheetData>
  <sheetProtection formatCells="0" formatColumns="0" formatRows="0" insertRows="0" insertColumns="0" insertHyperlinks="0" deleteColumns="0" deleteRows="0" sort="0" autoFilter="0" pivotTables="0"/>
  <mergeCells count="22">
    <mergeCell ref="A1:F1"/>
    <mergeCell ref="G1:I1"/>
    <mergeCell ref="L1:O1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{d4054556-f3fc-462e-85a1-92d9e6596e2e}</x14:id>
        </ext>
      </extLst>
    </cfRule>
  </conditionalFormatting>
  <conditionalFormatting sqref="D3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{c5b6d79e-bea7-4bfa-83ec-fd6b5794d552}</x14:id>
        </ext>
      </extLst>
    </cfRule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{7ebb5b9b-9266-43bb-9d40-f615c8c05256}</x14:id>
        </ext>
      </extLst>
    </cfRule>
  </conditionalFormatting>
  <conditionalFormatting sqref="D33:D44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{e2d3b7e6-3c9e-4188-8584-8e62ae0f43a0}</x14:id>
        </ext>
      </extLst>
    </cfRule>
  </conditionalFormatting>
  <conditionalFormatting sqref="D45:D48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{9a990d75-dcc9-4918-8057-62efd789f83a}</x14:id>
        </ext>
      </extLst>
    </cfRule>
    <cfRule type="dataBar" priority="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{e855df0a-e5a8-40d0-9a5c-5aaaba97971f}</x14:id>
        </ext>
      </extLst>
    </cfRule>
  </conditionalFormatting>
  <conditionalFormatting sqref="D49:D50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{4823397e-fb5c-4f7b-a5c9-cc220b1b8a47}</x14:id>
        </ext>
      </extLst>
    </cfRule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{a2e0ecd3-bea7-42f4-ad04-46604b0493cd}</x14:id>
        </ext>
      </extLst>
    </cfRule>
  </conditionalFormatting>
  <conditionalFormatting sqref="D29:D32 D45:D48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{44e353cc-120e-494b-9fc8-bedce9d185de}</x14:id>
        </ext>
      </extLst>
    </cfRule>
  </conditionalFormatting>
  <conditionalFormatting sqref="K29:R4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{66d60bbf-6510-4c7c-97b2-2fce3afdaf1e}</x14:id>
        </ext>
      </extLst>
    </cfRule>
  </conditionalFormatting>
  <conditionalFormatting sqref="K29:T48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{01d636fb-d043-4a37-8566-09a858b8f428}</x14:id>
        </ext>
      </extLst>
    </cfRule>
  </conditionalFormatting>
  <conditionalFormatting sqref="K29:S48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{9c7602f4-21e7-40f1-b714-fab85761b265}</x14:id>
        </ext>
      </extLst>
    </cfRule>
  </conditionalFormatting>
  <conditionalFormatting sqref="M29:O30 O35 N31:O34 M31:M48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{452d92b1-ebde-49d6-b749-dcfe678429dd}</x14:id>
        </ext>
      </extLst>
    </cfRule>
    <cfRule type="colorScale" priority="20">
      <colorScale>
        <cfvo type="percent" val="0"/>
        <cfvo type="percent" val="0"/>
        <color theme="0"/>
        <color theme="0"/>
      </colorScale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{25348edd-9ad6-459a-ac3a-c3657223313b}</x14:id>
        </ext>
      </extLst>
    </cfRule>
    <cfRule type="dataBar" priority="2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{63c79082-4c97-48af-aaef-7f7cb53b1c13}</x14:id>
        </ext>
      </extLst>
    </cfRule>
    <cfRule type="dataBar" priority="2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{640e4ae4-d398-4f02-bf25-be65d20d28bc}</x14:id>
        </ext>
      </extLst>
    </cfRule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{4f51da59-403a-44a5-ad95-a14a088815cd}</x14:id>
        </ext>
      </extLst>
    </cfRule>
  </conditionalFormatting>
  <conditionalFormatting sqref="P29:R35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{336bfd9a-a621-4573-89c5-0aceec02434e}</x14:id>
        </ext>
      </extLst>
    </cfRule>
    <cfRule type="colorScale" priority="13">
      <colorScale>
        <cfvo type="percent" val="0"/>
        <cfvo type="percent" val="0"/>
        <color theme="0"/>
        <color theme="0"/>
      </colorScale>
    </cfRule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{7fe4924e-7b3c-4cf7-a796-43ce8582d757}</x14:id>
        </ext>
      </extLst>
    </cfRule>
    <cfRule type="dataBar" priority="15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{32ff1cf5-ed7d-4179-b94b-8e672c225b4c}</x14:id>
        </ext>
      </extLst>
    </cfRule>
    <cfRule type="dataBar" priority="1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{dd9f8743-faa4-4a95-ba7d-91d406826ab1}</x14:id>
        </ext>
      </extLst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{d3d4fbc9-22ef-4306-b484-3f5a8fb2c9b5}</x14:id>
        </ext>
      </extLst>
    </cfRule>
  </conditionalFormatting>
  <conditionalFormatting sqref="S29:T48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{1ce515f2-4384-4bcf-9da2-167b404e08b8}</x14:id>
        </ext>
      </extLst>
    </cfRule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{e8f56da5-ba14-49c9-9aa5-7bb471726ed1}</x14:id>
        </ext>
      </extLst>
    </cfRule>
    <cfRule type="colorScale" priority="34">
      <colorScale>
        <cfvo type="percent" val="0"/>
        <cfvo type="percent" val="0"/>
        <color theme="0"/>
        <color theme="0"/>
      </colorScale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{93326474-9f45-4f25-bf21-e3b777ae026f}</x14:id>
        </ext>
      </extLst>
    </cfRule>
    <cfRule type="dataBar" priority="3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{1a1f7440-6558-40b5-b712-58946e7c6bf9}</x14:id>
        </ext>
      </extLst>
    </cfRule>
    <cfRule type="dataBar" priority="37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{21b0fb7a-8b35-4243-b800-7a614bea21a4}</x14:id>
        </ext>
      </extLst>
    </cfRule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{59777935-7cd7-418b-b452-ba219df149d2}</x14:id>
        </ext>
      </extLst>
    </cfRule>
  </conditionalFormatting>
  <conditionalFormatting sqref="P36:R48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{e4806b6b-bf94-4c69-8ef1-7c6c4763ac86}</x14:id>
        </ext>
      </extLst>
    </cfRule>
    <cfRule type="colorScale" priority="26">
      <colorScale>
        <cfvo type="percent" val="0"/>
        <cfvo type="percent" val="0"/>
        <color theme="0"/>
        <color theme="0"/>
      </colorScale>
    </cfRule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{0357c99f-bdb2-4bfb-a962-3fbf302221d6}</x14:id>
        </ext>
      </extLst>
    </cfRule>
    <cfRule type="dataBar" priority="2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{2ae89c41-dba8-40ef-a0d6-ac25757d42b9}</x14:id>
        </ext>
      </extLst>
    </cfRule>
    <cfRule type="dataBar" priority="29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{1cac1985-52d4-412e-bcc7-46acda980612}</x14:id>
        </ext>
      </extLst>
    </cfRule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{3f566515-442c-4398-9bfe-33d4dfc3dc65}</x14:id>
        </ext>
      </extLst>
    </cfRule>
  </conditionalFormatting>
  <conditionalFormatting sqref="C77:Q9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{42f13033-1c66-43ee-9a4d-8f97922081fc}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4054556-f3fc-462e-85a1-92d9e6596e2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c5b6d79e-bea7-4bfa-83ec-fd6b5794d5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ebb5b9b-9266-43bb-9d40-f615c8c0525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e2d3b7e6-3c9e-4188-8584-8e62ae0f43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9a990d75-dcc9-4918-8057-62efd789f8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855df0a-e5a8-40d0-9a5c-5aaaba97971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4823397e-fb5c-4f7b-a5c9-cc220b1b8a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2e0ecd3-bea7-42f4-ad04-46604b0493c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44e353cc-120e-494b-9fc8-bedce9d185d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66d60bbf-6510-4c7c-97b2-2fce3afdaf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01d636fb-d043-4a37-8566-09a858b8f4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K29:T48</xm:sqref>
        </x14:conditionalFormatting>
        <x14:conditionalFormatting xmlns:xm="http://schemas.microsoft.com/office/excel/2006/main">
          <x14:cfRule type="dataBar" id="{9c7602f4-21e7-40f1-b714-fab85761b2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K29:S48</xm:sqref>
        </x14:conditionalFormatting>
        <x14:conditionalFormatting xmlns:xm="http://schemas.microsoft.com/office/excel/2006/main">
          <x14:cfRule type="dataBar" id="{452d92b1-ebde-49d6-b749-dcfe678429d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25348edd-9ad6-459a-ac3a-c3657223313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63c79082-4c97-48af-aaef-7f7cb53b1c1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640e4ae4-d398-4f02-bf25-be65d20d28bc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f51da59-403a-44a5-ad95-a14a088815cd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336bfd9a-a621-4573-89c5-0aceec02434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7fe4924e-7b3c-4cf7-a796-43ce8582d757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32ff1cf5-ed7d-4179-b94b-8e672c225b4c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dd9f8743-faa4-4a95-ba7d-91d406826ab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d3d4fbc9-22ef-4306-b484-3f5a8fb2c9b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1ce515f2-4384-4bcf-9da2-167b404e08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e8f56da5-ba14-49c9-9aa5-7bb471726ed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93326474-9f45-4f25-bf21-e3b777ae026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1a1f7440-6558-40b5-b712-58946e7c6bf9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1b0fb7a-8b35-4243-b800-7a614bea21a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59777935-7cd7-418b-b452-ba219df149d2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S29:T48</xm:sqref>
        </x14:conditionalFormatting>
        <x14:conditionalFormatting xmlns:xm="http://schemas.microsoft.com/office/excel/2006/main">
          <x14:cfRule type="dataBar" id="{e4806b6b-bf94-4c69-8ef1-7c6c4763ac8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0357c99f-bdb2-4bfb-a962-3fbf302221d6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ae89c41-dba8-40ef-a0d6-ac25757d42b9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1cac1985-52d4-412e-bcc7-46acda980612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3f566515-442c-4398-9bfe-33d4dfc3dc6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42f13033-1c66-43ee-9a4d-8f97922081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C77:Q96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>
    <tabColor rgb="FFFF0000"/>
  </sheetPr>
  <dimension ref="A1:Y96"/>
  <sheetViews>
    <sheetView showGridLines="0" zoomScale="70" zoomScaleNormal="70" topLeftCell="A7" workbookViewId="0">
      <selection activeCell="G10" sqref="G10"/>
    </sheetView>
  </sheetViews>
  <sheetFormatPr defaultColWidth="8.44642857142857" defaultRowHeight="13.6"/>
  <cols>
    <col min="1" max="19" width="10.5535714285714" style="17" customWidth="1"/>
    <col min="20" max="20" width="10.5535714285714" style="17" hidden="1" customWidth="1"/>
    <col min="21" max="21" width="10.5535714285714" style="17" customWidth="1"/>
    <col min="22" max="16384" width="8.44642857142857" style="17"/>
  </cols>
  <sheetData>
    <row r="1" s="13" customFormat="1" ht="40.8" customHeight="1" spans="1:25">
      <c r="A1" s="18" t="s">
        <v>119</v>
      </c>
      <c r="B1" s="18"/>
      <c r="C1" s="18"/>
      <c r="D1" s="18"/>
      <c r="E1" s="18"/>
      <c r="F1" s="18"/>
      <c r="G1" s="19" t="s">
        <v>120</v>
      </c>
      <c r="H1" s="19"/>
      <c r="I1" s="19"/>
      <c r="J1" s="19">
        <v>633.6</v>
      </c>
      <c r="K1" s="20" t="s">
        <v>2</v>
      </c>
      <c r="L1" s="20" t="s">
        <v>3</v>
      </c>
      <c r="M1" s="20"/>
      <c r="N1" s="20"/>
      <c r="O1" s="20"/>
      <c r="P1" s="129" t="s">
        <v>121</v>
      </c>
      <c r="Q1" s="21"/>
      <c r="R1" s="21"/>
      <c r="S1" s="21"/>
      <c r="T1" s="21"/>
      <c r="U1" s="21"/>
    </row>
    <row r="2" ht="1.95" customHeight="1" spans="1:25">
      <c r="H2" s="22"/>
      <c r="P2" s="13"/>
      <c r="Q2" s="21"/>
      <c r="R2" s="21"/>
      <c r="S2" s="21"/>
      <c r="T2" s="21"/>
      <c r="U2" s="21"/>
    </row>
    <row r="3" s="14" customFormat="1" ht="21.9" customHeight="1" spans="1:25">
      <c r="A3" s="23" t="s">
        <v>4</v>
      </c>
      <c r="B3" s="23">
        <v>0</v>
      </c>
      <c r="C3" s="104">
        <v>0.26</v>
      </c>
      <c r="D3" s="11">
        <v>0.24</v>
      </c>
      <c r="E3" s="11">
        <v>0.23</v>
      </c>
      <c r="F3" s="11">
        <v>0.28</v>
      </c>
      <c r="G3" s="11" t="s">
        <v>6</v>
      </c>
      <c r="H3" s="11" t="s">
        <v>7</v>
      </c>
      <c r="I3" s="11" t="s">
        <v>8</v>
      </c>
      <c r="J3" s="11" t="s">
        <v>9</v>
      </c>
      <c r="K3" s="11" t="s">
        <v>10</v>
      </c>
      <c r="L3" s="11" t="s">
        <v>11</v>
      </c>
      <c r="M3" s="11" t="s">
        <v>12</v>
      </c>
      <c r="N3" s="11" t="s">
        <v>13</v>
      </c>
      <c r="O3" s="11" t="s">
        <v>14</v>
      </c>
      <c r="P3" s="25"/>
      <c r="Q3" s="26"/>
      <c r="R3" s="26"/>
      <c r="S3" s="26"/>
      <c r="T3" s="26"/>
      <c r="U3" s="26"/>
      <c r="V3" s="27"/>
      <c r="W3" s="27"/>
      <c r="X3" s="27"/>
      <c r="Y3" s="27"/>
    </row>
    <row r="4" s="14" customFormat="1" ht="21.9" customHeight="1" spans="1:25">
      <c r="A4" s="23"/>
      <c r="B4" s="23"/>
      <c r="C4" s="104">
        <v>0</v>
      </c>
      <c r="D4" s="11">
        <v>-2</v>
      </c>
      <c r="E4" s="11">
        <v>-3</v>
      </c>
      <c r="F4" s="11">
        <v>1.5</v>
      </c>
      <c r="G4" s="11"/>
      <c r="H4" s="11"/>
      <c r="I4" s="11"/>
      <c r="J4" s="11"/>
      <c r="K4" s="11"/>
      <c r="L4" s="11"/>
      <c r="M4" s="11"/>
      <c r="N4" s="11"/>
      <c r="O4" s="11"/>
      <c r="P4" s="25"/>
      <c r="Q4" s="26"/>
      <c r="R4" s="26"/>
      <c r="S4" s="26"/>
      <c r="T4" s="26"/>
      <c r="U4" s="26"/>
      <c r="V4" s="27"/>
      <c r="W4" s="27"/>
      <c r="X4" s="27"/>
      <c r="Y4" s="27"/>
    </row>
    <row r="5" ht="1.95" customHeight="1" spans="1:25">
      <c r="P5" s="13"/>
      <c r="Q5" s="21"/>
      <c r="R5" s="21"/>
      <c r="S5" s="21"/>
      <c r="T5" s="21"/>
      <c r="U5" s="21"/>
    </row>
    <row r="6" s="14" customFormat="1" ht="27" customHeight="1" spans="1:25">
      <c r="A6" s="23" t="s">
        <v>15</v>
      </c>
      <c r="B6" s="23">
        <v>0</v>
      </c>
      <c r="C6" s="104" t="s">
        <v>108</v>
      </c>
      <c r="D6" s="11" t="s">
        <v>19</v>
      </c>
      <c r="E6" s="11" t="s">
        <v>18</v>
      </c>
      <c r="F6" s="11" t="s">
        <v>122</v>
      </c>
      <c r="G6" s="11" t="s">
        <v>123</v>
      </c>
      <c r="H6" s="11" t="s">
        <v>124</v>
      </c>
      <c r="I6" s="11" t="s">
        <v>22</v>
      </c>
      <c r="J6" s="11" t="s">
        <v>23</v>
      </c>
      <c r="K6" s="11" t="s">
        <v>24</v>
      </c>
      <c r="L6" s="11" t="s">
        <v>25</v>
      </c>
      <c r="M6" s="11" t="s">
        <v>26</v>
      </c>
      <c r="N6" s="11" t="s">
        <v>27</v>
      </c>
      <c r="O6" s="11" t="s">
        <v>28</v>
      </c>
      <c r="P6" s="25"/>
      <c r="Q6" s="26"/>
      <c r="R6" s="26"/>
      <c r="S6" s="26"/>
      <c r="T6" s="26"/>
      <c r="U6" s="26"/>
      <c r="V6" s="27"/>
      <c r="W6" s="27"/>
      <c r="X6" s="27"/>
      <c r="Y6" s="27"/>
    </row>
    <row r="7" s="14" customFormat="1" ht="24.6" customHeight="1" spans="1:25">
      <c r="A7" s="23"/>
      <c r="B7" s="23"/>
      <c r="C7" s="104">
        <v>0</v>
      </c>
      <c r="D7" s="11">
        <v>-1.4</v>
      </c>
      <c r="E7" s="11">
        <v>-2.5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25"/>
      <c r="Q7" s="26"/>
      <c r="R7" s="26"/>
      <c r="S7" s="26"/>
      <c r="T7" s="26"/>
      <c r="U7" s="26"/>
      <c r="V7" s="27"/>
      <c r="W7" s="27"/>
      <c r="X7" s="27"/>
      <c r="Y7" s="27"/>
    </row>
    <row r="8" ht="1.95" customHeight="1" spans="1:25">
      <c r="P8" s="13"/>
      <c r="Q8" s="21"/>
      <c r="R8" s="21"/>
      <c r="S8" s="21"/>
      <c r="T8" s="21"/>
      <c r="U8" s="21"/>
    </row>
    <row r="9" s="14" customFormat="1" ht="22.2" customHeight="1" spans="1:25">
      <c r="A9" s="23" t="s">
        <v>29</v>
      </c>
      <c r="B9" s="23">
        <v>0</v>
      </c>
      <c r="C9" s="104" t="s">
        <v>125</v>
      </c>
      <c r="D9" s="11" t="s">
        <v>126</v>
      </c>
      <c r="E9" s="11" t="s">
        <v>127</v>
      </c>
      <c r="F9" s="117" t="s">
        <v>32</v>
      </c>
      <c r="G9" s="117" t="s">
        <v>36</v>
      </c>
      <c r="H9" s="11" t="s">
        <v>128</v>
      </c>
      <c r="I9" s="11" t="s">
        <v>129</v>
      </c>
      <c r="J9" s="11" t="s">
        <v>130</v>
      </c>
      <c r="K9" s="11" t="s">
        <v>131</v>
      </c>
      <c r="L9" s="11" t="s">
        <v>132</v>
      </c>
      <c r="M9" s="11" t="s">
        <v>40</v>
      </c>
      <c r="N9" s="11" t="s">
        <v>41</v>
      </c>
      <c r="O9" s="11" t="s">
        <v>42</v>
      </c>
      <c r="P9" s="47"/>
      <c r="Q9" s="30"/>
      <c r="R9" s="27"/>
      <c r="S9" s="27"/>
      <c r="T9" s="27"/>
      <c r="U9" s="27"/>
      <c r="V9" s="27"/>
      <c r="W9" s="27"/>
      <c r="X9" s="27"/>
      <c r="Y9" s="27"/>
    </row>
    <row r="10" s="14" customFormat="1" ht="22.2" customHeight="1" spans="1:25">
      <c r="A10" s="23"/>
      <c r="B10" s="23"/>
      <c r="C10" s="104">
        <v>0</v>
      </c>
      <c r="D10" s="11">
        <v>0</v>
      </c>
      <c r="E10" s="11">
        <v>0</v>
      </c>
      <c r="F10" s="130">
        <v>2.7</v>
      </c>
      <c r="G10" s="117">
        <v>-0.4</v>
      </c>
      <c r="H10" s="117"/>
      <c r="I10" s="117"/>
      <c r="J10" s="117"/>
      <c r="K10" s="117"/>
      <c r="L10" s="117"/>
      <c r="M10" s="117"/>
      <c r="N10" s="117"/>
      <c r="O10" s="117"/>
      <c r="P10" s="30"/>
      <c r="Q10" s="30"/>
      <c r="R10" s="27"/>
      <c r="S10" s="27"/>
      <c r="T10" s="27"/>
      <c r="U10" s="27"/>
      <c r="V10" s="27"/>
      <c r="W10" s="27"/>
      <c r="X10" s="27"/>
      <c r="Y10" s="27"/>
    </row>
    <row r="11" ht="1.95" customHeight="1" spans="1:25">
      <c r="P11" s="13"/>
      <c r="Q11" s="21"/>
      <c r="R11" s="21"/>
      <c r="S11" s="21"/>
      <c r="T11" s="21"/>
      <c r="U11" s="21"/>
    </row>
    <row r="12" s="14" customFormat="1" ht="25.2" customHeight="1" spans="1:25">
      <c r="A12" s="23" t="s">
        <v>43</v>
      </c>
      <c r="B12" s="23">
        <v>0</v>
      </c>
      <c r="C12" s="24" t="s">
        <v>115</v>
      </c>
      <c r="D12" s="11" t="s">
        <v>116</v>
      </c>
      <c r="E12" s="11" t="s">
        <v>46</v>
      </c>
      <c r="F12" s="11" t="s">
        <v>5</v>
      </c>
      <c r="G12" s="11" t="s">
        <v>6</v>
      </c>
      <c r="H12" s="11" t="s">
        <v>7</v>
      </c>
      <c r="I12" s="11" t="s">
        <v>8</v>
      </c>
      <c r="J12" s="11" t="s">
        <v>9</v>
      </c>
      <c r="K12" s="11" t="s">
        <v>10</v>
      </c>
      <c r="L12" s="11" t="s">
        <v>11</v>
      </c>
      <c r="M12" s="11" t="s">
        <v>12</v>
      </c>
      <c r="N12" s="11" t="s">
        <v>13</v>
      </c>
      <c r="O12" s="11" t="s">
        <v>14</v>
      </c>
      <c r="P12" s="35"/>
      <c r="Q12" s="26"/>
      <c r="R12" s="26"/>
      <c r="S12" s="26"/>
      <c r="T12" s="26"/>
      <c r="U12" s="26"/>
      <c r="V12" s="27"/>
      <c r="W12" s="27"/>
      <c r="X12" s="27"/>
      <c r="Y12" s="27"/>
    </row>
    <row r="13" s="14" customFormat="1" ht="21.9" customHeight="1" spans="1:25">
      <c r="A13" s="23"/>
      <c r="B13" s="23"/>
      <c r="C13" s="24">
        <v>0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25"/>
      <c r="Q13" s="26"/>
      <c r="R13" s="26"/>
      <c r="S13" s="26"/>
      <c r="T13" s="26"/>
      <c r="U13" s="26"/>
      <c r="V13" s="27"/>
      <c r="W13" s="27"/>
      <c r="X13" s="27"/>
      <c r="Y13" s="27"/>
    </row>
    <row r="14" s="14" customFormat="1" ht="21.9" customHeight="1" spans="1:25">
      <c r="A14" s="23" t="s">
        <v>47</v>
      </c>
      <c r="B14" s="23">
        <v>38184</v>
      </c>
      <c r="C14" s="24">
        <v>38184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25"/>
      <c r="Q14" s="26"/>
      <c r="R14" s="26"/>
      <c r="S14" s="26"/>
      <c r="T14" s="26"/>
      <c r="U14" s="26"/>
      <c r="V14" s="27"/>
      <c r="W14" s="27"/>
      <c r="X14" s="27"/>
      <c r="Y14" s="27"/>
    </row>
    <row r="15" s="14" customFormat="1" ht="21.9" customHeight="1" spans="1:25">
      <c r="A15" s="23" t="s">
        <v>48</v>
      </c>
      <c r="B15" s="23">
        <v>1.8</v>
      </c>
      <c r="C15" s="24">
        <v>1.8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25"/>
      <c r="Q15" s="26"/>
      <c r="R15" s="26"/>
      <c r="S15" s="26"/>
      <c r="T15" s="26"/>
      <c r="U15" s="26"/>
      <c r="V15" s="27"/>
      <c r="W15" s="27"/>
      <c r="X15" s="27"/>
      <c r="Y15" s="27"/>
    </row>
    <row r="16" ht="1.95" customHeight="1" spans="1:25">
      <c r="P16" s="13"/>
      <c r="Q16" s="21"/>
      <c r="R16" s="21"/>
      <c r="S16" s="21"/>
      <c r="T16" s="21"/>
      <c r="U16" s="21"/>
    </row>
    <row r="17" s="14" customFormat="1" ht="31.2" customHeight="1" spans="1:25">
      <c r="A17" s="23" t="s">
        <v>49</v>
      </c>
      <c r="B17" s="36">
        <v>0</v>
      </c>
      <c r="C17" s="106" t="s">
        <v>50</v>
      </c>
      <c r="D17" s="37" t="s">
        <v>51</v>
      </c>
      <c r="E17" s="37" t="s">
        <v>52</v>
      </c>
      <c r="F17" s="37" t="s">
        <v>53</v>
      </c>
      <c r="G17" s="37" t="s">
        <v>54</v>
      </c>
      <c r="H17" s="37" t="s">
        <v>55</v>
      </c>
      <c r="I17" s="37" t="s">
        <v>56</v>
      </c>
      <c r="J17" s="37" t="s">
        <v>57</v>
      </c>
      <c r="K17" s="11" t="s">
        <v>10</v>
      </c>
      <c r="L17" s="11" t="s">
        <v>11</v>
      </c>
      <c r="M17" s="11" t="s">
        <v>12</v>
      </c>
      <c r="N17" s="11" t="s">
        <v>13</v>
      </c>
      <c r="O17" s="11" t="s">
        <v>14</v>
      </c>
      <c r="P17" s="27"/>
      <c r="Q17" s="27"/>
      <c r="R17" s="27"/>
      <c r="S17" s="27"/>
      <c r="T17" s="27"/>
      <c r="U17" s="27"/>
      <c r="V17" s="27"/>
      <c r="W17" s="27"/>
      <c r="X17" s="27"/>
      <c r="Y17" s="27"/>
    </row>
    <row r="18" s="14" customFormat="1" ht="21.9" customHeight="1" spans="1:25">
      <c r="A18" s="23"/>
      <c r="B18" s="39"/>
      <c r="C18" s="104">
        <v>0</v>
      </c>
      <c r="D18" s="11">
        <v>-0.2</v>
      </c>
      <c r="E18" s="11">
        <v>-2.2</v>
      </c>
      <c r="F18" s="11">
        <v>-2.8</v>
      </c>
      <c r="G18" s="11">
        <v>0.2</v>
      </c>
      <c r="H18" s="11">
        <v>0.15</v>
      </c>
      <c r="I18" s="11">
        <v>-1.4</v>
      </c>
      <c r="J18" s="11">
        <v>-1.8</v>
      </c>
      <c r="K18" s="11">
        <v>-1.6</v>
      </c>
      <c r="L18" s="11"/>
      <c r="M18" s="11"/>
      <c r="N18" s="11"/>
      <c r="O18" s="11"/>
      <c r="P18" s="43"/>
      <c r="Q18" s="43"/>
      <c r="R18" s="43"/>
      <c r="S18" s="43"/>
      <c r="T18" s="43"/>
      <c r="U18" s="43"/>
      <c r="V18" s="27"/>
      <c r="W18" s="27"/>
      <c r="X18" s="27"/>
      <c r="Y18" s="27"/>
    </row>
    <row r="19" ht="2.1" customHeight="1" spans="1:25">
      <c r="P19" s="131"/>
      <c r="Q19" s="131"/>
      <c r="R19" s="131"/>
      <c r="S19" s="131"/>
      <c r="T19" s="131"/>
      <c r="U19" s="131"/>
    </row>
    <row r="20" s="14" customFormat="1" ht="30" customHeight="1" spans="1:25">
      <c r="A20" s="23" t="s">
        <v>58</v>
      </c>
      <c r="B20" s="23">
        <v>0.4</v>
      </c>
      <c r="C20" s="29" t="s">
        <v>59</v>
      </c>
      <c r="D20" s="46" t="s">
        <v>60</v>
      </c>
      <c r="E20" s="29" t="s">
        <v>61</v>
      </c>
      <c r="F20" s="29" t="s">
        <v>62</v>
      </c>
      <c r="G20" s="29" t="s">
        <v>63</v>
      </c>
      <c r="H20" s="29" t="s">
        <v>64</v>
      </c>
      <c r="I20" s="29" t="s">
        <v>65</v>
      </c>
      <c r="J20" s="29" t="s">
        <v>66</v>
      </c>
      <c r="K20" s="29" t="s">
        <v>67</v>
      </c>
      <c r="L20" s="29" t="s">
        <v>68</v>
      </c>
      <c r="M20" s="29" t="s">
        <v>69</v>
      </c>
      <c r="N20" s="29" t="s">
        <v>70</v>
      </c>
      <c r="O20" s="29" t="s">
        <v>71</v>
      </c>
      <c r="P20" s="43"/>
      <c r="Q20" s="27"/>
      <c r="R20" s="27"/>
      <c r="S20" s="27"/>
      <c r="T20" s="27"/>
      <c r="U20" s="27"/>
      <c r="V20" s="27"/>
      <c r="W20" s="27"/>
      <c r="X20" s="27"/>
      <c r="Y20" s="27"/>
    </row>
    <row r="21" s="14" customFormat="1" ht="21.6" customHeight="1" spans="1:25">
      <c r="A21" s="23"/>
      <c r="B21" s="23"/>
      <c r="C21" s="11">
        <v>0</v>
      </c>
      <c r="D21" s="104">
        <v>0.4</v>
      </c>
      <c r="E21" s="11">
        <v>0.9</v>
      </c>
      <c r="F21" s="11">
        <v>1.2</v>
      </c>
      <c r="G21" s="11">
        <v>1.5</v>
      </c>
      <c r="H21" s="11">
        <v>0.2</v>
      </c>
      <c r="I21" s="11">
        <v>0.5</v>
      </c>
      <c r="J21" s="11"/>
      <c r="K21" s="11"/>
      <c r="L21" s="11"/>
      <c r="M21" s="11"/>
      <c r="N21" s="11"/>
      <c r="O21" s="11"/>
      <c r="P21" s="43"/>
      <c r="Q21" s="27"/>
      <c r="R21" s="27"/>
      <c r="S21" s="27"/>
      <c r="T21" s="27"/>
      <c r="U21" s="27"/>
      <c r="V21" s="27"/>
      <c r="W21" s="27"/>
      <c r="X21" s="27"/>
      <c r="Y21" s="27"/>
    </row>
    <row r="22" ht="2.1" customHeight="1" spans="1:25">
      <c r="P22" s="132"/>
      <c r="Q22" s="133"/>
      <c r="R22" s="133"/>
      <c r="S22" s="133"/>
      <c r="T22" s="133"/>
      <c r="U22" s="133"/>
    </row>
    <row r="23" s="14" customFormat="1" ht="22.2" hidden="1" customHeight="1" spans="1:25">
      <c r="A23" s="23" t="s">
        <v>72</v>
      </c>
      <c r="B23" s="23"/>
      <c r="C23" s="28" t="s">
        <v>133</v>
      </c>
      <c r="D23" s="29" t="s">
        <v>134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134"/>
      <c r="Q23" s="42"/>
      <c r="R23" s="42"/>
      <c r="S23" s="42"/>
      <c r="T23" s="42"/>
      <c r="U23" s="42"/>
      <c r="V23" s="27"/>
      <c r="W23" s="27"/>
      <c r="X23" s="27"/>
      <c r="Y23" s="27"/>
    </row>
    <row r="24" s="14" customFormat="1" ht="22.2" hidden="1" customHeight="1" spans="1:25">
      <c r="A24" s="23"/>
      <c r="B24" s="23"/>
      <c r="C24" s="24"/>
      <c r="D24" s="11"/>
      <c r="E24" s="11"/>
      <c r="F24" s="11"/>
      <c r="G24" s="40"/>
      <c r="H24" s="40"/>
      <c r="I24" s="11"/>
      <c r="J24" s="11"/>
      <c r="K24" s="11"/>
      <c r="L24" s="11"/>
      <c r="M24" s="11"/>
      <c r="N24" s="11"/>
      <c r="O24" s="11"/>
      <c r="P24" s="41"/>
      <c r="Q24" s="42"/>
      <c r="R24" s="42"/>
      <c r="S24" s="42"/>
      <c r="T24" s="42"/>
      <c r="U24" s="42"/>
      <c r="V24" s="27"/>
      <c r="W24" s="27"/>
      <c r="X24" s="27"/>
      <c r="Y24" s="27"/>
    </row>
    <row r="25" ht="3.6" customHeight="1" spans="1:25">
      <c r="P25" s="132"/>
      <c r="Q25" s="133"/>
      <c r="R25" s="133"/>
      <c r="S25" s="133"/>
      <c r="T25" s="133"/>
      <c r="U25" s="133"/>
    </row>
    <row r="26" s="14" customFormat="1" ht="21.6" customHeight="1" spans="1:25">
      <c r="A26" s="23" t="s">
        <v>73</v>
      </c>
      <c r="B26" s="23">
        <v>0</v>
      </c>
      <c r="C26" s="104" t="s">
        <v>74</v>
      </c>
      <c r="D26" s="29" t="s">
        <v>75</v>
      </c>
      <c r="E26" s="11" t="s">
        <v>76</v>
      </c>
      <c r="F26" s="29" t="s">
        <v>77</v>
      </c>
      <c r="G26" s="29" t="s">
        <v>78</v>
      </c>
      <c r="H26" s="29" t="s">
        <v>79</v>
      </c>
      <c r="I26" s="29" t="s">
        <v>80</v>
      </c>
      <c r="J26" s="29" t="s">
        <v>81</v>
      </c>
      <c r="K26" s="29" t="s">
        <v>82</v>
      </c>
      <c r="L26" s="29" t="s">
        <v>83</v>
      </c>
      <c r="M26" s="29" t="s">
        <v>84</v>
      </c>
      <c r="N26" s="29" t="s">
        <v>85</v>
      </c>
      <c r="O26" s="29" t="s">
        <v>86</v>
      </c>
      <c r="P26" s="134"/>
      <c r="Q26" s="42"/>
      <c r="R26" s="42"/>
      <c r="S26" s="42"/>
      <c r="T26" s="42"/>
      <c r="U26" s="42"/>
      <c r="V26" s="42"/>
      <c r="W26" s="42"/>
      <c r="X26" s="27"/>
      <c r="Y26" s="27"/>
    </row>
    <row r="27" s="14" customFormat="1" ht="21.6" customHeight="1" spans="1:25">
      <c r="A27" s="23"/>
      <c r="B27" s="23"/>
      <c r="C27" s="48">
        <v>0</v>
      </c>
      <c r="D27" s="49">
        <v>-1.2</v>
      </c>
      <c r="E27" s="49">
        <v>-1.2</v>
      </c>
      <c r="F27" s="50"/>
      <c r="G27" s="50"/>
      <c r="H27" s="50"/>
      <c r="I27" s="49"/>
      <c r="J27" s="49"/>
      <c r="K27" s="49"/>
      <c r="L27" s="49"/>
      <c r="M27" s="49"/>
      <c r="N27" s="49"/>
      <c r="O27" s="49"/>
      <c r="P27" s="44"/>
      <c r="Q27" s="45"/>
      <c r="R27" s="45"/>
      <c r="S27" s="45"/>
      <c r="T27" s="45"/>
      <c r="U27" s="45"/>
      <c r="V27" s="27"/>
      <c r="W27" s="27"/>
      <c r="X27" s="27"/>
      <c r="Y27" s="27"/>
    </row>
    <row r="28" s="15" customFormat="1" ht="22.2" customHeight="1" spans="1:25">
      <c r="A28" s="51" t="s">
        <v>87</v>
      </c>
      <c r="B28" s="51" t="s">
        <v>88</v>
      </c>
      <c r="C28" s="51" t="s">
        <v>89</v>
      </c>
      <c r="D28" s="51" t="s">
        <v>90</v>
      </c>
      <c r="E28" s="51">
        <v>33081</v>
      </c>
      <c r="F28" s="51" t="s">
        <v>91</v>
      </c>
      <c r="G28" s="51" t="s">
        <v>92</v>
      </c>
      <c r="H28" s="51" t="s">
        <v>93</v>
      </c>
      <c r="I28" s="51" t="s">
        <v>94</v>
      </c>
      <c r="J28" s="52" t="s">
        <v>95</v>
      </c>
      <c r="K28" s="53">
        <v>615</v>
      </c>
      <c r="L28" s="53">
        <v>620</v>
      </c>
      <c r="M28" s="53">
        <v>625</v>
      </c>
      <c r="N28" s="53">
        <v>630</v>
      </c>
      <c r="O28" s="53">
        <v>635</v>
      </c>
      <c r="P28" s="53">
        <v>640</v>
      </c>
      <c r="Q28" s="53">
        <v>645</v>
      </c>
      <c r="R28" s="53">
        <v>650</v>
      </c>
      <c r="S28" s="53">
        <v>655</v>
      </c>
      <c r="T28" s="53">
        <v>660</v>
      </c>
      <c r="U28" s="54" t="s">
        <v>96</v>
      </c>
    </row>
    <row r="29" s="14" customFormat="1" ht="18" customHeight="1" spans="1:25">
      <c r="A29" s="55" t="s">
        <v>135</v>
      </c>
      <c r="B29" s="55" t="s">
        <v>98</v>
      </c>
      <c r="C29" s="124">
        <v>0.255</v>
      </c>
      <c r="D29" s="57"/>
      <c r="E29" s="58">
        <v>38184</v>
      </c>
      <c r="F29" s="59">
        <f t="shared" ref="F29:F48" si="0">C29*E29/1000</f>
        <v>9.73692</v>
      </c>
      <c r="G29" s="59">
        <f t="shared" ref="G29:G38" si="1">F29*66</f>
        <v>642.63672</v>
      </c>
      <c r="H29" s="60">
        <f>I29/G29</f>
        <v>0.970702007601261</v>
      </c>
      <c r="I29" s="61">
        <f>G29*(H30+0.15%)</f>
        <v>623.80875426229</v>
      </c>
      <c r="J29" s="61"/>
      <c r="K29" s="62">
        <f>(NORMSDIST((I29-$K$28)/B15)-NORMSDIST((I29-$L$28)/B15))</f>
        <v>0.0171729897080085</v>
      </c>
      <c r="L29" s="62">
        <f>(NORMSDIST((I29-$L$28)/B15)-NORMSDIST((I29-$M$28)/B15))</f>
        <v>0.728777834141319</v>
      </c>
      <c r="M29" s="63">
        <f>(NORMSDIST((I29-$M$28)/B15)-NORMSDIST((I29-$N$28)/B15))</f>
        <v>0.253757373750811</v>
      </c>
      <c r="N29" s="63">
        <f>(NORMSDIST((I29-$N$28)/B15)-NORMSDIST((I29-$O$28)/B15))</f>
        <v>0.000291307490523323</v>
      </c>
      <c r="O29" s="63">
        <f>(NORMSDIST((I29-$O$28)/B15)-NORMSDIST((I29-$P$28)/B15))</f>
        <v>2.52796476274465e-10</v>
      </c>
      <c r="P29" s="63">
        <f>(NORMSDIST((I29-$P$28)/B15)-NORMSDIST((I29-$Q$28)/B15))</f>
        <v>1.17969399003189e-19</v>
      </c>
      <c r="Q29" s="63">
        <f>(NORMSDIST((I29-$Q$28)/B15)-NORMSDIST((I29-$R$28)/B15))</f>
        <v>2.69160644582773e-32</v>
      </c>
      <c r="R29" s="63">
        <f>(NORMSDIST((I29-$R$28)/B15)-NORMSDIST((I29-$S$28)/B15))</f>
        <v>2.89075806145745e-48</v>
      </c>
      <c r="S29" s="63">
        <f>(NORMSDIST((I29-$S$28)/B15)-NORMSDIST((I29-$T$28)/B15))</f>
        <v>1.43429746454254e-67</v>
      </c>
      <c r="T29" s="63"/>
      <c r="U29" s="64">
        <f t="shared" ref="U29:U48" si="2">SUM(K29:T29)</f>
        <v>0.999999505343458</v>
      </c>
    </row>
    <row r="30" s="14" customFormat="1" ht="18" customHeight="1" spans="1:25">
      <c r="A30" s="65"/>
      <c r="B30" s="65"/>
      <c r="C30" s="56">
        <f t="shared" ref="C30:C48" si="3">C29+0.1%</f>
        <v>0.256</v>
      </c>
      <c r="D30" s="66"/>
      <c r="E30" s="58">
        <v>38184</v>
      </c>
      <c r="F30" s="59">
        <f t="shared" si="0"/>
        <v>9.775104</v>
      </c>
      <c r="G30" s="59">
        <f t="shared" si="1"/>
        <v>645.156864</v>
      </c>
      <c r="H30" s="60">
        <f t="shared" ref="H30:H48" si="4">I30/G30</f>
        <v>0.969202007601262</v>
      </c>
      <c r="I30" s="61">
        <f t="shared" ref="I30:I35" si="5">G30*(H31+0.15%)</f>
        <v>625.287327806534</v>
      </c>
      <c r="J30" s="61"/>
      <c r="K30" s="62">
        <f>(NORMSDIST((I30-$K$28)/B15)-NORMSDIST((I30-$L$28)/B15))</f>
        <v>0.0016548558523819</v>
      </c>
      <c r="L30" s="62">
        <f>(NORMSDIST((I30-$L$28)/B15)-NORMSDIST((I30-$M$28)/B15))</f>
        <v>0.434932766689502</v>
      </c>
      <c r="M30" s="63">
        <f>(NORMSDIST((I30-$M$28)/B15)-NORMSDIST((I30-$N$28)/B15))</f>
        <v>0.558991991102518</v>
      </c>
      <c r="N30" s="63">
        <f>(NORMSDIST((I30-$N$28)/B15)-NORMSDIST((I30-$O$28)/B15))</f>
        <v>0.00442034679131675</v>
      </c>
      <c r="O30" s="63">
        <f>(NORMSDIST((I30-$O$28)/B15)-NORMSDIST((I30-$P$28)/B15))</f>
        <v>3.40849513237244e-8</v>
      </c>
      <c r="P30" s="63">
        <f>(NORMSDIST((I30-$P$28)/B15)-NORMSDIST((I30-$Q$28)/B15))</f>
        <v>1.49528068037598e-16</v>
      </c>
      <c r="Q30" s="63">
        <f>(NORMSDIST((I30-$Q$28)/B15)-NORMSDIST((I30-$R$28)/B15))</f>
        <v>3.26836970871162e-28</v>
      </c>
      <c r="R30" s="63">
        <f>(NORMSDIST((I30-$R$28)/B15)-NORMSDIST((L30-$S$28)/B15))</f>
        <v>3.39102507452825e-43</v>
      </c>
      <c r="S30" s="63">
        <f>(NORMSDIST((I30-$S$28)/B15)-NORMSDIST((I30-$T$28)/B15))</f>
        <v>1.63254759530003e-61</v>
      </c>
      <c r="T30" s="63"/>
      <c r="U30" s="64">
        <f t="shared" si="2"/>
        <v>0.99999999452067</v>
      </c>
    </row>
    <row r="31" s="14" customFormat="1" ht="18" customHeight="1" spans="1:25">
      <c r="A31" s="65"/>
      <c r="B31" s="65"/>
      <c r="C31" s="56">
        <f t="shared" si="3"/>
        <v>0.257</v>
      </c>
      <c r="D31" s="67"/>
      <c r="E31" s="58">
        <v>38184</v>
      </c>
      <c r="F31" s="59">
        <f t="shared" si="0"/>
        <v>9.813288</v>
      </c>
      <c r="G31" s="59">
        <f t="shared" si="1"/>
        <v>647.677008</v>
      </c>
      <c r="H31" s="60">
        <f t="shared" si="4"/>
        <v>0.967702007601262</v>
      </c>
      <c r="I31" s="61">
        <f t="shared" si="5"/>
        <v>626.758340918778</v>
      </c>
      <c r="J31" s="68"/>
      <c r="K31" s="62">
        <f>(NORMSDIST((I31-$K$28)/B15)-NORMSDIST((I31-$L$28)/B15))</f>
        <v>8.67974992756482e-5</v>
      </c>
      <c r="L31" s="62">
        <f>(NORMSDIST((I31-$L$28)/B15)-NORMSDIST((I31-$M$28)/B15))</f>
        <v>0.164233409871979</v>
      </c>
      <c r="M31" s="63">
        <f>(NORMSDIST((I31-$M$28)/B15)-NORMSDIST((I31-$N$28)/B15))</f>
        <v>0.799822182433164</v>
      </c>
      <c r="N31" s="69">
        <f>(NORMSDIST((I31-$N$28)/B15)-NORMSDIST((I31-$O$28)/B15))</f>
        <v>0.0358552707841577</v>
      </c>
      <c r="O31" s="69">
        <f>(NORMSDIST((I31-$O$28)/B15)-NORMSDIST((I31-$P$28)/B15))</f>
        <v>2.33937896926781e-6</v>
      </c>
      <c r="P31" s="63">
        <f>(NORMSDIST((I31-$P$28)/B15)-NORMSDIST((I31-$Q$28)/B15))</f>
        <v>9.44135105756147e-14</v>
      </c>
      <c r="Q31" s="63">
        <f>(NORMSDIST((I31-$Q$28)/B15)-NORMSDIST((I31-$R$28)/B15))</f>
        <v>1.94664878025469e-24</v>
      </c>
      <c r="R31" s="63">
        <f>(NORMSDIST((I31-$R$28)/B15)-NORMSDIST((L31-$S$28)/B15))</f>
        <v>1.92500558010725e-38</v>
      </c>
      <c r="S31" s="63">
        <f>(NORMSDIST((I31-$S$28)/B15)-NORMSDIST((I31-$T$28)/B15))</f>
        <v>8.87923190813237e-56</v>
      </c>
      <c r="T31" s="63"/>
      <c r="U31" s="64">
        <f t="shared" si="2"/>
        <v>0.999999999967641</v>
      </c>
    </row>
    <row r="32" s="16" customFormat="1" ht="18" customHeight="1" spans="1:25">
      <c r="A32" s="65"/>
      <c r="B32" s="65"/>
      <c r="C32" s="56">
        <f t="shared" si="3"/>
        <v>0.258</v>
      </c>
      <c r="D32" s="67"/>
      <c r="E32" s="58">
        <v>38184</v>
      </c>
      <c r="F32" s="70">
        <f t="shared" si="0"/>
        <v>9.851472</v>
      </c>
      <c r="G32" s="59">
        <f t="shared" si="1"/>
        <v>650.197152</v>
      </c>
      <c r="H32" s="71">
        <f t="shared" si="4"/>
        <v>0.966202007601262</v>
      </c>
      <c r="I32" s="61">
        <f t="shared" si="5"/>
        <v>628.221793599023</v>
      </c>
      <c r="J32" s="72"/>
      <c r="K32" s="73">
        <f>(NORMSDIST((I32-$K$28)/B15)-NORMSDIST((I32-$L$28)/B15))</f>
        <v>2.4659592097187e-6</v>
      </c>
      <c r="L32" s="73">
        <f>(NORMSDIST((I32-$L$28)/B15)-NORMSDIST((I32-$M$28)/B15))</f>
        <v>0.0367337076481827</v>
      </c>
      <c r="M32" s="73">
        <f>(NORMSDIST((I32-$M$28)/B15)-NORMSDIST((I32-$N$28)/B15))</f>
        <v>0.801661163443146</v>
      </c>
      <c r="N32" s="73">
        <f>(NORMSDIST((I32-$N$28)/B15)-NORMSDIST((I32-$O$28)/B15))</f>
        <v>0.16151961149325</v>
      </c>
      <c r="O32" s="73">
        <f>(NORMSDIST((I32-$O$28)/B15)-NORMSDIST((I32-$P$28)/B15))</f>
        <v>8.30514260504564e-5</v>
      </c>
      <c r="P32" s="73">
        <f>(NORMSDIST((I32-$P$28)/B15)-NORMSDIST((I32-$Q$28)/B15))</f>
        <v>3.00581969000253e-11</v>
      </c>
      <c r="Q32" s="73">
        <f>(NORMSDIST((I32-$Q$28)/B15)-NORMSDIST((I32-$R$28)/B15))</f>
        <v>5.75019407276733e-21</v>
      </c>
      <c r="R32" s="73">
        <f>(NORMSDIST((I32-$R$28)/B15)-NORMSDIST((L32-$S$28)/B15))</f>
        <v>5.34504337602693e-34</v>
      </c>
      <c r="S32" s="63">
        <f>(NORMSDIST((I32-$S$28)/B15)-NORMSDIST((I32-$T$28)/B15))</f>
        <v>2.33201932415336e-50</v>
      </c>
      <c r="T32" s="63"/>
      <c r="U32" s="64">
        <f t="shared" si="2"/>
        <v>0.999999999999897</v>
      </c>
    </row>
    <row r="33" s="14" customFormat="1" ht="18" customHeight="1" spans="1:21">
      <c r="A33" s="65"/>
      <c r="B33" s="65"/>
      <c r="C33" s="56">
        <f t="shared" si="3"/>
        <v>0.259</v>
      </c>
      <c r="D33" s="76"/>
      <c r="E33" s="58">
        <v>38184</v>
      </c>
      <c r="F33" s="59">
        <f t="shared" si="0"/>
        <v>9.889656</v>
      </c>
      <c r="G33" s="59">
        <f t="shared" si="1"/>
        <v>652.717296</v>
      </c>
      <c r="H33" s="60">
        <f t="shared" si="4"/>
        <v>0.964702007601262</v>
      </c>
      <c r="I33" s="61">
        <f t="shared" si="5"/>
        <v>629.677685847267</v>
      </c>
      <c r="J33" s="72"/>
      <c r="K33" s="62">
        <f>(NORMSDIST((I33-$K$28)/B15)-NORMSDIST((I33-$L$28)/B15))</f>
        <v>3.79755068502519e-8</v>
      </c>
      <c r="L33" s="62">
        <f>(NORMSDIST((I33-$L$28)/B15)-NORMSDIST((I33-$M$28)/B15))</f>
        <v>0.00467864207620161</v>
      </c>
      <c r="M33" s="63">
        <f>(NORMSDIST((I33-$M$28)/B15)-NORMSDIST((I33-$N$28)/B15))</f>
        <v>0.566377367063221</v>
      </c>
      <c r="N33" s="63">
        <f>(NORMSDIST((I33-$N$28)/B15)-NORMSDIST((I33-$O$28)/B15))</f>
        <v>0.427389912146555</v>
      </c>
      <c r="O33" s="63">
        <f>(NORMSDIST((I33-$O$28)/B15)-NORMSDIST((I33-$P$28)/B15))</f>
        <v>0.00155403585192536</v>
      </c>
      <c r="P33" s="63">
        <f>(NORMSDIST((I33-$P$28)/B15)-NORMSDIST((I33-$Q$28)/B15))</f>
        <v>4.88659010931526e-9</v>
      </c>
      <c r="Q33" s="63">
        <f>(NORMSDIST((I33-$Q$28)/B15)-NORMSDIST((I33-$R$28)/B15))</f>
        <v>8.51872252814678e-18</v>
      </c>
      <c r="R33" s="63">
        <f>(NORMSDIST((I33-$R$28)/B15)-NORMSDIST((L33-$S$28)/B15))</f>
        <v>7.33724980398076e-30</v>
      </c>
      <c r="S33" s="63">
        <f>(NORMSDIST((I33-$S$28)/B15)-NORMSDIST((I33-$T$28)/B15))</f>
        <v>2.98876330516253e-45</v>
      </c>
      <c r="T33" s="63"/>
      <c r="U33" s="64">
        <f t="shared" si="2"/>
        <v>1</v>
      </c>
    </row>
    <row r="34" s="14" customFormat="1" ht="18" customHeight="1" spans="1:21">
      <c r="A34" s="65"/>
      <c r="B34" s="65"/>
      <c r="C34" s="56">
        <f t="shared" si="3"/>
        <v>0.26</v>
      </c>
      <c r="D34" s="76">
        <v>0.0341140293136703</v>
      </c>
      <c r="E34" s="58">
        <v>38184</v>
      </c>
      <c r="F34" s="59">
        <f t="shared" si="0"/>
        <v>9.92784</v>
      </c>
      <c r="G34" s="59">
        <f t="shared" si="1"/>
        <v>655.23744</v>
      </c>
      <c r="H34" s="60">
        <f t="shared" si="4"/>
        <v>0.963202007601262</v>
      </c>
      <c r="I34" s="61">
        <f t="shared" si="5"/>
        <v>631.126017663511</v>
      </c>
      <c r="J34" s="75"/>
      <c r="K34" s="62">
        <f>(NORMSDIST((I34-$K$28)/B15)-NORMSDIST((I34-$L$28)/B15))</f>
        <v>3.18240211960585e-10</v>
      </c>
      <c r="L34" s="62">
        <f>(NORMSDIST((I34-$L$28)/B15)-NORMSDIST((I34-$M$28)/B15))</f>
        <v>0.000332832790011506</v>
      </c>
      <c r="M34" s="63">
        <f>(NORMSDIST((I34-$M$28)/B15)-NORMSDIST((I34-$N$28)/B15))</f>
        <v>0.265467196812743</v>
      </c>
      <c r="N34" s="63">
        <f>(NORMSDIST((I34-$N$28)/B15)-NORMSDIST((I34-$O$28)/B15))</f>
        <v>0.718509655713849</v>
      </c>
      <c r="O34" s="63">
        <f>(NORMSDIST((I34-$O$28)/B15)-NORMSDIST((I34-$P$28)/B15))</f>
        <v>0.0156899031964189</v>
      </c>
      <c r="P34" s="63">
        <f>(NORMSDIST((I34-$P$28)/B15)-NORMSDIST((I34-$Q$28)/B15))</f>
        <v>4.11168730441386e-7</v>
      </c>
      <c r="Q34" s="63">
        <f>(NORMSDIST((I34-$Q$28)/B15)-NORMSDIST((I34-$R$28)/B15))</f>
        <v>6.40186332695176e-15</v>
      </c>
      <c r="R34" s="63">
        <f>(NORMSDIST((I34-$R$28)/B15)-NORMSDIST((L34-$S$28)/B15))</f>
        <v>5.03314070691275e-26</v>
      </c>
      <c r="S34" s="63">
        <f>(NORMSDIST((I34-$S$28)/B15)-NORMSDIST((I34-$T$28)/B15))</f>
        <v>1.88887470335194e-40</v>
      </c>
      <c r="T34" s="63"/>
      <c r="U34" s="64">
        <f t="shared" si="2"/>
        <v>1</v>
      </c>
    </row>
    <row r="35" s="14" customFormat="1" ht="18" customHeight="1" spans="1:21">
      <c r="A35" s="65"/>
      <c r="B35" s="65"/>
      <c r="C35" s="56">
        <f t="shared" si="3"/>
        <v>0.261</v>
      </c>
      <c r="D35" s="76">
        <v>0.0586334878828709</v>
      </c>
      <c r="E35" s="58">
        <v>38184</v>
      </c>
      <c r="F35" s="59">
        <f t="shared" si="0"/>
        <v>9.966024</v>
      </c>
      <c r="G35" s="59">
        <f t="shared" si="1"/>
        <v>657.757584</v>
      </c>
      <c r="H35" s="60">
        <f t="shared" si="4"/>
        <v>0.961702007601262</v>
      </c>
      <c r="I35" s="61">
        <f t="shared" si="5"/>
        <v>632.566789047756</v>
      </c>
      <c r="J35" s="77"/>
      <c r="K35" s="62">
        <f>(NORMSDIST((I35-$K$28)/B15)-NORMSDIST((I35-$L$28)/B15))</f>
        <v>1.45972123277716e-12</v>
      </c>
      <c r="L35" s="62">
        <f>(NORMSDIST((I35-$L$28)/B15)-NORMSDIST((I35-$M$28)/B15))</f>
        <v>1.31251845076896e-5</v>
      </c>
      <c r="M35" s="63">
        <f>(NORMSDIST((I35-$M$28)/B15)-NORMSDIST((I35-$N$28)/B15))</f>
        <v>0.0769219240128775</v>
      </c>
      <c r="N35" s="63">
        <f>(NORMSDIST((I35-$N$28)/B15)-NORMSDIST((I35-$O$28)/B15))</f>
        <v>0.834842716771967</v>
      </c>
      <c r="O35" s="63">
        <f>(NORMSDIST((I35-$O$28)/B15)-NORMSDIST((I35-$P$28)/B15))</f>
        <v>0.0882040612516001</v>
      </c>
      <c r="P35" s="63">
        <f>(NORMSDIST((I35-$P$28)/B15)-NORMSDIST((I35-$Q$28)/B15))</f>
        <v>1.817277511889e-5</v>
      </c>
      <c r="Q35" s="63">
        <f>(NORMSDIST((I35-$Q$28)/B15)-NORMSDIST((I35-$R$28)/B15))</f>
        <v>2.4691372097862e-12</v>
      </c>
      <c r="R35" s="63">
        <f>(NORMSDIST((I35-$R$28)/B15)-NORMSDIST((I35-$S$28)/B15))</f>
        <v>1.74404126313714e-22</v>
      </c>
      <c r="S35" s="63">
        <f>(NORMSDIST((I35-$S$28)/B15)-NORMSDIST((I35-$T$28)/B15))</f>
        <v>5.94859905217249e-36</v>
      </c>
      <c r="T35" s="63"/>
      <c r="U35" s="64">
        <f t="shared" si="2"/>
        <v>1</v>
      </c>
    </row>
    <row r="36" s="16" customFormat="1" ht="18" customHeight="1" spans="1:21">
      <c r="A36" s="65"/>
      <c r="B36" s="65"/>
      <c r="C36" s="78">
        <f t="shared" si="3"/>
        <v>0.262</v>
      </c>
      <c r="D36" s="76">
        <v>0.0841203302499458</v>
      </c>
      <c r="E36" s="79">
        <v>38184</v>
      </c>
      <c r="F36" s="80">
        <f t="shared" si="0"/>
        <v>10.004208</v>
      </c>
      <c r="G36" s="80">
        <f t="shared" si="1"/>
        <v>660.277728</v>
      </c>
      <c r="H36" s="81">
        <f t="shared" si="4"/>
        <v>0.960202007601262</v>
      </c>
      <c r="I36" s="82">
        <v>634</v>
      </c>
      <c r="J36" s="82" t="s">
        <v>99</v>
      </c>
      <c r="K36" s="83">
        <f>(NORMSDIST((I36-$K$28)/B15)-NORMSDIST((I36-$L$28)/B15))</f>
        <v>3.66373598126302e-15</v>
      </c>
      <c r="L36" s="83">
        <f>(NORMSDIST((I36-$L$28)/B15)-NORMSDIST((I36-$M$28)/B15))</f>
        <v>2.86651568259799e-7</v>
      </c>
      <c r="M36" s="84">
        <f>(NORMSDIST((I36-$M$28)/B15)-NORMSDIST((I36-$N$28)/B15))</f>
        <v>0.0131338590394492</v>
      </c>
      <c r="N36" s="84">
        <f>(NORMSDIST((I36-$N$28)/B15)-NORMSDIST((I36-$O$28)/B15))</f>
        <v>0.697608493555007</v>
      </c>
      <c r="O36" s="84">
        <f>(NORMSDIST((I36-$O$28)/B15)-NORMSDIST((I36-$P$28)/B15))</f>
        <v>0.288828300420775</v>
      </c>
      <c r="P36" s="84">
        <f>(NORMSDIST((I36-$P$28)/B15)-NORMSDIST((I36-$Q$28)/B15))</f>
        <v>0.000429059838497598</v>
      </c>
      <c r="Q36" s="84">
        <f>(NORMSDIST((I36-$Q$28)/B15)-NORMSDIST((I36-$R$28)/B15))</f>
        <v>4.94699239609934e-10</v>
      </c>
      <c r="R36" s="84">
        <f>(NORMSDIST((I36-$R$28)/B15)-NORMSDIST((I36-$S$28)/B15))</f>
        <v>3.08615064087546e-19</v>
      </c>
      <c r="S36" s="84">
        <f>(NORMSDIST((I36-$S$28)/B15)-NORMSDIST((I36-$T$28)/B15))</f>
        <v>9.4335875952115e-32</v>
      </c>
      <c r="T36" s="84"/>
      <c r="U36" s="85">
        <f t="shared" si="2"/>
        <v>1</v>
      </c>
    </row>
    <row r="37" s="27" customFormat="1" ht="18" customHeight="1" spans="1:21">
      <c r="A37" s="65"/>
      <c r="B37" s="65"/>
      <c r="C37" s="107">
        <f t="shared" si="3"/>
        <v>0.263</v>
      </c>
      <c r="D37" s="73">
        <v>0.231516943533095</v>
      </c>
      <c r="E37" s="108">
        <v>38184</v>
      </c>
      <c r="F37" s="109">
        <f t="shared" si="0"/>
        <v>10.042392</v>
      </c>
      <c r="G37" s="109">
        <f t="shared" si="1"/>
        <v>662.797872</v>
      </c>
      <c r="H37" s="71">
        <f t="shared" si="4"/>
        <v>0.958702007601262</v>
      </c>
      <c r="I37" s="61">
        <f t="shared" ref="I37:I48" si="6">G37*(H36-0.15%)</f>
        <v>635.425650520244</v>
      </c>
      <c r="J37" s="61"/>
      <c r="K37" s="73">
        <f>(NORMSDIST((I37-$K$28)/B15)-NORMSDIST((I37-$L$28)/B15))</f>
        <v>0</v>
      </c>
      <c r="L37" s="73">
        <f>(NORMSDIST((I37-$L$28)/B15)-NORMSDIST((I37-$M$28)/B15))</f>
        <v>3.47707584946733e-9</v>
      </c>
      <c r="M37" s="73">
        <f>(NORMSDIST((I37-$M$28)/B15)-NORMSDIST((I37-$N$28)/B15))</f>
        <v>0.00128807243833451</v>
      </c>
      <c r="N37" s="73">
        <f>(NORMSDIST((I37-$N$28)/B15)-NORMSDIST((I37-$O$28)/B15))</f>
        <v>0.405244941744994</v>
      </c>
      <c r="O37" s="73">
        <f>(NORMSDIST((I37-$O$28)/B15)-NORMSDIST((I37-$P$28)/B15))</f>
        <v>0.587945009953208</v>
      </c>
      <c r="P37" s="73">
        <f>(NORMSDIST((I37-$P$28)/B15)-NORMSDIST((I37-$Q$28)/B15))</f>
        <v>0.00552192024062395</v>
      </c>
      <c r="Q37" s="73">
        <f>(NORMSDIST((I37-$Q$28)/B15)-NORMSDIST((I37-$R$28)/B15))</f>
        <v>5.2145763748857e-8</v>
      </c>
      <c r="R37" s="73">
        <f>(NORMSDIST((I37-$R$28)/B15)-NORMSDIST((I37-$S$28)/B15))</f>
        <v>2.81977651086302e-16</v>
      </c>
      <c r="S37" s="73">
        <f>(NORMSDIST((I37-$S$28)/B15)-NORMSDIST((I37-$T$28)/B15))</f>
        <v>7.61289872216158e-28</v>
      </c>
      <c r="T37" s="73"/>
      <c r="U37" s="107">
        <f t="shared" si="2"/>
        <v>1</v>
      </c>
    </row>
    <row r="38" s="27" customFormat="1" ht="18" customHeight="1" spans="1:21">
      <c r="A38" s="65"/>
      <c r="B38" s="65"/>
      <c r="C38" s="107">
        <f t="shared" si="3"/>
        <v>0.264</v>
      </c>
      <c r="D38" s="73">
        <v>0.320133020125304</v>
      </c>
      <c r="E38" s="58">
        <v>38184</v>
      </c>
      <c r="F38" s="59">
        <f t="shared" si="0"/>
        <v>10.080576</v>
      </c>
      <c r="G38" s="59">
        <f t="shared" si="1"/>
        <v>665.318016</v>
      </c>
      <c r="H38" s="60">
        <f t="shared" si="4"/>
        <v>0.957202007601262</v>
      </c>
      <c r="I38" s="61">
        <f t="shared" si="6"/>
        <v>636.843740608489</v>
      </c>
      <c r="J38" s="61"/>
      <c r="K38" s="73">
        <f>(NORMSDIST((I38-$K$28)/B15)-NORMSDIST((I38-$L$28)/B15))</f>
        <v>0</v>
      </c>
      <c r="L38" s="73">
        <f>(NORMSDIST((I38-$L$28)/B15)-NORMSDIST((I38-$M$28)/B15))</f>
        <v>2.35452768393429e-11</v>
      </c>
      <c r="M38" s="73">
        <f>(NORMSDIST((I38-$M$28)/B15)-NORMSDIST((I38-$N$28)/B15))</f>
        <v>7.17437104982288e-5</v>
      </c>
      <c r="N38" s="73">
        <f>(NORMSDIST((I38-$N$28)/B15)-NORMSDIST((I38-$O$28)/B15))</f>
        <v>0.152774975431197</v>
      </c>
      <c r="O38" s="73">
        <f>(NORMSDIST((I38-$O$28)/B15)-NORMSDIST((I38-$P$28)/B15))</f>
        <v>0.807393236492696</v>
      </c>
      <c r="P38" s="73">
        <f>(NORMSDIST((I38-$P$28)/B15)-NORMSDIST((I38-$Q$28)/B15))</f>
        <v>0.0397571126295539</v>
      </c>
      <c r="Q38" s="73">
        <f>(NORMSDIST((I38-$Q$28)/B15)-NORMSDIST((I38-$R$28)/B15))</f>
        <v>2.93171237509826e-6</v>
      </c>
      <c r="R38" s="73">
        <f>(NORMSDIST((I38-$R$28)/B15)-NORMSDIST((I38-$S$28)/B15))</f>
        <v>1.34535849395423e-13</v>
      </c>
      <c r="S38" s="73">
        <f>(NORMSDIST((I38-$S$28)/B15)-NORMSDIST((I38-$T$28)/B15))</f>
        <v>3.15946005139621e-24</v>
      </c>
      <c r="T38" s="73"/>
      <c r="U38" s="107">
        <f t="shared" si="2"/>
        <v>1</v>
      </c>
    </row>
    <row r="39" s="27" customFormat="1" ht="18" customHeight="1" spans="1:21">
      <c r="A39" s="65"/>
      <c r="B39" s="65"/>
      <c r="C39" s="107">
        <f t="shared" si="3"/>
        <v>0.265</v>
      </c>
      <c r="D39" s="66">
        <v>0.22052468114755</v>
      </c>
      <c r="E39" s="108">
        <v>38184</v>
      </c>
      <c r="F39" s="109">
        <f t="shared" si="0"/>
        <v>10.11876</v>
      </c>
      <c r="G39" s="109">
        <f t="shared" ref="G39:G48" si="7">F39*66</f>
        <v>667.83816</v>
      </c>
      <c r="H39" s="71">
        <f t="shared" si="4"/>
        <v>0.955702007601262</v>
      </c>
      <c r="I39" s="61">
        <f t="shared" si="6"/>
        <v>638.254270264733</v>
      </c>
      <c r="J39" s="61"/>
      <c r="K39" s="73">
        <f>(NORMSDIST((I39-$K$28)/B15)-NORMSDIST((I39-$L$28)/B15))</f>
        <v>0</v>
      </c>
      <c r="L39" s="73">
        <f>(NORMSDIST((I39-$L$28)/B15)-NORMSDIST((I39-$M$28)/B15))</f>
        <v>8.95949980872501e-14</v>
      </c>
      <c r="M39" s="73">
        <f>(NORMSDIST((I39-$M$28)/B15)-NORMSDIST((I39-$N$28)/B15))</f>
        <v>2.26227768940213e-6</v>
      </c>
      <c r="N39" s="73">
        <f>(NORMSDIST((I39-$N$28)/B15)-NORMSDIST((I39-$O$28)/B15))</f>
        <v>0.0353065971892846</v>
      </c>
      <c r="O39" s="73">
        <f>(NORMSDIST((I39-$O$28)/B15)-NORMSDIST((I39-$P$28)/B15))</f>
        <v>0.798630470941629</v>
      </c>
      <c r="P39" s="73">
        <f>(NORMSDIST((I39-$P$28)/B15)-NORMSDIST((I39-$Q$28)/B15))</f>
        <v>0.165971412087811</v>
      </c>
      <c r="Q39" s="73">
        <f>(NORMSDIST((I39-$Q$28)/B15)-NORMSDIST((I39-$R$28)/B15))</f>
        <v>8.92574695873157e-5</v>
      </c>
      <c r="R39" s="73">
        <f>(NORMSDIST((I39-$R$28)/B15)-NORMSDIST((I39-$S$28)/B15))</f>
        <v>3.39089234330533e-11</v>
      </c>
      <c r="S39" s="73">
        <f>(NORMSDIST((I39-$S$28)/B15)-NORMSDIST((I39-$T$28)/B15))</f>
        <v>6.81512990316301e-21</v>
      </c>
      <c r="T39" s="73"/>
      <c r="U39" s="107">
        <f t="shared" si="2"/>
        <v>1</v>
      </c>
    </row>
    <row r="40" s="14" customFormat="1" ht="18" customHeight="1" spans="1:21">
      <c r="A40" s="65"/>
      <c r="B40" s="65"/>
      <c r="C40" s="56">
        <f t="shared" si="3"/>
        <v>0.266</v>
      </c>
      <c r="D40" s="76">
        <v>0.0509575077475633</v>
      </c>
      <c r="E40" s="58">
        <v>38184</v>
      </c>
      <c r="F40" s="59">
        <f t="shared" si="0"/>
        <v>10.156944</v>
      </c>
      <c r="G40" s="59">
        <f t="shared" si="7"/>
        <v>670.358304</v>
      </c>
      <c r="H40" s="60">
        <f t="shared" si="4"/>
        <v>0.954202007601262</v>
      </c>
      <c r="I40" s="61">
        <f t="shared" si="6"/>
        <v>639.657239488977</v>
      </c>
      <c r="J40" s="61"/>
      <c r="K40" s="62">
        <f>(NORMSDIST((I40-$K$28)/B15)-NORMSDIST((I40-$L$28)/B15))</f>
        <v>0</v>
      </c>
      <c r="L40" s="62">
        <f>(NORMSDIST((I40-$L$28)/B15)-NORMSDIST((I40-$M$28)/B15))</f>
        <v>0</v>
      </c>
      <c r="M40" s="63">
        <f>(NORMSDIST((I40-$M$28)/B15)-NORMSDIST((I40-$N$28)/B15))</f>
        <v>4.04447850765877e-8</v>
      </c>
      <c r="N40" s="63">
        <f>(NORMSDIST((I40-$N$28)/B15)-NORMSDIST((I40-$O$28)/B15))</f>
        <v>0.00483575034005601</v>
      </c>
      <c r="O40" s="63">
        <f>(NORMSDIST((I40-$O$28)/B15)-NORMSDIST((I40-$P$28)/B15))</f>
        <v>0.570675177722862</v>
      </c>
      <c r="P40" s="63">
        <f>(NORMSDIST((I40-$P$28)/B15)-NORMSDIST((I40-$Q$28)/B15))</f>
        <v>0.422991286113384</v>
      </c>
      <c r="Q40" s="63">
        <f>(NORMSDIST((I40-$Q$28)/B15)-NORMSDIST((I40-$R$28)/B15))</f>
        <v>0.00149774080935469</v>
      </c>
      <c r="R40" s="63">
        <f>(NORMSDIST((I40-$R$28)/B15)-NORMSDIST((I40-$S$28)/B15))</f>
        <v>4.56955781097404e-9</v>
      </c>
      <c r="S40" s="63">
        <f>(NORMSDIST((I40-$S$28)/B15)-NORMSDIST((I40-$T$28)/B15))</f>
        <v>7.72305290607654e-18</v>
      </c>
      <c r="T40" s="63"/>
      <c r="U40" s="64">
        <f t="shared" si="2"/>
        <v>1</v>
      </c>
    </row>
    <row r="41" s="14" customFormat="1" ht="18" customHeight="1" spans="1:21">
      <c r="A41" s="65"/>
      <c r="B41" s="65"/>
      <c r="C41" s="56">
        <f t="shared" si="3"/>
        <v>0.267</v>
      </c>
      <c r="D41" s="76">
        <v>0</v>
      </c>
      <c r="E41" s="58">
        <v>38184</v>
      </c>
      <c r="F41" s="59">
        <f t="shared" si="0"/>
        <v>10.195128</v>
      </c>
      <c r="G41" s="59">
        <f t="shared" si="7"/>
        <v>672.878448</v>
      </c>
      <c r="H41" s="60">
        <f t="shared" si="4"/>
        <v>0.952702007601262</v>
      </c>
      <c r="I41" s="61">
        <f t="shared" si="6"/>
        <v>641.052648281222</v>
      </c>
      <c r="J41" s="61"/>
      <c r="K41" s="62">
        <f>(NORMSDIST((I41-$K$28)/B15)-NORMSDIST((I41-$L$28)/B15))</f>
        <v>0</v>
      </c>
      <c r="L41" s="62">
        <f>(NORMSDIST((I41-$L$28)/B15)-NORMSDIST((I41-$M$28)/B15))</f>
        <v>0</v>
      </c>
      <c r="M41" s="63">
        <f>(NORMSDIST((I41-$M$28)/B15)-NORMSDIST((I41-$N$28)/B15))</f>
        <v>4.11672917977057e-10</v>
      </c>
      <c r="N41" s="63">
        <f>(NORMSDIST((I41-$N$28)/B15)-NORMSDIST((I41-$O$28)/B15))</f>
        <v>0.000386085003956649</v>
      </c>
      <c r="O41" s="63">
        <f>(NORMSDIST((I41-$O$28)/B15)-NORMSDIST((I41-$P$28)/B15))</f>
        <v>0.27895346984281</v>
      </c>
      <c r="P41" s="63">
        <f>(NORMSDIST((I41-$P$28)/B15)-NORMSDIST((I41-$Q$28)/B15))</f>
        <v>0.706505788892617</v>
      </c>
      <c r="Q41" s="63">
        <f>(NORMSDIST((I41-$Q$28)/B15)-NORMSDIST((I41-$R$28)/B15))</f>
        <v>0.0141543223785759</v>
      </c>
      <c r="R41" s="63">
        <f>(NORMSDIST((I41-$R$28)/B15)-NORMSDIST((I41-$S$28)/B15))</f>
        <v>3.33470363245621e-7</v>
      </c>
      <c r="S41" s="63">
        <f>(NORMSDIST((I41-$S$28)/B15)-NORMSDIST((I41-$T$28)/B15))</f>
        <v>4.64816685799876e-15</v>
      </c>
      <c r="T41" s="63"/>
      <c r="U41" s="64">
        <f t="shared" si="2"/>
        <v>1</v>
      </c>
    </row>
    <row r="42" s="14" customFormat="1" ht="18" customHeight="1" spans="1:21">
      <c r="A42" s="65"/>
      <c r="B42" s="65"/>
      <c r="C42" s="56">
        <f t="shared" si="3"/>
        <v>0.268</v>
      </c>
      <c r="D42" s="76"/>
      <c r="E42" s="58">
        <v>38184</v>
      </c>
      <c r="F42" s="59">
        <f t="shared" si="0"/>
        <v>10.233312</v>
      </c>
      <c r="G42" s="59">
        <f t="shared" si="7"/>
        <v>675.398592</v>
      </c>
      <c r="H42" s="60">
        <f t="shared" si="4"/>
        <v>0.951202007601262</v>
      </c>
      <c r="I42" s="61">
        <f t="shared" si="6"/>
        <v>642.440496641466</v>
      </c>
      <c r="J42" s="61"/>
      <c r="K42" s="62">
        <f>(NORMSDIST((I42-$K$28)/B15)-NORMSDIST((I42-$L$28)/B15))</f>
        <v>0</v>
      </c>
      <c r="L42" s="62">
        <f>(NORMSDIST((I42-$L$28)/B15)-NORMSDIST((I42-$M$28)/B15))</f>
        <v>0</v>
      </c>
      <c r="M42" s="63">
        <f>(NORMSDIST((I42-$M$28)/B15)-NORMSDIST((I42-$N$28)/B15))</f>
        <v>2.39963604542481e-12</v>
      </c>
      <c r="N42" s="63">
        <f>(NORMSDIST((I42-$N$28)/B15)-NORMSDIST((I42-$O$28)/B15))</f>
        <v>1.78555191189256e-5</v>
      </c>
      <c r="O42" s="63">
        <f>(NORMSDIST((I42-$O$28)/B15)-NORMSDIST((I42-$P$28)/B15))</f>
        <v>0.0875585428341666</v>
      </c>
      <c r="P42" s="63">
        <f>(NORMSDIST((I42-$P$28)/B15)-NORMSDIST((I42-$Q$28)/B15))</f>
        <v>0.834902682760222</v>
      </c>
      <c r="Q42" s="63">
        <f>(NORMSDIST((I42-$Q$28)/B15)-NORMSDIST((I42-$R$28)/B15))</f>
        <v>0.0775075568625546</v>
      </c>
      <c r="R42" s="63">
        <f>(NORMSDIST((I42-$R$28)/B15)-NORMSDIST((I42-$S$28)/B15))</f>
        <v>1.33620200353636e-5</v>
      </c>
      <c r="S42" s="63">
        <f>(NORMSDIST((I42-$S$28)/B15)-NORMSDIST((I42-$T$28)/B15))</f>
        <v>1.50237414986144e-12</v>
      </c>
      <c r="T42" s="63"/>
      <c r="U42" s="64">
        <f t="shared" si="2"/>
        <v>1</v>
      </c>
    </row>
    <row r="43" s="14" customFormat="1" ht="18" customHeight="1" spans="1:21">
      <c r="A43" s="65"/>
      <c r="B43" s="65"/>
      <c r="C43" s="56">
        <f t="shared" si="3"/>
        <v>0.269</v>
      </c>
      <c r="D43" s="76"/>
      <c r="E43" s="58">
        <v>38184</v>
      </c>
      <c r="F43" s="59">
        <f t="shared" si="0"/>
        <v>10.271496</v>
      </c>
      <c r="G43" s="59">
        <f t="shared" si="7"/>
        <v>677.918736</v>
      </c>
      <c r="H43" s="60">
        <f t="shared" si="4"/>
        <v>0.949702007601262</v>
      </c>
      <c r="I43" s="61">
        <f t="shared" si="6"/>
        <v>643.82078456971</v>
      </c>
      <c r="J43" s="61"/>
      <c r="K43" s="62">
        <f>(NORMSDIST((I43-$K$28)/B15)-NORMSDIST((I43-$L$28)/B15))</f>
        <v>0</v>
      </c>
      <c r="L43" s="62">
        <f>(NORMSDIST((I43-$L$28)/B15)-NORMSDIST((I43-$M$28)/B15))</f>
        <v>0</v>
      </c>
      <c r="M43" s="63">
        <f>(NORMSDIST((I43-$M$28)/B15)-NORMSDIST((I43-$N$28)/B15))</f>
        <v>8.10462807976364e-15</v>
      </c>
      <c r="N43" s="63">
        <f>(NORMSDIST((I43-$N$28)/B15)-NORMSDIST((I43-$O$28)/B15))</f>
        <v>4.78121328084669e-7</v>
      </c>
      <c r="O43" s="63">
        <f>(NORMSDIST((I43-$O$28)/B15)-NORMSDIST((I43-$P$28)/B15))</f>
        <v>0.0168907783760516</v>
      </c>
      <c r="P43" s="63">
        <f>(NORMSDIST((I43-$P$28)/B15)-NORMSDIST((I43-$Q$28)/B15))</f>
        <v>0.726913393518681</v>
      </c>
      <c r="Q43" s="63">
        <f>(NORMSDIST((I43-$Q$28)/B15)-NORMSDIST((I43-$R$28)/B15))</f>
        <v>0.255896766036486</v>
      </c>
      <c r="R43" s="63">
        <f>(NORMSDIST((I43-$R$28)/B15)-NORMSDIST((I43-$S$28)/B15))</f>
        <v>0.000298583683657765</v>
      </c>
      <c r="S43" s="63">
        <f>(NORMSDIST((I43-$S$28)/B15)-NORMSDIST((I43-$T$28)/B15))</f>
        <v>2.63787029939415e-10</v>
      </c>
      <c r="T43" s="63"/>
      <c r="U43" s="64">
        <f t="shared" si="2"/>
        <v>1</v>
      </c>
    </row>
    <row r="44" s="14" customFormat="1" ht="18" hidden="1" customHeight="1" spans="1:21">
      <c r="A44" s="65"/>
      <c r="B44" s="65"/>
      <c r="C44" s="56">
        <f t="shared" si="3"/>
        <v>0.27</v>
      </c>
      <c r="D44" s="76"/>
      <c r="E44" s="58">
        <v>38184</v>
      </c>
      <c r="F44" s="59">
        <f t="shared" si="0"/>
        <v>10.30968</v>
      </c>
      <c r="G44" s="59">
        <f t="shared" si="7"/>
        <v>680.43888</v>
      </c>
      <c r="H44" s="60">
        <f t="shared" si="4"/>
        <v>0.948202007601262</v>
      </c>
      <c r="I44" s="61">
        <f t="shared" si="6"/>
        <v>645.193512065954</v>
      </c>
      <c r="J44" s="61"/>
      <c r="K44" s="62">
        <f>(NORMSDIST((I44-$K$28)/B15)-NORMSDIST((I44-$L$28)/B15))</f>
        <v>0</v>
      </c>
      <c r="L44" s="62">
        <f>(NORMSDIST((I44-$L$28)/B15)-NORMSDIST((I44-$M$28)/B15))</f>
        <v>0</v>
      </c>
      <c r="M44" s="63">
        <f>(NORMSDIST((I44-$M$28)/B15)-NORMSDIST((I44-$N$28)/B15))</f>
        <v>0</v>
      </c>
      <c r="N44" s="63">
        <f>(NORMSDIST((I44-$N$28)/B15)-NORMSDIST((I44-$O$28)/B15))</f>
        <v>7.4347589196222e-9</v>
      </c>
      <c r="O44" s="63">
        <f>(NORMSDIST((I44-$O$28)/B15)-NORMSDIST((I44-$P$28)/B15))</f>
        <v>0.00195529312822029</v>
      </c>
      <c r="P44" s="63">
        <f>(NORMSDIST((I44-$P$28)/B15)-NORMSDIST((I44-$Q$28)/B15))</f>
        <v>0.455238203274183</v>
      </c>
      <c r="Q44" s="63">
        <f>(NORMSDIST((I44-$Q$28)/B15)-NORMSDIST((I44-$R$28)/B15))</f>
        <v>0.539016994513694</v>
      </c>
      <c r="R44" s="63">
        <f>(NORMSDIST((I44-$R$28)/B15)-NORMSDIST((I44-$S$28)/B15))</f>
        <v>0.00378947618645766</v>
      </c>
      <c r="S44" s="63">
        <f>(NORMSDIST((I44-$S$28)/B15)-NORMSDIST((I44-$T$28)/B15))</f>
        <v>2.54626862390943e-8</v>
      </c>
      <c r="T44" s="63"/>
      <c r="U44" s="64">
        <f t="shared" si="2"/>
        <v>1</v>
      </c>
    </row>
    <row r="45" s="14" customFormat="1" ht="18" hidden="1" customHeight="1" spans="1:21">
      <c r="A45" s="65"/>
      <c r="B45" s="65"/>
      <c r="C45" s="56">
        <f t="shared" si="3"/>
        <v>0.271</v>
      </c>
      <c r="D45" s="87"/>
      <c r="E45" s="58">
        <v>38184</v>
      </c>
      <c r="F45" s="59">
        <f t="shared" si="0"/>
        <v>10.347864</v>
      </c>
      <c r="G45" s="59">
        <f t="shared" si="7"/>
        <v>682.959024</v>
      </c>
      <c r="H45" s="60">
        <f t="shared" si="4"/>
        <v>0.946702007601262</v>
      </c>
      <c r="I45" s="61">
        <f t="shared" si="6"/>
        <v>646.558679130199</v>
      </c>
      <c r="J45" s="61"/>
      <c r="K45" s="62">
        <f>(NORMSDIST((I45-$K$28)/B15)-NORMSDIST((I45-$L$28)/B15))</f>
        <v>0</v>
      </c>
      <c r="L45" s="62">
        <f>(NORMSDIST((I45-$L$28)/B15)-NORMSDIST((I45-$M$28)/B15))</f>
        <v>0</v>
      </c>
      <c r="M45" s="63">
        <f>(NORMSDIST((I45-$M$28)/B15)-NORMSDIST((I45-$N$28)/B15))</f>
        <v>0</v>
      </c>
      <c r="N45" s="63">
        <f>(NORMSDIST((I45-$N$28)/B15)-NORMSDIST((I45-$O$28)/B15))</f>
        <v>6.74741373885013e-11</v>
      </c>
      <c r="O45" s="63">
        <f>(NORMSDIST((I45-$O$28)/B15)-NORMSDIST((I45-$P$28)/B15))</f>
        <v>0.000134367703696014</v>
      </c>
      <c r="P45" s="63">
        <f>(NORMSDIST((I45-$P$28)/B15)-NORMSDIST((I45-$Q$28)/B15))</f>
        <v>0.193129125807873</v>
      </c>
      <c r="Q45" s="63">
        <f>(NORMSDIST((I45-$Q$28)/B15)-NORMSDIST((I45-$R$28)/B15))</f>
        <v>0.778788462808328</v>
      </c>
      <c r="R45" s="63">
        <f>(NORMSDIST((I45-$R$28)/B15)-NORMSDIST((I45-$S$28)/B15))</f>
        <v>0.0279466750663274</v>
      </c>
      <c r="S45" s="63">
        <f>(NORMSDIST((I45-$S$28)/B15)-NORMSDIST((I45-$T$28)/B15))</f>
        <v>1.36854625956216e-6</v>
      </c>
      <c r="T45" s="63"/>
      <c r="U45" s="64">
        <f t="shared" si="2"/>
        <v>0.999999999999959</v>
      </c>
    </row>
    <row r="46" s="14" customFormat="1" ht="18" hidden="1" customHeight="1" spans="1:21">
      <c r="A46" s="65"/>
      <c r="B46" s="65"/>
      <c r="C46" s="56">
        <f t="shared" si="3"/>
        <v>0.272</v>
      </c>
      <c r="D46" s="87"/>
      <c r="E46" s="58">
        <v>38184</v>
      </c>
      <c r="F46" s="59">
        <f t="shared" si="0"/>
        <v>10.386048</v>
      </c>
      <c r="G46" s="59">
        <f t="shared" si="7"/>
        <v>685.479168</v>
      </c>
      <c r="H46" s="60">
        <f t="shared" si="4"/>
        <v>0.945202007601262</v>
      </c>
      <c r="I46" s="61">
        <f t="shared" si="6"/>
        <v>647.916285762443</v>
      </c>
      <c r="J46" s="61"/>
      <c r="K46" s="62">
        <f>(NORMSDIST((I46-$K$28)/B15)-NORMSDIST((I46-$L$28)/B15))</f>
        <v>0</v>
      </c>
      <c r="L46" s="62">
        <f>(NORMSDIST((I46-$L$28)/B15)-NORMSDIST((I46-$M$28)/B15))</f>
        <v>0</v>
      </c>
      <c r="M46" s="63">
        <f>(NORMSDIST((I46-$M$28)/B15)-NORMSDIST((I46-$N$28)/B15))</f>
        <v>0</v>
      </c>
      <c r="N46" s="63">
        <f>(NORMSDIST((I46-$N$28)/B15)-NORMSDIST((I46-$O$28)/B15))</f>
        <v>3.59601237676088e-13</v>
      </c>
      <c r="O46" s="63">
        <f>(NORMSDIST((I46-$O$28)/B15)-NORMSDIST((I46-$P$28)/B15))</f>
        <v>5.46424578928839e-6</v>
      </c>
      <c r="P46" s="63">
        <f>(NORMSDIST((I46-$P$28)/B15)-NORMSDIST((I46-$Q$28)/B15))</f>
        <v>0.0525936249437907</v>
      </c>
      <c r="Q46" s="63">
        <f>(NORMSDIST((I46-$Q$28)/B15)-NORMSDIST((I46-$R$28)/B15))</f>
        <v>0.823891139018896</v>
      </c>
      <c r="R46" s="63">
        <f>(NORMSDIST((I46-$R$28)/B15)-NORMSDIST((I46-$S$28)/B15))</f>
        <v>0.123468242115852</v>
      </c>
      <c r="S46" s="63">
        <f>(NORMSDIST((I46-$S$28)/B15)-NORMSDIST((I46-$T$28)/B15))</f>
        <v>4.15296657912797e-5</v>
      </c>
      <c r="T46" s="63"/>
      <c r="U46" s="64">
        <f t="shared" si="2"/>
        <v>0.999999999990478</v>
      </c>
    </row>
    <row r="47" s="14" customFormat="1" ht="18" hidden="1" customHeight="1" spans="1:21">
      <c r="A47" s="65"/>
      <c r="B47" s="65"/>
      <c r="C47" s="56">
        <f t="shared" si="3"/>
        <v>0.273</v>
      </c>
      <c r="D47" s="87"/>
      <c r="E47" s="58">
        <v>38184</v>
      </c>
      <c r="F47" s="59">
        <f t="shared" si="0"/>
        <v>10.424232</v>
      </c>
      <c r="G47" s="59">
        <f t="shared" si="7"/>
        <v>687.999312</v>
      </c>
      <c r="H47" s="60">
        <f t="shared" si="4"/>
        <v>0.943702007601262</v>
      </c>
      <c r="I47" s="61">
        <f t="shared" si="6"/>
        <v>649.266331962687</v>
      </c>
      <c r="J47" s="61"/>
      <c r="K47" s="62">
        <f>(NORMSDIST((I47-$K$28)/B15)-NORMSDIST((I47-$L$28)/B15))</f>
        <v>0</v>
      </c>
      <c r="L47" s="62">
        <f>(NORMSDIST((I47-$L$28)/B15)-NORMSDIST((I47-$M$28)/B15))</f>
        <v>0</v>
      </c>
      <c r="M47" s="63">
        <f>(NORMSDIST((I47-$M$28)/B15)-NORMSDIST((I47-$N$28)/B15))</f>
        <v>0</v>
      </c>
      <c r="N47" s="63">
        <f>(NORMSDIST((I47-$N$28)/B15)-NORMSDIST((I47-$O$28)/B15))</f>
        <v>1.11022302462516e-15</v>
      </c>
      <c r="O47" s="63">
        <f>(NORMSDIST((I47-$O$28)/B15)-NORMSDIST((I47-$P$28)/B15))</f>
        <v>1.3166576739998e-7</v>
      </c>
      <c r="P47" s="63">
        <f>(NORMSDIST((I47-$P$28)/B15)-NORMSDIST((I47-$Q$28)/B15))</f>
        <v>0.00888947551563035</v>
      </c>
      <c r="Q47" s="63">
        <f>(NORMSDIST((I47-$Q$28)/B15)-NORMSDIST((I47-$R$28)/B15))</f>
        <v>0.649324270660228</v>
      </c>
      <c r="R47" s="63">
        <f>(NORMSDIST((I47-$R$28)/B15)-NORMSDIST((I47-$S$28)/B15))</f>
        <v>0.341063279782118</v>
      </c>
      <c r="S47" s="63">
        <f>(NORMSDIST((I47-$S$28)/B15)-NORMSDIST((I47-$T$28)/B15))</f>
        <v>0.000722841139141738</v>
      </c>
      <c r="T47" s="63"/>
      <c r="U47" s="64">
        <f t="shared" si="2"/>
        <v>0.999999998762886</v>
      </c>
    </row>
    <row r="48" s="14" customFormat="1" ht="18" hidden="1" customHeight="1" spans="1:21">
      <c r="A48" s="65"/>
      <c r="B48" s="65"/>
      <c r="C48" s="56">
        <f t="shared" si="3"/>
        <v>0.274</v>
      </c>
      <c r="D48" s="87"/>
      <c r="E48" s="58">
        <v>38184</v>
      </c>
      <c r="F48" s="59">
        <f t="shared" si="0"/>
        <v>10.462416</v>
      </c>
      <c r="G48" s="59">
        <f t="shared" si="7"/>
        <v>690.519456</v>
      </c>
      <c r="H48" s="60">
        <f t="shared" si="4"/>
        <v>0.942202007601262</v>
      </c>
      <c r="I48" s="61">
        <f t="shared" si="6"/>
        <v>650.608817730932</v>
      </c>
      <c r="J48" s="61"/>
      <c r="K48" s="62">
        <f>(NORMSDIST((I48-$K$28)/B15)-NORMSDIST((I48-$L$28)/B15))</f>
        <v>0</v>
      </c>
      <c r="L48" s="62">
        <f>(NORMSDIST((I48-$L$28)/B15)-NORMSDIST((I48-$M$28)/B15))</f>
        <v>0</v>
      </c>
      <c r="M48" s="63">
        <f>(NORMSDIST((I48-$M$28)/B15)-NORMSDIST((I48-$N$28)/B15))</f>
        <v>0</v>
      </c>
      <c r="N48" s="63">
        <f>(NORMSDIST((I48-$N$28)/B15)-NORMSDIST((I48-$O$28)/B15))</f>
        <v>0</v>
      </c>
      <c r="O48" s="63">
        <f>(NORMSDIST((I48-$O$28)/B15)-NORMSDIST((I48-$P$28)/B15))</f>
        <v>1.88721105409684e-9</v>
      </c>
      <c r="P48" s="63">
        <f>(NORMSDIST((I48-$P$28)/B15)-NORMSDIST((I48-$Q$28)/B15))</f>
        <v>0.000916578856764327</v>
      </c>
      <c r="Q48" s="63">
        <f>(NORMSDIST((I48-$Q$28)/B15)-NORMSDIST((I48-$R$28)/B15))</f>
        <v>0.366677573297696</v>
      </c>
      <c r="R48" s="63">
        <f>(NORMSDIST((I48-$R$28)/B15)-NORMSDIST((I48-$S$28)/B15))</f>
        <v>0.625052974813365</v>
      </c>
      <c r="S48" s="63">
        <f>(NORMSDIST((I48-$S$28)/B15)-NORMSDIST((I48-$T$28)/B15))</f>
        <v>0.00735278038142478</v>
      </c>
      <c r="T48" s="63"/>
      <c r="U48" s="64">
        <f t="shared" si="2"/>
        <v>0.999999909236461</v>
      </c>
    </row>
    <row r="49" s="14" customFormat="1" ht="9.6" customHeight="1" spans="4:21">
      <c r="D49" s="88"/>
    </row>
    <row r="50" s="14" customFormat="1" ht="18" customHeight="1" spans="4:21">
      <c r="D50" s="89"/>
      <c r="I50" s="90" t="s">
        <v>90</v>
      </c>
      <c r="J50" s="90" t="s">
        <v>89</v>
      </c>
      <c r="K50" s="53">
        <f>K28</f>
        <v>615</v>
      </c>
      <c r="L50" s="53">
        <f t="shared" ref="L50:T50" si="8">L28</f>
        <v>620</v>
      </c>
      <c r="M50" s="53">
        <f t="shared" si="8"/>
        <v>625</v>
      </c>
      <c r="N50" s="53">
        <f t="shared" si="8"/>
        <v>630</v>
      </c>
      <c r="O50" s="53">
        <f t="shared" si="8"/>
        <v>635</v>
      </c>
      <c r="P50" s="53">
        <f t="shared" si="8"/>
        <v>640</v>
      </c>
      <c r="Q50" s="53">
        <f t="shared" si="8"/>
        <v>645</v>
      </c>
      <c r="R50" s="53">
        <f t="shared" si="8"/>
        <v>650</v>
      </c>
      <c r="S50" s="53">
        <f t="shared" si="8"/>
        <v>655</v>
      </c>
      <c r="T50" s="53">
        <f t="shared" si="8"/>
        <v>660</v>
      </c>
      <c r="U50" s="54" t="s">
        <v>96</v>
      </c>
    </row>
    <row r="51" s="14" customFormat="1" ht="18" customHeight="1" spans="4:21">
      <c r="I51" s="91">
        <f t="shared" ref="I51:I70" si="9">D29</f>
        <v>0</v>
      </c>
      <c r="J51" s="56">
        <f t="shared" ref="J51:J70" si="10">C29</f>
        <v>0.255</v>
      </c>
      <c r="K51" s="63">
        <f t="shared" ref="K51:K70" si="11">D29*K29</f>
        <v>0</v>
      </c>
      <c r="L51" s="63">
        <f t="shared" ref="L51:L70" si="12">D29*L29</f>
        <v>0</v>
      </c>
      <c r="M51" s="63">
        <f t="shared" ref="M51:M70" si="13">D29*M29</f>
        <v>0</v>
      </c>
      <c r="N51" s="63">
        <f t="shared" ref="N51:N70" si="14">D29*N29</f>
        <v>0</v>
      </c>
      <c r="O51" s="63">
        <f t="shared" ref="O51:O70" si="15">D29*O29</f>
        <v>0</v>
      </c>
      <c r="P51" s="63">
        <f t="shared" ref="P51:P70" si="16">D29*P29</f>
        <v>0</v>
      </c>
      <c r="Q51" s="63">
        <f t="shared" ref="Q51:Q70" si="17">D29*Q29</f>
        <v>0</v>
      </c>
      <c r="R51" s="63">
        <f t="shared" ref="R51:R70" si="18">D29*R29</f>
        <v>0</v>
      </c>
      <c r="S51" s="63">
        <f t="shared" ref="S51:S70" si="19">S29*D29</f>
        <v>0</v>
      </c>
      <c r="T51" s="63"/>
      <c r="U51" s="64"/>
    </row>
    <row r="52" s="14" customFormat="1" ht="18" customHeight="1" spans="4:21">
      <c r="I52" s="91">
        <f t="shared" si="9"/>
        <v>0</v>
      </c>
      <c r="J52" s="56">
        <f t="shared" si="10"/>
        <v>0.256</v>
      </c>
      <c r="K52" s="63">
        <f t="shared" si="11"/>
        <v>0</v>
      </c>
      <c r="L52" s="63">
        <f t="shared" si="12"/>
        <v>0</v>
      </c>
      <c r="M52" s="63">
        <f t="shared" si="13"/>
        <v>0</v>
      </c>
      <c r="N52" s="63">
        <f t="shared" si="14"/>
        <v>0</v>
      </c>
      <c r="O52" s="63">
        <f t="shared" si="15"/>
        <v>0</v>
      </c>
      <c r="P52" s="63">
        <f t="shared" si="16"/>
        <v>0</v>
      </c>
      <c r="Q52" s="63">
        <f t="shared" si="17"/>
        <v>0</v>
      </c>
      <c r="R52" s="63">
        <f t="shared" si="18"/>
        <v>0</v>
      </c>
      <c r="S52" s="63">
        <f t="shared" si="19"/>
        <v>0</v>
      </c>
      <c r="T52" s="63"/>
      <c r="U52" s="64"/>
    </row>
    <row r="53" s="14" customFormat="1" ht="18" customHeight="1" spans="4:21">
      <c r="I53" s="91">
        <f t="shared" si="9"/>
        <v>0</v>
      </c>
      <c r="J53" s="56">
        <f t="shared" si="10"/>
        <v>0.257</v>
      </c>
      <c r="K53" s="63">
        <f t="shared" si="11"/>
        <v>0</v>
      </c>
      <c r="L53" s="63">
        <f t="shared" si="12"/>
        <v>0</v>
      </c>
      <c r="M53" s="63">
        <f t="shared" si="13"/>
        <v>0</v>
      </c>
      <c r="N53" s="63">
        <f t="shared" si="14"/>
        <v>0</v>
      </c>
      <c r="O53" s="63">
        <f t="shared" si="15"/>
        <v>0</v>
      </c>
      <c r="P53" s="63">
        <f t="shared" si="16"/>
        <v>0</v>
      </c>
      <c r="Q53" s="63">
        <f t="shared" si="17"/>
        <v>0</v>
      </c>
      <c r="R53" s="63">
        <f t="shared" si="18"/>
        <v>0</v>
      </c>
      <c r="S53" s="63">
        <f t="shared" si="19"/>
        <v>0</v>
      </c>
      <c r="T53" s="63"/>
      <c r="U53" s="64"/>
    </row>
    <row r="54" s="14" customFormat="1" ht="18" customHeight="1" spans="4:21">
      <c r="I54" s="91">
        <f t="shared" si="9"/>
        <v>0</v>
      </c>
      <c r="J54" s="56">
        <f t="shared" si="10"/>
        <v>0.258</v>
      </c>
      <c r="K54" s="73">
        <f t="shared" si="11"/>
        <v>0</v>
      </c>
      <c r="L54" s="73">
        <f t="shared" si="12"/>
        <v>0</v>
      </c>
      <c r="M54" s="73">
        <f t="shared" si="13"/>
        <v>0</v>
      </c>
      <c r="N54" s="73">
        <f t="shared" si="14"/>
        <v>0</v>
      </c>
      <c r="O54" s="73">
        <f t="shared" si="15"/>
        <v>0</v>
      </c>
      <c r="P54" s="73">
        <f t="shared" si="16"/>
        <v>0</v>
      </c>
      <c r="Q54" s="73">
        <f t="shared" si="17"/>
        <v>0</v>
      </c>
      <c r="R54" s="73">
        <f t="shared" si="18"/>
        <v>0</v>
      </c>
      <c r="S54" s="73">
        <f t="shared" si="19"/>
        <v>0</v>
      </c>
      <c r="T54" s="63"/>
      <c r="U54" s="64"/>
    </row>
    <row r="55" s="14" customFormat="1" ht="18" customHeight="1" spans="4:21">
      <c r="I55" s="91">
        <f t="shared" si="9"/>
        <v>0</v>
      </c>
      <c r="J55" s="56">
        <f t="shared" si="10"/>
        <v>0.259</v>
      </c>
      <c r="K55" s="63">
        <f t="shared" si="11"/>
        <v>0</v>
      </c>
      <c r="L55" s="63">
        <f t="shared" si="12"/>
        <v>0</v>
      </c>
      <c r="M55" s="63">
        <f t="shared" si="13"/>
        <v>0</v>
      </c>
      <c r="N55" s="63">
        <f t="shared" si="14"/>
        <v>0</v>
      </c>
      <c r="O55" s="63">
        <f t="shared" si="15"/>
        <v>0</v>
      </c>
      <c r="P55" s="63">
        <f t="shared" si="16"/>
        <v>0</v>
      </c>
      <c r="Q55" s="63">
        <f t="shared" si="17"/>
        <v>0</v>
      </c>
      <c r="R55" s="63">
        <f t="shared" si="18"/>
        <v>0</v>
      </c>
      <c r="S55" s="63">
        <f t="shared" si="19"/>
        <v>0</v>
      </c>
      <c r="T55" s="63"/>
      <c r="U55" s="64"/>
    </row>
    <row r="56" s="14" customFormat="1" ht="18" customHeight="1" spans="4:21">
      <c r="I56" s="91">
        <f t="shared" si="9"/>
        <v>0.0341140293136703</v>
      </c>
      <c r="J56" s="56">
        <f t="shared" si="10"/>
        <v>0.26</v>
      </c>
      <c r="K56" s="63">
        <f t="shared" si="11"/>
        <v>1.08564559196121e-11</v>
      </c>
      <c r="L56" s="63">
        <f t="shared" si="12"/>
        <v>1.13542675550032e-5</v>
      </c>
      <c r="M56" s="63">
        <f t="shared" si="13"/>
        <v>0.00905615573388781</v>
      </c>
      <c r="N56" s="63">
        <f t="shared" si="14"/>
        <v>0.0245112594571774</v>
      </c>
      <c r="O56" s="63">
        <f t="shared" si="15"/>
        <v>0.000535245817571283</v>
      </c>
      <c r="P56" s="63">
        <f t="shared" si="16"/>
        <v>1.4026622123142e-8</v>
      </c>
      <c r="Q56" s="63">
        <f t="shared" si="17"/>
        <v>2.18393353197743e-16</v>
      </c>
      <c r="R56" s="63">
        <f t="shared" si="18"/>
        <v>1.71700709615449e-27</v>
      </c>
      <c r="S56" s="63">
        <f t="shared" si="19"/>
        <v>6.44371269999985e-42</v>
      </c>
      <c r="T56" s="63"/>
      <c r="U56" s="64"/>
    </row>
    <row r="57" s="14" customFormat="1" ht="18" customHeight="1" spans="4:21">
      <c r="I57" s="91">
        <f t="shared" si="9"/>
        <v>0.0586334878828709</v>
      </c>
      <c r="J57" s="56">
        <f t="shared" si="10"/>
        <v>0.261</v>
      </c>
      <c r="K57" s="63">
        <f t="shared" si="11"/>
        <v>8.55885472144087e-14</v>
      </c>
      <c r="L57" s="63">
        <f t="shared" si="12"/>
        <v>7.69575346792064e-7</v>
      </c>
      <c r="M57" s="63">
        <f t="shared" si="13"/>
        <v>0.00451020069953616</v>
      </c>
      <c r="N57" s="63">
        <f t="shared" si="14"/>
        <v>0.0489497403179521</v>
      </c>
      <c r="O57" s="63">
        <f t="shared" si="15"/>
        <v>0.00517171175661569</v>
      </c>
      <c r="P57" s="63">
        <f t="shared" si="16"/>
        <v>1.06553318973157e-6</v>
      </c>
      <c r="Q57" s="63">
        <f t="shared" si="17"/>
        <v>1.44774126671145e-13</v>
      </c>
      <c r="R57" s="63">
        <f t="shared" si="18"/>
        <v>1.02259222269378e-23</v>
      </c>
      <c r="S57" s="63">
        <f t="shared" si="19"/>
        <v>3.48787110445613e-37</v>
      </c>
      <c r="T57" s="63"/>
      <c r="U57" s="64"/>
    </row>
    <row r="58" s="14" customFormat="1" ht="18" customHeight="1" spans="4:21">
      <c r="I58" s="91">
        <f t="shared" si="9"/>
        <v>0.0841203302499458</v>
      </c>
      <c r="J58" s="56">
        <f t="shared" si="10"/>
        <v>0.262</v>
      </c>
      <c r="K58" s="63">
        <f t="shared" si="11"/>
        <v>3.08194680692454e-16</v>
      </c>
      <c r="L58" s="63">
        <f t="shared" si="12"/>
        <v>2.41132245886792e-8</v>
      </c>
      <c r="M58" s="63">
        <f t="shared" si="13"/>
        <v>0.0011048245598547</v>
      </c>
      <c r="N58" s="63">
        <f t="shared" si="14"/>
        <v>0.0586830568630144</v>
      </c>
      <c r="O58" s="63">
        <f t="shared" si="15"/>
        <v>0.0242963320169262</v>
      </c>
      <c r="P58" s="63">
        <f t="shared" si="16"/>
        <v>3.60926553114063e-5</v>
      </c>
      <c r="Q58" s="63">
        <f t="shared" si="17"/>
        <v>4.16142634103847e-11</v>
      </c>
      <c r="R58" s="63">
        <f t="shared" si="18"/>
        <v>2.59608011111526e-20</v>
      </c>
      <c r="S58" s="63">
        <f t="shared" si="19"/>
        <v>7.93556503950983e-33</v>
      </c>
      <c r="T58" s="63"/>
      <c r="U58" s="64"/>
    </row>
    <row r="59" s="14" customFormat="1" ht="18" customHeight="1" spans="4:21">
      <c r="I59" s="91">
        <f t="shared" si="9"/>
        <v>0.231516943533095</v>
      </c>
      <c r="J59" s="56">
        <f t="shared" si="10"/>
        <v>0.263</v>
      </c>
      <c r="K59" s="63">
        <f t="shared" si="11"/>
        <v>0</v>
      </c>
      <c r="L59" s="63">
        <f t="shared" si="12"/>
        <v>8.05001973101416e-10</v>
      </c>
      <c r="M59" s="63">
        <f t="shared" si="13"/>
        <v>0.000298210593972427</v>
      </c>
      <c r="N59" s="63">
        <f t="shared" si="14"/>
        <v>0.0938210702950483</v>
      </c>
      <c r="O59" s="63">
        <f t="shared" si="15"/>
        <v>0.136119231669902</v>
      </c>
      <c r="P59" s="63">
        <f t="shared" si="16"/>
        <v>0.00127841809654279</v>
      </c>
      <c r="Q59" s="63">
        <f t="shared" si="17"/>
        <v>1.20726278413343e-8</v>
      </c>
      <c r="R59" s="63">
        <f t="shared" si="18"/>
        <v>6.52826039241422e-17</v>
      </c>
      <c r="S59" s="63">
        <f t="shared" si="19"/>
        <v>1.76251504358186e-28</v>
      </c>
      <c r="T59" s="63"/>
      <c r="U59" s="64"/>
    </row>
    <row r="60" s="14" customFormat="1" ht="18" customHeight="1" spans="4:21">
      <c r="I60" s="91">
        <f t="shared" si="9"/>
        <v>0.320133020125304</v>
      </c>
      <c r="J60" s="56">
        <f t="shared" si="10"/>
        <v>0.264</v>
      </c>
      <c r="K60" s="63">
        <f t="shared" si="11"/>
        <v>0</v>
      </c>
      <c r="L60" s="63">
        <f t="shared" si="12"/>
        <v>7.53762058426523e-12</v>
      </c>
      <c r="M60" s="63">
        <f t="shared" si="13"/>
        <v>2.29675307167935e-5</v>
      </c>
      <c r="N60" s="63">
        <f t="shared" si="14"/>
        <v>0.0489083142843582</v>
      </c>
      <c r="O60" s="63">
        <f t="shared" si="15"/>
        <v>0.258473235227151</v>
      </c>
      <c r="P60" s="63">
        <f t="shared" si="16"/>
        <v>0.0127275645375609</v>
      </c>
      <c r="Q60" s="63">
        <f t="shared" si="17"/>
        <v>9.38537936778934e-7</v>
      </c>
      <c r="R60" s="63">
        <f t="shared" si="18"/>
        <v>4.306936778208e-14</v>
      </c>
      <c r="S60" s="63">
        <f t="shared" si="19"/>
        <v>1.01144748821872e-24</v>
      </c>
      <c r="T60" s="63"/>
      <c r="U60" s="64"/>
    </row>
    <row r="61" s="14" customFormat="1" ht="18" customHeight="1" spans="4:21">
      <c r="I61" s="91">
        <f t="shared" si="9"/>
        <v>0.22052468114755</v>
      </c>
      <c r="J61" s="56">
        <f t="shared" si="10"/>
        <v>0.265</v>
      </c>
      <c r="K61" s="63">
        <f t="shared" si="11"/>
        <v>0</v>
      </c>
      <c r="L61" s="63">
        <f t="shared" si="12"/>
        <v>1.97579083856062e-14</v>
      </c>
      <c r="M61" s="63">
        <f t="shared" si="13"/>
        <v>4.98888066122621e-7</v>
      </c>
      <c r="N61" s="63">
        <f t="shared" si="14"/>
        <v>0.007785976087572</v>
      </c>
      <c r="O61" s="63">
        <f t="shared" si="15"/>
        <v>0.176117729959121</v>
      </c>
      <c r="P61" s="63">
        <f t="shared" si="16"/>
        <v>0.0366007927302733</v>
      </c>
      <c r="Q61" s="63">
        <f t="shared" si="17"/>
        <v>1.968347502078e-5</v>
      </c>
      <c r="R61" s="63">
        <f t="shared" si="18"/>
        <v>7.47775452813077e-12</v>
      </c>
      <c r="S61" s="63">
        <f t="shared" si="19"/>
        <v>1.50290434887416e-21</v>
      </c>
      <c r="T61" s="63"/>
      <c r="U61" s="64"/>
    </row>
    <row r="62" s="14" customFormat="1" ht="18" customHeight="1" spans="4:21">
      <c r="I62" s="91">
        <f t="shared" si="9"/>
        <v>0.0509575077475633</v>
      </c>
      <c r="J62" s="56">
        <f t="shared" si="10"/>
        <v>0.266</v>
      </c>
      <c r="K62" s="63">
        <f t="shared" si="11"/>
        <v>0</v>
      </c>
      <c r="L62" s="63">
        <f t="shared" si="12"/>
        <v>0</v>
      </c>
      <c r="M62" s="63">
        <f t="shared" si="13"/>
        <v>2.06096544888875e-9</v>
      </c>
      <c r="N62" s="63">
        <f t="shared" si="14"/>
        <v>0.000246417785418686</v>
      </c>
      <c r="O62" s="63">
        <f t="shared" si="15"/>
        <v>0.0290801847901548</v>
      </c>
      <c r="P62" s="63">
        <f t="shared" si="16"/>
        <v>0.0215545817392745</v>
      </c>
      <c r="Q62" s="63">
        <f t="shared" si="17"/>
        <v>7.63211388965335e-5</v>
      </c>
      <c r="R62" s="63">
        <f t="shared" si="18"/>
        <v>2.32853277555648e-10</v>
      </c>
      <c r="S62" s="63">
        <f t="shared" si="19"/>
        <v>3.93547528296236e-19</v>
      </c>
      <c r="T62" s="63"/>
      <c r="U62" s="64"/>
    </row>
    <row r="63" s="14" customFormat="1" ht="18" customHeight="1" spans="4:21">
      <c r="I63" s="91">
        <f t="shared" si="9"/>
        <v>0</v>
      </c>
      <c r="J63" s="56">
        <f t="shared" si="10"/>
        <v>0.267</v>
      </c>
      <c r="K63" s="63">
        <f t="shared" si="11"/>
        <v>0</v>
      </c>
      <c r="L63" s="63">
        <f t="shared" si="12"/>
        <v>0</v>
      </c>
      <c r="M63" s="63">
        <f t="shared" si="13"/>
        <v>0</v>
      </c>
      <c r="N63" s="63">
        <f t="shared" si="14"/>
        <v>0</v>
      </c>
      <c r="O63" s="63">
        <f t="shared" si="15"/>
        <v>0</v>
      </c>
      <c r="P63" s="63">
        <f t="shared" si="16"/>
        <v>0</v>
      </c>
      <c r="Q63" s="63">
        <f t="shared" si="17"/>
        <v>0</v>
      </c>
      <c r="R63" s="63">
        <f t="shared" si="18"/>
        <v>0</v>
      </c>
      <c r="S63" s="63">
        <f t="shared" si="19"/>
        <v>0</v>
      </c>
      <c r="T63" s="63"/>
      <c r="U63" s="64"/>
    </row>
    <row r="64" s="14" customFormat="1" ht="18" customHeight="1" spans="4:21">
      <c r="I64" s="91">
        <f t="shared" si="9"/>
        <v>0</v>
      </c>
      <c r="J64" s="56">
        <f t="shared" si="10"/>
        <v>0.268</v>
      </c>
      <c r="K64" s="63">
        <f t="shared" si="11"/>
        <v>0</v>
      </c>
      <c r="L64" s="63">
        <f t="shared" si="12"/>
        <v>0</v>
      </c>
      <c r="M64" s="63">
        <f t="shared" si="13"/>
        <v>0</v>
      </c>
      <c r="N64" s="63">
        <f t="shared" si="14"/>
        <v>0</v>
      </c>
      <c r="O64" s="63">
        <f t="shared" si="15"/>
        <v>0</v>
      </c>
      <c r="P64" s="63">
        <f t="shared" si="16"/>
        <v>0</v>
      </c>
      <c r="Q64" s="63">
        <f t="shared" si="17"/>
        <v>0</v>
      </c>
      <c r="R64" s="63">
        <f t="shared" si="18"/>
        <v>0</v>
      </c>
      <c r="S64" s="63">
        <f t="shared" si="19"/>
        <v>0</v>
      </c>
      <c r="T64" s="63"/>
      <c r="U64" s="64"/>
    </row>
    <row r="65" s="14" customFormat="1" ht="18" customHeight="1" spans="1:21">
      <c r="I65" s="91">
        <f t="shared" si="9"/>
        <v>0</v>
      </c>
      <c r="J65" s="56">
        <f t="shared" si="10"/>
        <v>0.269</v>
      </c>
      <c r="K65" s="63">
        <f t="shared" si="11"/>
        <v>0</v>
      </c>
      <c r="L65" s="63">
        <f t="shared" si="12"/>
        <v>0</v>
      </c>
      <c r="M65" s="63">
        <f t="shared" si="13"/>
        <v>0</v>
      </c>
      <c r="N65" s="63">
        <f t="shared" si="14"/>
        <v>0</v>
      </c>
      <c r="O65" s="63">
        <f t="shared" si="15"/>
        <v>0</v>
      </c>
      <c r="P65" s="63">
        <f t="shared" si="16"/>
        <v>0</v>
      </c>
      <c r="Q65" s="63">
        <f t="shared" si="17"/>
        <v>0</v>
      </c>
      <c r="R65" s="63">
        <f t="shared" si="18"/>
        <v>0</v>
      </c>
      <c r="S65" s="63">
        <f t="shared" si="19"/>
        <v>0</v>
      </c>
      <c r="T65" s="63"/>
      <c r="U65" s="64"/>
    </row>
    <row r="66" s="14" customFormat="1" ht="18" customHeight="1" spans="1:21">
      <c r="I66" s="91">
        <f t="shared" si="9"/>
        <v>0</v>
      </c>
      <c r="J66" s="56">
        <f t="shared" si="10"/>
        <v>0.27</v>
      </c>
      <c r="K66" s="63">
        <f t="shared" si="11"/>
        <v>0</v>
      </c>
      <c r="L66" s="63">
        <f t="shared" si="12"/>
        <v>0</v>
      </c>
      <c r="M66" s="63">
        <f t="shared" si="13"/>
        <v>0</v>
      </c>
      <c r="N66" s="63">
        <f t="shared" si="14"/>
        <v>0</v>
      </c>
      <c r="O66" s="63">
        <f t="shared" si="15"/>
        <v>0</v>
      </c>
      <c r="P66" s="63">
        <f t="shared" si="16"/>
        <v>0</v>
      </c>
      <c r="Q66" s="63">
        <f t="shared" si="17"/>
        <v>0</v>
      </c>
      <c r="R66" s="63">
        <f t="shared" si="18"/>
        <v>0</v>
      </c>
      <c r="S66" s="63">
        <f t="shared" si="19"/>
        <v>0</v>
      </c>
      <c r="T66" s="63"/>
      <c r="U66" s="64"/>
    </row>
    <row r="67" s="14" customFormat="1" ht="18" customHeight="1" spans="1:21">
      <c r="I67" s="91">
        <f t="shared" si="9"/>
        <v>0</v>
      </c>
      <c r="J67" s="56">
        <f t="shared" si="10"/>
        <v>0.271</v>
      </c>
      <c r="K67" s="63">
        <f t="shared" si="11"/>
        <v>0</v>
      </c>
      <c r="L67" s="63">
        <f t="shared" si="12"/>
        <v>0</v>
      </c>
      <c r="M67" s="63">
        <f t="shared" si="13"/>
        <v>0</v>
      </c>
      <c r="N67" s="63">
        <f t="shared" si="14"/>
        <v>0</v>
      </c>
      <c r="O67" s="63">
        <f t="shared" si="15"/>
        <v>0</v>
      </c>
      <c r="P67" s="63">
        <f t="shared" si="16"/>
        <v>0</v>
      </c>
      <c r="Q67" s="63">
        <f t="shared" si="17"/>
        <v>0</v>
      </c>
      <c r="R67" s="63">
        <f t="shared" si="18"/>
        <v>0</v>
      </c>
      <c r="S67" s="63">
        <f t="shared" si="19"/>
        <v>0</v>
      </c>
      <c r="T67" s="63"/>
      <c r="U67" s="64"/>
    </row>
    <row r="68" s="14" customFormat="1" ht="18" customHeight="1" spans="1:21">
      <c r="I68" s="91">
        <f t="shared" si="9"/>
        <v>0</v>
      </c>
      <c r="J68" s="56">
        <f t="shared" si="10"/>
        <v>0.272</v>
      </c>
      <c r="K68" s="63">
        <f t="shared" si="11"/>
        <v>0</v>
      </c>
      <c r="L68" s="63">
        <f t="shared" si="12"/>
        <v>0</v>
      </c>
      <c r="M68" s="63">
        <f t="shared" si="13"/>
        <v>0</v>
      </c>
      <c r="N68" s="63">
        <f t="shared" si="14"/>
        <v>0</v>
      </c>
      <c r="O68" s="63">
        <f t="shared" si="15"/>
        <v>0</v>
      </c>
      <c r="P68" s="63">
        <f t="shared" si="16"/>
        <v>0</v>
      </c>
      <c r="Q68" s="63">
        <f t="shared" si="17"/>
        <v>0</v>
      </c>
      <c r="R68" s="63">
        <f t="shared" si="18"/>
        <v>0</v>
      </c>
      <c r="S68" s="63">
        <f t="shared" si="19"/>
        <v>0</v>
      </c>
      <c r="T68" s="63"/>
      <c r="U68" s="64"/>
    </row>
    <row r="69" s="14" customFormat="1" ht="18" customHeight="1" spans="1:21">
      <c r="I69" s="91">
        <f t="shared" si="9"/>
        <v>0</v>
      </c>
      <c r="J69" s="56">
        <f t="shared" si="10"/>
        <v>0.273</v>
      </c>
      <c r="K69" s="63">
        <f t="shared" si="11"/>
        <v>0</v>
      </c>
      <c r="L69" s="63">
        <f t="shared" si="12"/>
        <v>0</v>
      </c>
      <c r="M69" s="63">
        <f t="shared" si="13"/>
        <v>0</v>
      </c>
      <c r="N69" s="63">
        <f t="shared" si="14"/>
        <v>0</v>
      </c>
      <c r="O69" s="63">
        <f t="shared" si="15"/>
        <v>0</v>
      </c>
      <c r="P69" s="63">
        <f t="shared" si="16"/>
        <v>0</v>
      </c>
      <c r="Q69" s="63">
        <f t="shared" si="17"/>
        <v>0</v>
      </c>
      <c r="R69" s="63">
        <f t="shared" si="18"/>
        <v>0</v>
      </c>
      <c r="S69" s="63">
        <f t="shared" si="19"/>
        <v>0</v>
      </c>
      <c r="T69" s="63"/>
      <c r="U69" s="64"/>
    </row>
    <row r="70" s="14" customFormat="1" ht="18" customHeight="1" spans="1:21">
      <c r="I70" s="91">
        <f t="shared" si="9"/>
        <v>0</v>
      </c>
      <c r="J70" s="56">
        <f t="shared" si="10"/>
        <v>0.274</v>
      </c>
      <c r="K70" s="63">
        <f t="shared" si="11"/>
        <v>0</v>
      </c>
      <c r="L70" s="63">
        <f t="shared" si="12"/>
        <v>0</v>
      </c>
      <c r="M70" s="63">
        <f t="shared" si="13"/>
        <v>0</v>
      </c>
      <c r="N70" s="63">
        <f t="shared" si="14"/>
        <v>0</v>
      </c>
      <c r="O70" s="63">
        <f t="shared" si="15"/>
        <v>0</v>
      </c>
      <c r="P70" s="63">
        <f t="shared" si="16"/>
        <v>0</v>
      </c>
      <c r="Q70" s="63">
        <f t="shared" si="17"/>
        <v>0</v>
      </c>
      <c r="R70" s="63">
        <f t="shared" si="18"/>
        <v>0</v>
      </c>
      <c r="S70" s="63">
        <f t="shared" si="19"/>
        <v>0</v>
      </c>
      <c r="T70" s="63"/>
      <c r="U70" s="64"/>
    </row>
    <row r="71" s="14" customFormat="1" ht="18" customHeight="1" spans="1:21">
      <c r="I71" s="92" t="s">
        <v>100</v>
      </c>
      <c r="J71" s="93"/>
      <c r="K71" s="94">
        <f t="shared" ref="K71:S71" si="20">SUM(K51:K70)</f>
        <v>1.09423526615072e-11</v>
      </c>
      <c r="L71" s="94">
        <f t="shared" si="20"/>
        <v>1.21487686857355e-5</v>
      </c>
      <c r="M71" s="94">
        <f t="shared" si="20"/>
        <v>0.0149928600669995</v>
      </c>
      <c r="N71" s="94">
        <f t="shared" si="20"/>
        <v>0.282905835090541</v>
      </c>
      <c r="O71" s="94">
        <f t="shared" si="20"/>
        <v>0.629793671237441</v>
      </c>
      <c r="P71" s="94">
        <f t="shared" si="20"/>
        <v>0.0721985293187748</v>
      </c>
      <c r="Q71" s="94">
        <f t="shared" si="20"/>
        <v>9.69552662411897e-5</v>
      </c>
      <c r="R71" s="94">
        <f t="shared" si="20"/>
        <v>2.40374166760136e-10</v>
      </c>
      <c r="S71" s="94">
        <f t="shared" si="20"/>
        <v>3.95051444268858e-19</v>
      </c>
      <c r="T71" s="94"/>
      <c r="U71" s="95">
        <f>SUM(K71:T71)</f>
        <v>1</v>
      </c>
    </row>
    <row r="72" ht="18" customHeight="1" spans="1:21">
      <c r="K72" s="53">
        <f>K50</f>
        <v>615</v>
      </c>
      <c r="L72" s="53">
        <f t="shared" ref="L72:T72" si="21">L50</f>
        <v>620</v>
      </c>
      <c r="M72" s="53">
        <f t="shared" si="21"/>
        <v>625</v>
      </c>
      <c r="N72" s="53">
        <f t="shared" si="21"/>
        <v>630</v>
      </c>
      <c r="O72" s="53">
        <f t="shared" si="21"/>
        <v>635</v>
      </c>
      <c r="P72" s="53">
        <f t="shared" si="21"/>
        <v>640</v>
      </c>
      <c r="Q72" s="53">
        <f t="shared" si="21"/>
        <v>645</v>
      </c>
      <c r="R72" s="53">
        <f t="shared" si="21"/>
        <v>650</v>
      </c>
      <c r="S72" s="53">
        <f t="shared" si="21"/>
        <v>655</v>
      </c>
      <c r="T72" s="53">
        <f t="shared" si="21"/>
        <v>660</v>
      </c>
    </row>
    <row r="73" ht="4.8" customHeight="1" spans="1:21">
      <c r="I73" s="96"/>
    </row>
    <row r="74" ht="4.8" customHeight="1" spans="1:21">
      <c r="I74" s="96"/>
    </row>
    <row r="75" ht="4.8" customHeight="1" spans="1:21">
      <c r="I75" s="96"/>
    </row>
    <row r="76" ht="26.4" customHeight="1" spans="1:21">
      <c r="A76" s="97" t="s">
        <v>101</v>
      </c>
      <c r="B76" s="135" t="s">
        <v>89</v>
      </c>
      <c r="C76" s="135" t="str">
        <f>C9</f>
        <v>芜湖（80mg）</v>
      </c>
      <c r="D76" s="135" t="str">
        <f t="shared" ref="D76:O76" si="22">D9</f>
        <v>芜湖（105mg）</v>
      </c>
      <c r="E76" s="135" t="str">
        <f t="shared" si="22"/>
        <v>芜湖（125mg）</v>
      </c>
      <c r="F76" s="135" t="str">
        <f t="shared" si="22"/>
        <v>英发</v>
      </c>
      <c r="G76" s="135" t="str">
        <f t="shared" si="22"/>
        <v>通威</v>
      </c>
      <c r="H76" s="135" t="str">
        <f t="shared" si="22"/>
        <v>厂家6</v>
      </c>
      <c r="I76" s="135" t="str">
        <f t="shared" si="22"/>
        <v>厂家7</v>
      </c>
      <c r="J76" s="135" t="str">
        <f t="shared" si="22"/>
        <v>厂家8</v>
      </c>
      <c r="K76" s="135" t="str">
        <f t="shared" si="22"/>
        <v>厂家9</v>
      </c>
      <c r="L76" s="135" t="str">
        <f t="shared" si="22"/>
        <v>厂家10</v>
      </c>
      <c r="M76" s="135" t="str">
        <f t="shared" si="22"/>
        <v>厂家11</v>
      </c>
      <c r="N76" s="135" t="str">
        <f t="shared" si="22"/>
        <v>厂家12</v>
      </c>
      <c r="O76" s="135" t="str">
        <f t="shared" si="22"/>
        <v>厂家13</v>
      </c>
    </row>
    <row r="77" ht="17.4" customHeight="1" spans="1:21">
      <c r="A77" s="97"/>
      <c r="B77" s="99">
        <f>C29</f>
        <v>0.255</v>
      </c>
      <c r="C77" s="100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</row>
    <row r="78" ht="17.4" customHeight="1" spans="1:21">
      <c r="A78" s="97"/>
      <c r="B78" s="99">
        <f t="shared" ref="B78:B96" si="23">C30</f>
        <v>0.256</v>
      </c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</row>
    <row r="79" ht="17.4" customHeight="1" spans="1:21">
      <c r="A79" s="97"/>
      <c r="B79" s="99">
        <f t="shared" si="23"/>
        <v>0.257</v>
      </c>
      <c r="C79" s="100"/>
      <c r="D79" s="100"/>
      <c r="E79" s="101"/>
      <c r="F79" s="101"/>
      <c r="G79" s="100"/>
      <c r="H79" s="100"/>
      <c r="I79" s="100"/>
      <c r="J79" s="100"/>
      <c r="K79" s="100"/>
      <c r="L79" s="100"/>
      <c r="M79" s="100"/>
      <c r="N79" s="100"/>
      <c r="O79" s="100"/>
    </row>
    <row r="80" ht="17.4" customHeight="1" spans="1:21">
      <c r="A80" s="97"/>
      <c r="B80" s="99">
        <f t="shared" si="23"/>
        <v>0.258</v>
      </c>
      <c r="C80" s="100"/>
      <c r="D80" s="100"/>
      <c r="E80" s="101"/>
      <c r="F80" s="101"/>
      <c r="G80" s="100"/>
      <c r="H80" s="100"/>
      <c r="I80" s="100"/>
      <c r="J80" s="100"/>
      <c r="K80" s="100"/>
      <c r="L80" s="100"/>
      <c r="M80" s="100"/>
      <c r="N80" s="100"/>
      <c r="O80" s="100"/>
    </row>
    <row r="81" ht="17.4" customHeight="1" spans="1:15">
      <c r="A81" s="97"/>
      <c r="B81" s="99">
        <f t="shared" si="23"/>
        <v>0.259</v>
      </c>
      <c r="C81" s="100"/>
      <c r="D81" s="100"/>
      <c r="E81" s="101"/>
      <c r="F81" s="101"/>
      <c r="G81" s="100"/>
      <c r="H81" s="100"/>
      <c r="I81" s="100"/>
      <c r="J81" s="100"/>
      <c r="K81" s="100"/>
      <c r="L81" s="100"/>
      <c r="M81" s="100"/>
      <c r="N81" s="100"/>
      <c r="O81" s="100"/>
    </row>
    <row r="82" ht="17.4" customHeight="1" spans="1:15">
      <c r="A82" s="97"/>
      <c r="B82" s="99">
        <f t="shared" si="23"/>
        <v>0.26</v>
      </c>
      <c r="C82" s="100">
        <v>0.0341140293136703</v>
      </c>
      <c r="D82" s="100"/>
      <c r="E82" s="101"/>
      <c r="F82" s="101"/>
      <c r="G82" s="100"/>
      <c r="H82" s="100"/>
      <c r="I82" s="100"/>
      <c r="J82" s="100"/>
      <c r="K82" s="100"/>
      <c r="L82" s="100"/>
      <c r="M82" s="100"/>
      <c r="N82" s="100"/>
      <c r="O82" s="100"/>
    </row>
    <row r="83" ht="17.4" customHeight="1" spans="1:15">
      <c r="A83" s="97"/>
      <c r="B83" s="99">
        <f t="shared" si="23"/>
        <v>0.261</v>
      </c>
      <c r="C83" s="100">
        <v>0.0586334878828709</v>
      </c>
      <c r="D83" s="100"/>
      <c r="E83" s="101"/>
      <c r="F83" s="101"/>
      <c r="G83" s="100"/>
      <c r="H83" s="100"/>
      <c r="I83" s="100"/>
      <c r="J83" s="100"/>
      <c r="K83" s="100"/>
      <c r="L83" s="100"/>
      <c r="M83" s="100"/>
      <c r="N83" s="100"/>
      <c r="O83" s="100"/>
    </row>
    <row r="84" ht="17.4" customHeight="1" spans="1:15">
      <c r="A84" s="97"/>
      <c r="B84" s="99">
        <f t="shared" si="23"/>
        <v>0.262</v>
      </c>
      <c r="C84" s="100">
        <v>0.0841203302499458</v>
      </c>
      <c r="D84" s="100"/>
      <c r="E84" s="101"/>
      <c r="F84" s="101"/>
      <c r="G84" s="100"/>
      <c r="H84" s="100"/>
      <c r="I84" s="100"/>
      <c r="J84" s="100"/>
      <c r="K84" s="100"/>
      <c r="L84" s="100"/>
      <c r="M84" s="100"/>
      <c r="N84" s="100"/>
      <c r="O84" s="100"/>
    </row>
    <row r="85" ht="17.4" customHeight="1" spans="1:15">
      <c r="A85" s="97"/>
      <c r="B85" s="99">
        <f t="shared" si="23"/>
        <v>0.263</v>
      </c>
      <c r="C85" s="100">
        <v>0.231516943533095</v>
      </c>
      <c r="D85" s="100"/>
      <c r="E85" s="101"/>
      <c r="F85" s="101"/>
      <c r="G85" s="100"/>
      <c r="H85" s="100"/>
      <c r="I85" s="100"/>
      <c r="J85" s="100"/>
      <c r="K85" s="100"/>
      <c r="L85" s="100"/>
      <c r="M85" s="100"/>
      <c r="N85" s="100"/>
      <c r="O85" s="100"/>
    </row>
    <row r="86" ht="17.4" customHeight="1" spans="1:15">
      <c r="A86" s="97"/>
      <c r="B86" s="99">
        <f t="shared" si="23"/>
        <v>0.264</v>
      </c>
      <c r="C86" s="100">
        <v>0.320133020125304</v>
      </c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</row>
    <row r="87" ht="17.4" customHeight="1" spans="1:15">
      <c r="A87" s="97"/>
      <c r="B87" s="99">
        <f t="shared" si="23"/>
        <v>0.265</v>
      </c>
      <c r="C87" s="100">
        <v>0.22052468114755</v>
      </c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</row>
    <row r="88" ht="17.4" customHeight="1" spans="1:15">
      <c r="A88" s="97"/>
      <c r="B88" s="99">
        <f t="shared" si="23"/>
        <v>0.266</v>
      </c>
      <c r="C88" s="100">
        <v>0.0509575077475633</v>
      </c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</row>
    <row r="89" ht="17.4" customHeight="1" spans="1:15">
      <c r="A89" s="97"/>
      <c r="B89" s="99">
        <f t="shared" si="23"/>
        <v>0.267</v>
      </c>
      <c r="C89" s="100">
        <v>0</v>
      </c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  <c r="O89" s="100"/>
    </row>
    <row r="90" ht="17.4" customHeight="1" spans="1:15">
      <c r="A90" s="97"/>
      <c r="B90" s="99">
        <f t="shared" si="23"/>
        <v>0.268</v>
      </c>
      <c r="C90" s="100"/>
      <c r="D90" s="100"/>
      <c r="E90" s="100"/>
      <c r="F90" s="100"/>
      <c r="G90" s="100"/>
      <c r="H90" s="100"/>
      <c r="I90" s="100"/>
      <c r="J90" s="100"/>
      <c r="K90" s="100"/>
      <c r="L90" s="100"/>
      <c r="M90" s="100"/>
      <c r="N90" s="100"/>
      <c r="O90" s="100"/>
    </row>
    <row r="91" ht="17.4" customHeight="1" spans="1:15">
      <c r="A91" s="97"/>
      <c r="B91" s="99">
        <f t="shared" si="23"/>
        <v>0.269</v>
      </c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</row>
    <row r="92" ht="17.4" customHeight="1" spans="1:15">
      <c r="A92" s="97"/>
      <c r="B92" s="99">
        <f t="shared" si="23"/>
        <v>0.27</v>
      </c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</row>
    <row r="93" ht="17.4" customHeight="1" spans="1:15">
      <c r="A93" s="97"/>
      <c r="B93" s="99">
        <f t="shared" si="23"/>
        <v>0.271</v>
      </c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</row>
    <row r="94" ht="17.4" customHeight="1" spans="1:15">
      <c r="A94" s="97"/>
      <c r="B94" s="99">
        <f t="shared" si="23"/>
        <v>0.272</v>
      </c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</row>
    <row r="95" ht="17.4" customHeight="1" spans="1:15">
      <c r="A95" s="97"/>
      <c r="B95" s="99">
        <f t="shared" si="23"/>
        <v>0.273</v>
      </c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</row>
    <row r="96" ht="17.4" customHeight="1" spans="1:15">
      <c r="A96" s="97"/>
      <c r="B96" s="99">
        <f t="shared" si="23"/>
        <v>0.274</v>
      </c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</row>
  </sheetData>
  <sheetProtection formatCells="0" formatColumns="0" formatRows="0" insertRows="0" insertColumns="0" insertHyperlinks="0" deleteColumns="0" deleteRows="0" sort="0" autoFilter="0" pivotTables="0"/>
  <mergeCells count="22">
    <mergeCell ref="A1:F1"/>
    <mergeCell ref="G1:I1"/>
    <mergeCell ref="L1:O1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{f3acd4a3-3795-4677-a746-f03e67a2ec40}</x14:id>
        </ext>
      </extLst>
    </cfRule>
  </conditionalFormatting>
  <conditionalFormatting sqref="D30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{88cd90fa-5a9c-4617-b13f-2eca4e76d998}</x14:id>
        </ext>
      </extLst>
    </cfRule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{f124a968-1637-4e54-a920-746edeb0d0b2}</x14:id>
        </ext>
      </extLst>
    </cfRule>
  </conditionalFormatting>
  <conditionalFormatting sqref="D29:D43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{84f20271-4fa4-429e-89eb-d713b8131a28}</x14:id>
        </ext>
      </extLst>
    </cfRule>
  </conditionalFormatting>
  <conditionalFormatting sqref="D45:D48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{0799f118-c607-4ae0-92b3-ac512ac683ce}</x14:id>
        </ext>
      </extLst>
    </cfRule>
    <cfRule type="dataBar" priority="1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{be6d9444-d5e3-48f7-beb0-ac64966808ff}</x14:id>
        </ext>
      </extLst>
    </cfRule>
  </conditionalFormatting>
  <conditionalFormatting sqref="D49:D50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{7353510d-5bd9-462c-bc71-b2e8df916b23}</x14:id>
        </ext>
      </extLst>
    </cfRule>
    <cfRule type="dataBar" priority="1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{7841d054-4472-4bc9-8935-c948a7d01081}</x14:id>
        </ext>
      </extLst>
    </cfRule>
  </conditionalFormatting>
  <conditionalFormatting sqref="D29:D32 D45:D48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{17f8528d-a09c-4c2a-92e7-0894af0050cf}</x14:id>
        </ext>
      </extLst>
    </cfRule>
  </conditionalFormatting>
  <conditionalFormatting sqref="K29:R48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{adf58aec-ee36-4303-be23-4a7aac966314}</x14:id>
        </ext>
      </extLst>
    </cfRule>
  </conditionalFormatting>
  <conditionalFormatting sqref="K29:T48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{3f392419-d309-4e39-b89a-ecb2747fd2a8}</x14:id>
        </ext>
      </extLst>
    </cfRule>
  </conditionalFormatting>
  <conditionalFormatting sqref="K29:S48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{3a54aa2d-c668-4b8f-a1ab-13dd3a54f9ff}</x14:id>
        </ext>
      </extLst>
    </cfRule>
  </conditionalFormatting>
  <conditionalFormatting sqref="M29:O30 O35 N31:O34 M31:M48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{c92ee72c-5d94-4c0c-8a7d-c003c29a2616}</x14:id>
        </ext>
      </extLst>
    </cfRule>
    <cfRule type="colorScale" priority="21">
      <colorScale>
        <cfvo type="percent" val="0"/>
        <cfvo type="percent" val="0"/>
        <color theme="0"/>
        <color theme="0"/>
      </colorScale>
    </cfRule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{06d52aed-c117-4cfa-a220-b8e6e0d31931}</x14:id>
        </ext>
      </extLst>
    </cfRule>
    <cfRule type="dataBar" priority="2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{3cd074cf-1ab4-4892-813f-9c66ff68899b}</x14:id>
        </ext>
      </extLst>
    </cfRule>
    <cfRule type="dataBar" priority="24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{37eea2ba-e7f4-46b4-8aea-9fc07cdb1c3f}</x14:id>
        </ext>
      </extLst>
    </cfRule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{88b38ae8-948d-4826-8d23-496dacc47692}</x14:id>
        </ext>
      </extLst>
    </cfRule>
  </conditionalFormatting>
  <conditionalFormatting sqref="P29:R35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{b05acd93-0ed7-4a0a-8446-cfec04165832}</x14:id>
        </ext>
      </extLst>
    </cfRule>
    <cfRule type="colorScale" priority="14">
      <colorScale>
        <cfvo type="percent" val="0"/>
        <cfvo type="percent" val="0"/>
        <color theme="0"/>
        <color theme="0"/>
      </colorScale>
    </cfRule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{7bf77a5e-75cb-4e9f-ad4b-ab2a11fc8a7b}</x14:id>
        </ext>
      </extLst>
    </cfRule>
    <cfRule type="dataBar" priority="1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{760e9483-3b39-4b9f-873d-5cb139967cf9}</x14:id>
        </ext>
      </extLst>
    </cfRule>
    <cfRule type="dataBar" priority="17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{abad17ff-6482-46c7-83fa-318f81d25047}</x14:id>
        </ext>
      </extLst>
    </cfRule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{fb6b3398-6105-4595-8cde-aa25333d828d}</x14:id>
        </ext>
      </extLst>
    </cfRule>
  </conditionalFormatting>
  <conditionalFormatting sqref="S29:T48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{af3bcb9c-5d55-4811-80bc-7376cce2f836}</x14:id>
        </ext>
      </extLst>
    </cfRule>
    <cfRule type="dataBar" priority="3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{c1c3cdd5-c65d-42df-a2cd-76b5d46f23db}</x14:id>
        </ext>
      </extLst>
    </cfRule>
    <cfRule type="colorScale" priority="35">
      <colorScale>
        <cfvo type="percent" val="0"/>
        <cfvo type="percent" val="0"/>
        <color theme="0"/>
        <color theme="0"/>
      </colorScale>
    </cfRule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{53b645c6-0fc5-460b-b65c-f5e1bb55cfc7}</x14:id>
        </ext>
      </extLst>
    </cfRule>
    <cfRule type="dataBar" priority="37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{9c0924c5-f032-42b6-ada4-bbddc9e4eb3f}</x14:id>
        </ext>
      </extLst>
    </cfRule>
    <cfRule type="dataBar" priority="3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{2472ec9c-e43d-4d18-9c21-5c59ddf8bd48}</x14:id>
        </ext>
      </extLst>
    </cfRule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{3ac8b5de-aa4b-439c-a13a-5004e4e1033a}</x14:id>
        </ext>
      </extLst>
    </cfRule>
  </conditionalFormatting>
  <conditionalFormatting sqref="D33:D36 D39:D44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{9d2a600a-e0cc-4cca-96bf-dff7d11e73ea}</x14:id>
        </ext>
      </extLst>
    </cfRule>
  </conditionalFormatting>
  <conditionalFormatting sqref="P36:R48">
    <cfRule type="dataBar" priority="2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{2c26191a-ddb0-40a4-9d42-07f61a506c0e}</x14:id>
        </ext>
      </extLst>
    </cfRule>
    <cfRule type="colorScale" priority="27">
      <colorScale>
        <cfvo type="percent" val="0"/>
        <cfvo type="percent" val="0"/>
        <color theme="0"/>
        <color theme="0"/>
      </colorScale>
    </cfRule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{b910a93b-db23-49b5-ba61-3869649fad7f}</x14:id>
        </ext>
      </extLst>
    </cfRule>
    <cfRule type="dataBar" priority="29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{02f08a41-9427-4553-83c1-3262542083e9}</x14:id>
        </ext>
      </extLst>
    </cfRule>
    <cfRule type="dataBar" priority="30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{e9e41571-5871-4d59-99c1-bd97c4f31ecc}</x14:id>
        </ext>
      </extLst>
    </cfRule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{5942b1b8-e4b0-4c66-b7e7-dcfa96e52b43}</x14:id>
        </ext>
      </extLst>
    </cfRule>
  </conditionalFormatting>
  <conditionalFormatting sqref="C77:O9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{45992897-013f-4f37-8edc-5bb9f985467c}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acd4a3-3795-4677-a746-f03e67a2ec4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88cd90fa-5a9c-4617-b13f-2eca4e76d9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124a968-1637-4e54-a920-746edeb0d0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84f20271-4fa4-429e-89eb-d713b8131a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D29:D43</xm:sqref>
        </x14:conditionalFormatting>
        <x14:conditionalFormatting xmlns:xm="http://schemas.microsoft.com/office/excel/2006/main">
          <x14:cfRule type="dataBar" id="{0799f118-c607-4ae0-92b3-ac512ac683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e6d9444-d5e3-48f7-beb0-ac64966808f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7353510d-5bd9-462c-bc71-b2e8df916b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841d054-4472-4bc9-8935-c948a7d0108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17f8528d-a09c-4c2a-92e7-0894af0050c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adf58aec-ee36-4303-be23-4a7aac9663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3f392419-d309-4e39-b89a-ecb2747fd2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K29:T48</xm:sqref>
        </x14:conditionalFormatting>
        <x14:conditionalFormatting xmlns:xm="http://schemas.microsoft.com/office/excel/2006/main">
          <x14:cfRule type="dataBar" id="{3a54aa2d-c668-4b8f-a1ab-13dd3a54f9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K29:S48</xm:sqref>
        </x14:conditionalFormatting>
        <x14:conditionalFormatting xmlns:xm="http://schemas.microsoft.com/office/excel/2006/main">
          <x14:cfRule type="dataBar" id="{c92ee72c-5d94-4c0c-8a7d-c003c29a261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06d52aed-c117-4cfa-a220-b8e6e0d3193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3cd074cf-1ab4-4892-813f-9c66ff68899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37eea2ba-e7f4-46b4-8aea-9fc07cdb1c3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88b38ae8-948d-4826-8d23-496dacc47692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b05acd93-0ed7-4a0a-8446-cfec0416583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7bf77a5e-75cb-4e9f-ad4b-ab2a11fc8a7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760e9483-3b39-4b9f-873d-5cb139967cf9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abad17ff-6482-46c7-83fa-318f81d25047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fb6b3398-6105-4595-8cde-aa25333d828d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af3bcb9c-5d55-4811-80bc-7376cce2f8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c1c3cdd5-c65d-42df-a2cd-76b5d46f23d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53b645c6-0fc5-460b-b65c-f5e1bb55cfc7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9c0924c5-f032-42b6-ada4-bbddc9e4eb3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472ec9c-e43d-4d18-9c21-5c59ddf8bd4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3ac8b5de-aa4b-439c-a13a-5004e4e1033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S29:T48</xm:sqref>
        </x14:conditionalFormatting>
        <x14:conditionalFormatting xmlns:xm="http://schemas.microsoft.com/office/excel/2006/main">
          <x14:cfRule type="dataBar" id="{9d2a600a-e0cc-4cca-96bf-dff7d11e73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D33:D36 D39:D44</xm:sqref>
        </x14:conditionalFormatting>
        <x14:conditionalFormatting xmlns:xm="http://schemas.microsoft.com/office/excel/2006/main">
          <x14:cfRule type="dataBar" id="{2c26191a-ddb0-40a4-9d42-07f61a506c0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b910a93b-db23-49b5-ba61-3869649fad7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02f08a41-9427-4553-83c1-3262542083e9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e9e41571-5871-4d59-99c1-bd97c4f31ecc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5942b1b8-e4b0-4c66-b7e7-dcfa96e52b4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45992897-013f-4f37-8edc-5bb9f98546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C77:O96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theme="5" tint="0.599993896298105"/>
  </sheetPr>
  <dimension ref="A1:Y96"/>
  <sheetViews>
    <sheetView showGridLines="0" zoomScale="70" zoomScaleNormal="70" workbookViewId="0">
      <selection activeCell="A1" sqref="A1:U48"/>
    </sheetView>
  </sheetViews>
  <sheetFormatPr defaultColWidth="8.44642857142857" defaultRowHeight="13.6"/>
  <cols>
    <col min="1" max="19" width="10.5535714285714" style="17" customWidth="1"/>
    <col min="20" max="20" width="10.5535714285714" style="17" hidden="1" customWidth="1"/>
    <col min="21" max="21" width="10.5535714285714" style="17" customWidth="1"/>
    <col min="22" max="16384" width="8.44642857142857" style="17"/>
  </cols>
  <sheetData>
    <row r="1" s="13" customFormat="1" ht="40.8" customHeight="1" spans="1:25">
      <c r="A1" s="18" t="s">
        <v>136</v>
      </c>
      <c r="B1" s="18"/>
      <c r="C1" s="18"/>
      <c r="D1" s="18"/>
      <c r="E1" s="18"/>
      <c r="F1" s="18"/>
      <c r="G1" s="19" t="s">
        <v>1</v>
      </c>
      <c r="H1" s="19"/>
      <c r="I1" s="19"/>
      <c r="J1" s="19">
        <f>716.98-6</f>
        <v>710.98</v>
      </c>
      <c r="K1" s="20" t="s">
        <v>2</v>
      </c>
      <c r="L1" s="20" t="s">
        <v>3</v>
      </c>
      <c r="M1" s="20"/>
      <c r="N1" s="20"/>
      <c r="O1" s="20"/>
      <c r="Q1" s="21"/>
      <c r="R1" s="21"/>
      <c r="S1" s="21"/>
      <c r="T1" s="21"/>
      <c r="U1" s="21"/>
    </row>
    <row r="2" ht="1.95" customHeight="1" spans="1:25">
      <c r="H2" s="22"/>
      <c r="P2" s="13"/>
      <c r="Q2" s="21"/>
      <c r="R2" s="21"/>
      <c r="S2" s="21"/>
      <c r="T2" s="21"/>
      <c r="U2" s="21"/>
    </row>
    <row r="3" s="14" customFormat="1" ht="21.9" customHeight="1" spans="1:25">
      <c r="A3" s="23" t="s">
        <v>4</v>
      </c>
      <c r="B3" s="23">
        <v>0</v>
      </c>
      <c r="C3" s="104">
        <v>0.26</v>
      </c>
      <c r="D3" s="109">
        <v>0.24</v>
      </c>
      <c r="E3" s="109">
        <v>0.23</v>
      </c>
      <c r="F3" s="11">
        <v>0.28</v>
      </c>
      <c r="G3" s="109" t="s">
        <v>6</v>
      </c>
      <c r="H3" s="11" t="s">
        <v>7</v>
      </c>
      <c r="I3" s="109" t="s">
        <v>8</v>
      </c>
      <c r="J3" s="11" t="s">
        <v>9</v>
      </c>
      <c r="K3" s="109" t="s">
        <v>10</v>
      </c>
      <c r="L3" s="11" t="s">
        <v>11</v>
      </c>
      <c r="M3" s="109" t="s">
        <v>12</v>
      </c>
      <c r="N3" s="11" t="s">
        <v>13</v>
      </c>
      <c r="O3" s="109" t="s">
        <v>14</v>
      </c>
      <c r="P3" s="25"/>
      <c r="Q3" s="26"/>
      <c r="R3" s="26"/>
      <c r="S3" s="26"/>
      <c r="T3" s="26"/>
      <c r="U3" s="26"/>
      <c r="V3" s="27"/>
      <c r="W3" s="27"/>
      <c r="X3" s="27"/>
      <c r="Y3" s="27"/>
    </row>
    <row r="4" s="14" customFormat="1" ht="21.9" customHeight="1" spans="1:25">
      <c r="A4" s="23"/>
      <c r="B4" s="23"/>
      <c r="C4" s="104">
        <v>0</v>
      </c>
      <c r="D4" s="11">
        <v>-2.8</v>
      </c>
      <c r="E4" s="11">
        <v>-3.4</v>
      </c>
      <c r="F4" s="11">
        <v>1.8</v>
      </c>
      <c r="G4" s="11"/>
      <c r="H4" s="11"/>
      <c r="I4" s="11"/>
      <c r="J4" s="11"/>
      <c r="K4" s="11"/>
      <c r="L4" s="11"/>
      <c r="M4" s="11"/>
      <c r="N4" s="11"/>
      <c r="O4" s="11"/>
      <c r="P4" s="25"/>
      <c r="Q4" s="26"/>
      <c r="R4" s="26"/>
      <c r="S4" s="26"/>
      <c r="T4" s="26"/>
      <c r="U4" s="26"/>
      <c r="V4" s="27"/>
      <c r="W4" s="27"/>
      <c r="X4" s="27"/>
      <c r="Y4" s="27"/>
    </row>
    <row r="5" ht="1.95" customHeight="1" spans="1:25">
      <c r="P5" s="13"/>
      <c r="Q5" s="21"/>
      <c r="R5" s="21"/>
      <c r="S5" s="21"/>
      <c r="T5" s="21"/>
      <c r="U5" s="21"/>
    </row>
    <row r="6" s="14" customFormat="1" ht="27" customHeight="1" spans="1:25">
      <c r="A6" s="23" t="s">
        <v>15</v>
      </c>
      <c r="B6" s="23">
        <v>3.1</v>
      </c>
      <c r="C6" s="11" t="s">
        <v>16</v>
      </c>
      <c r="D6" s="29" t="s">
        <v>17</v>
      </c>
      <c r="E6" s="29" t="s">
        <v>18</v>
      </c>
      <c r="F6" s="104" t="s">
        <v>19</v>
      </c>
      <c r="G6" s="11" t="s">
        <v>108</v>
      </c>
      <c r="H6" s="11" t="s">
        <v>124</v>
      </c>
      <c r="I6" s="11" t="s">
        <v>22</v>
      </c>
      <c r="J6" s="11" t="s">
        <v>23</v>
      </c>
      <c r="K6" s="11" t="s">
        <v>24</v>
      </c>
      <c r="L6" s="11" t="s">
        <v>25</v>
      </c>
      <c r="M6" s="11" t="s">
        <v>26</v>
      </c>
      <c r="N6" s="11" t="s">
        <v>27</v>
      </c>
      <c r="O6" s="11" t="s">
        <v>28</v>
      </c>
      <c r="P6" s="25"/>
      <c r="Q6" s="26"/>
      <c r="R6" s="26"/>
      <c r="S6" s="26"/>
      <c r="T6" s="26"/>
      <c r="U6" s="26"/>
      <c r="V6" s="27"/>
      <c r="W6" s="27"/>
      <c r="X6" s="27"/>
      <c r="Y6" s="27"/>
    </row>
    <row r="7" s="14" customFormat="1" ht="24.6" customHeight="1" spans="1:25">
      <c r="A7" s="23"/>
      <c r="B7" s="23"/>
      <c r="C7" s="11">
        <v>0</v>
      </c>
      <c r="D7" s="11">
        <v>1.3</v>
      </c>
      <c r="E7" s="11">
        <v>1.8</v>
      </c>
      <c r="F7" s="104">
        <v>3.1</v>
      </c>
      <c r="G7" s="11">
        <v>4.5</v>
      </c>
      <c r="H7" s="11"/>
      <c r="I7" s="11"/>
      <c r="J7" s="11"/>
      <c r="K7" s="11"/>
      <c r="L7" s="11"/>
      <c r="M7" s="11"/>
      <c r="N7" s="11"/>
      <c r="O7" s="11"/>
      <c r="P7" s="25"/>
      <c r="Q7" s="26"/>
      <c r="R7" s="26"/>
      <c r="S7" s="26"/>
      <c r="T7" s="26"/>
      <c r="U7" s="26"/>
      <c r="V7" s="27"/>
      <c r="W7" s="27"/>
      <c r="X7" s="27"/>
      <c r="Y7" s="27"/>
    </row>
    <row r="8" ht="1.95" customHeight="1" spans="1:25">
      <c r="P8" s="13"/>
      <c r="Q8" s="21"/>
      <c r="R8" s="21"/>
      <c r="S8" s="21"/>
      <c r="T8" s="21"/>
      <c r="U8" s="21"/>
    </row>
    <row r="9" s="14" customFormat="1" ht="22.2" customHeight="1" spans="1:25">
      <c r="A9" s="23" t="s">
        <v>29</v>
      </c>
      <c r="B9" s="23">
        <v>3</v>
      </c>
      <c r="C9" s="117" t="s">
        <v>137</v>
      </c>
      <c r="D9" s="117" t="s">
        <v>39</v>
      </c>
      <c r="E9" s="118" t="s">
        <v>31</v>
      </c>
      <c r="F9" s="117" t="s">
        <v>35</v>
      </c>
      <c r="G9" s="117" t="s">
        <v>32</v>
      </c>
      <c r="H9" s="117" t="s">
        <v>138</v>
      </c>
      <c r="I9" s="117" t="s">
        <v>36</v>
      </c>
      <c r="J9" s="117" t="s">
        <v>112</v>
      </c>
      <c r="K9" s="119" t="s">
        <v>30</v>
      </c>
      <c r="L9" s="117" t="s">
        <v>110</v>
      </c>
      <c r="M9" s="11" t="s">
        <v>40</v>
      </c>
      <c r="N9" s="11" t="s">
        <v>41</v>
      </c>
      <c r="O9" s="11" t="s">
        <v>42</v>
      </c>
      <c r="P9" s="30"/>
      <c r="Q9" s="27"/>
      <c r="R9" s="27"/>
      <c r="S9" s="27"/>
      <c r="T9" s="27"/>
      <c r="U9" s="27"/>
      <c r="V9" s="27"/>
      <c r="W9" s="27"/>
      <c r="X9" s="27"/>
      <c r="Y9" s="27"/>
    </row>
    <row r="10" s="14" customFormat="1" ht="22.2" customHeight="1" spans="1:25">
      <c r="A10" s="23"/>
      <c r="B10" s="23"/>
      <c r="C10" s="117">
        <v>4.5</v>
      </c>
      <c r="D10" s="117">
        <v>2.4</v>
      </c>
      <c r="E10" s="120">
        <v>1.5</v>
      </c>
      <c r="F10" s="117">
        <v>1</v>
      </c>
      <c r="G10" s="117">
        <v>0.5</v>
      </c>
      <c r="H10" s="117">
        <v>-2.5</v>
      </c>
      <c r="I10" s="117">
        <v>5</v>
      </c>
      <c r="J10" s="117">
        <v>-3.1</v>
      </c>
      <c r="K10" s="119">
        <v>3</v>
      </c>
      <c r="L10" s="117">
        <v>-2.5</v>
      </c>
      <c r="M10" s="121"/>
      <c r="N10" s="31"/>
      <c r="O10" s="11"/>
      <c r="P10" s="35"/>
      <c r="Q10" s="25"/>
      <c r="R10" s="122"/>
      <c r="S10" s="27"/>
      <c r="T10" s="27"/>
      <c r="U10" s="27"/>
      <c r="V10" s="27"/>
      <c r="W10" s="27"/>
      <c r="X10" s="27"/>
      <c r="Y10" s="27"/>
    </row>
    <row r="11" ht="1.95" customHeight="1" spans="1:25">
      <c r="P11" s="13"/>
      <c r="Q11" s="21"/>
      <c r="R11" s="21"/>
      <c r="S11" s="21"/>
      <c r="T11" s="21"/>
      <c r="U11" s="21"/>
    </row>
    <row r="12" s="14" customFormat="1" ht="25.2" customHeight="1" spans="1:25">
      <c r="A12" s="23" t="s">
        <v>43</v>
      </c>
      <c r="B12" s="23">
        <v>0</v>
      </c>
      <c r="C12" s="24" t="s">
        <v>139</v>
      </c>
      <c r="D12" s="11" t="s">
        <v>116</v>
      </c>
      <c r="E12" s="11" t="s">
        <v>46</v>
      </c>
      <c r="F12" s="11" t="s">
        <v>5</v>
      </c>
      <c r="G12" s="11" t="s">
        <v>6</v>
      </c>
      <c r="H12" s="11" t="s">
        <v>7</v>
      </c>
      <c r="I12" s="11" t="s">
        <v>8</v>
      </c>
      <c r="J12" s="11" t="s">
        <v>9</v>
      </c>
      <c r="K12" s="11" t="s">
        <v>10</v>
      </c>
      <c r="L12" s="11" t="s">
        <v>11</v>
      </c>
      <c r="M12" s="11" t="s">
        <v>12</v>
      </c>
      <c r="N12" s="11" t="s">
        <v>13</v>
      </c>
      <c r="O12" s="11" t="s">
        <v>14</v>
      </c>
      <c r="P12" s="35"/>
      <c r="Q12" s="26"/>
      <c r="R12" s="26"/>
      <c r="S12" s="26"/>
      <c r="T12" s="26"/>
      <c r="U12" s="26"/>
      <c r="V12" s="27"/>
      <c r="W12" s="27"/>
      <c r="X12" s="27"/>
      <c r="Y12" s="27"/>
    </row>
    <row r="13" s="14" customFormat="1" ht="21.9" customHeight="1" spans="1:25">
      <c r="A13" s="23"/>
      <c r="B13" s="23"/>
      <c r="C13" s="24">
        <v>0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25"/>
      <c r="Q13" s="26"/>
      <c r="R13" s="26"/>
      <c r="S13" s="26"/>
      <c r="T13" s="26"/>
      <c r="U13" s="26"/>
      <c r="V13" s="27"/>
      <c r="W13" s="27"/>
      <c r="X13" s="27"/>
      <c r="Y13" s="27"/>
    </row>
    <row r="14" s="14" customFormat="1" ht="21.9" customHeight="1" spans="1:25">
      <c r="A14" s="23" t="s">
        <v>47</v>
      </c>
      <c r="B14" s="23">
        <v>44096</v>
      </c>
      <c r="C14" s="24">
        <v>44096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25"/>
      <c r="Q14" s="26"/>
      <c r="R14" s="26"/>
      <c r="S14" s="26"/>
      <c r="T14" s="26"/>
      <c r="U14" s="26"/>
      <c r="V14" s="27"/>
      <c r="W14" s="27"/>
      <c r="X14" s="27"/>
      <c r="Y14" s="27"/>
    </row>
    <row r="15" s="14" customFormat="1" ht="21.9" customHeight="1" spans="1:25">
      <c r="A15" s="23" t="s">
        <v>48</v>
      </c>
      <c r="B15" s="23">
        <v>1.9</v>
      </c>
      <c r="C15" s="24">
        <v>1.9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25"/>
      <c r="Q15" s="26"/>
      <c r="R15" s="26"/>
      <c r="S15" s="26"/>
      <c r="T15" s="26"/>
      <c r="U15" s="26"/>
      <c r="V15" s="27"/>
      <c r="W15" s="27"/>
      <c r="X15" s="27"/>
      <c r="Y15" s="27"/>
    </row>
    <row r="16" ht="1.95" customHeight="1" spans="1:25">
      <c r="P16" s="13"/>
      <c r="Q16" s="21"/>
      <c r="R16" s="21"/>
      <c r="S16" s="21"/>
      <c r="T16" s="21"/>
      <c r="U16" s="21"/>
    </row>
    <row r="17" s="14" customFormat="1" ht="31.2" customHeight="1" spans="1:25">
      <c r="A17" s="23" t="s">
        <v>49</v>
      </c>
      <c r="B17" s="36">
        <v>-2.4</v>
      </c>
      <c r="C17" s="37" t="s">
        <v>50</v>
      </c>
      <c r="D17" s="37" t="s">
        <v>51</v>
      </c>
      <c r="E17" s="37" t="s">
        <v>52</v>
      </c>
      <c r="F17" s="37" t="s">
        <v>53</v>
      </c>
      <c r="G17" s="37" t="s">
        <v>54</v>
      </c>
      <c r="H17" s="37" t="s">
        <v>55</v>
      </c>
      <c r="I17" s="37" t="s">
        <v>56</v>
      </c>
      <c r="J17" s="37" t="s">
        <v>57</v>
      </c>
      <c r="K17" s="106" t="s">
        <v>117</v>
      </c>
      <c r="L17" s="37" t="s">
        <v>11</v>
      </c>
      <c r="M17" s="37" t="s">
        <v>12</v>
      </c>
      <c r="N17" s="37" t="s">
        <v>13</v>
      </c>
      <c r="O17" s="37" t="s">
        <v>14</v>
      </c>
      <c r="P17" s="26"/>
      <c r="Q17" s="26"/>
      <c r="R17" s="27"/>
      <c r="S17" s="27"/>
      <c r="T17" s="27"/>
      <c r="U17" s="27"/>
      <c r="V17" s="27"/>
      <c r="W17" s="27"/>
      <c r="X17" s="27"/>
      <c r="Y17" s="27"/>
    </row>
    <row r="18" s="14" customFormat="1" ht="21.9" customHeight="1" spans="1:25">
      <c r="A18" s="23"/>
      <c r="B18" s="39"/>
      <c r="C18" s="11">
        <v>0</v>
      </c>
      <c r="D18" s="11">
        <v>-0.2</v>
      </c>
      <c r="E18" s="11">
        <v>-3</v>
      </c>
      <c r="F18" s="11">
        <v>-3.6</v>
      </c>
      <c r="G18" s="11">
        <v>0.2</v>
      </c>
      <c r="H18" s="11">
        <v>0.1</v>
      </c>
      <c r="I18" s="11">
        <v>-1.9</v>
      </c>
      <c r="J18" s="11">
        <v>-2.4</v>
      </c>
      <c r="K18" s="104">
        <v>-2.4</v>
      </c>
      <c r="L18" s="11"/>
      <c r="M18" s="11"/>
      <c r="N18" s="11"/>
      <c r="O18" s="11"/>
      <c r="P18" s="26"/>
      <c r="Q18" s="26"/>
      <c r="R18" s="27"/>
      <c r="S18" s="27"/>
      <c r="T18" s="27"/>
      <c r="U18" s="27"/>
      <c r="V18" s="27"/>
      <c r="W18" s="27"/>
      <c r="X18" s="27"/>
      <c r="Y18" s="27"/>
    </row>
    <row r="19" ht="2.1" customHeight="1" spans="1:25">
      <c r="P19" s="13"/>
      <c r="Q19" s="21"/>
      <c r="R19" s="21"/>
      <c r="S19" s="21"/>
      <c r="T19" s="21"/>
      <c r="U19" s="21"/>
    </row>
    <row r="20" s="14" customFormat="1" ht="30" customHeight="1" spans="1:25">
      <c r="A20" s="23" t="s">
        <v>58</v>
      </c>
      <c r="B20" s="23">
        <v>1.7</v>
      </c>
      <c r="C20" s="29" t="s">
        <v>59</v>
      </c>
      <c r="D20" s="29" t="s">
        <v>60</v>
      </c>
      <c r="E20" s="29" t="s">
        <v>61</v>
      </c>
      <c r="F20" s="46" t="s">
        <v>62</v>
      </c>
      <c r="G20" s="29" t="s">
        <v>63</v>
      </c>
      <c r="H20" s="29" t="s">
        <v>64</v>
      </c>
      <c r="I20" s="29" t="s">
        <v>65</v>
      </c>
      <c r="J20" s="29" t="s">
        <v>66</v>
      </c>
      <c r="K20" s="29" t="s">
        <v>67</v>
      </c>
      <c r="L20" s="29" t="s">
        <v>68</v>
      </c>
      <c r="M20" s="29" t="s">
        <v>69</v>
      </c>
      <c r="N20" s="29" t="s">
        <v>70</v>
      </c>
      <c r="O20" s="29" t="s">
        <v>71</v>
      </c>
      <c r="P20" s="26"/>
      <c r="Q20" s="115"/>
      <c r="R20" s="115"/>
      <c r="S20" s="115"/>
      <c r="T20" s="115"/>
      <c r="U20" s="115"/>
      <c r="V20" s="115"/>
      <c r="W20" s="115"/>
      <c r="X20" s="27"/>
      <c r="Y20" s="27"/>
    </row>
    <row r="21" s="14" customFormat="1" ht="21.6" customHeight="1" spans="1:25">
      <c r="A21" s="23"/>
      <c r="B21" s="23"/>
      <c r="C21" s="11">
        <v>0</v>
      </c>
      <c r="D21" s="11">
        <v>0.6</v>
      </c>
      <c r="E21" s="11">
        <v>1.3</v>
      </c>
      <c r="F21" s="104">
        <v>1.7</v>
      </c>
      <c r="G21" s="11">
        <v>2</v>
      </c>
      <c r="H21" s="11">
        <v>0.3</v>
      </c>
      <c r="I21" s="11">
        <v>0.6</v>
      </c>
      <c r="J21" s="11"/>
      <c r="K21" s="11"/>
      <c r="L21" s="11"/>
      <c r="M21" s="11"/>
      <c r="N21" s="11"/>
      <c r="O21" s="11"/>
      <c r="P21" s="42"/>
      <c r="Q21" s="41"/>
      <c r="R21" s="43"/>
      <c r="S21" s="43"/>
      <c r="T21" s="43"/>
      <c r="U21" s="43"/>
      <c r="V21" s="43"/>
      <c r="W21" s="43"/>
      <c r="X21" s="27"/>
      <c r="Y21" s="27"/>
    </row>
    <row r="22" ht="2.1" customHeight="1" spans="1:25">
      <c r="P22" s="13"/>
      <c r="Q22" s="21"/>
      <c r="R22" s="21"/>
      <c r="S22" s="21"/>
      <c r="T22" s="21"/>
      <c r="U22" s="21"/>
    </row>
    <row r="23" s="14" customFormat="1" ht="21.6" hidden="1" customHeight="1" spans="1:25">
      <c r="A23" s="23" t="s">
        <v>105</v>
      </c>
      <c r="B23" s="23">
        <v>0</v>
      </c>
      <c r="C23" s="28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30"/>
      <c r="Q23" s="26"/>
      <c r="R23" s="26"/>
      <c r="S23" s="26"/>
      <c r="T23" s="26"/>
      <c r="U23" s="26"/>
      <c r="V23" s="27"/>
      <c r="W23" s="27"/>
      <c r="X23" s="27"/>
      <c r="Y23" s="27"/>
    </row>
    <row r="24" s="14" customFormat="1" ht="21.6" hidden="1" customHeight="1" spans="1:25">
      <c r="A24" s="23"/>
      <c r="B24" s="23"/>
      <c r="C24" s="24"/>
      <c r="D24" s="11"/>
      <c r="E24" s="11"/>
      <c r="F24" s="11"/>
      <c r="G24" s="40"/>
      <c r="H24" s="40"/>
      <c r="I24" s="11"/>
      <c r="J24" s="11"/>
      <c r="K24" s="11"/>
      <c r="L24" s="11"/>
      <c r="M24" s="11"/>
      <c r="N24" s="11"/>
      <c r="O24" s="11"/>
      <c r="P24" s="44"/>
      <c r="Q24" s="45"/>
      <c r="R24" s="45"/>
      <c r="S24" s="45"/>
      <c r="T24" s="45"/>
      <c r="U24" s="45"/>
      <c r="V24" s="27"/>
      <c r="W24" s="27"/>
      <c r="X24" s="27"/>
      <c r="Y24" s="27"/>
    </row>
    <row r="25" ht="2.1" customHeight="1" spans="1:25">
      <c r="P25" s="13"/>
      <c r="Q25" s="21"/>
      <c r="R25" s="21"/>
      <c r="S25" s="21"/>
      <c r="T25" s="21"/>
      <c r="U25" s="21"/>
    </row>
    <row r="26" s="14" customFormat="1" ht="21.6" customHeight="1" spans="1:25">
      <c r="A26" s="23" t="s">
        <v>73</v>
      </c>
      <c r="B26" s="23">
        <v>0</v>
      </c>
      <c r="C26" s="104" t="s">
        <v>74</v>
      </c>
      <c r="D26" s="29" t="s">
        <v>75</v>
      </c>
      <c r="E26" s="29" t="s">
        <v>76</v>
      </c>
      <c r="F26" s="29" t="s">
        <v>77</v>
      </c>
      <c r="G26" s="29" t="s">
        <v>78</v>
      </c>
      <c r="H26" s="29" t="s">
        <v>79</v>
      </c>
      <c r="I26" s="29" t="s">
        <v>80</v>
      </c>
      <c r="J26" s="29" t="s">
        <v>81</v>
      </c>
      <c r="K26" s="29" t="s">
        <v>82</v>
      </c>
      <c r="L26" s="29" t="s">
        <v>83</v>
      </c>
      <c r="M26" s="29" t="s">
        <v>84</v>
      </c>
      <c r="N26" s="29" t="s">
        <v>85</v>
      </c>
      <c r="O26" s="29" t="s">
        <v>86</v>
      </c>
      <c r="P26" s="30"/>
      <c r="Q26" s="26"/>
      <c r="R26" s="26"/>
      <c r="S26" s="26"/>
      <c r="T26" s="26"/>
      <c r="U26" s="26"/>
      <c r="V26" s="26"/>
      <c r="W26" s="26"/>
      <c r="X26" s="27"/>
      <c r="Y26" s="27"/>
    </row>
    <row r="27" s="14" customFormat="1" ht="21.6" customHeight="1" spans="1:25">
      <c r="A27" s="23"/>
      <c r="B27" s="23"/>
      <c r="C27" s="48">
        <v>0</v>
      </c>
      <c r="D27" s="49">
        <v>-1.5</v>
      </c>
      <c r="E27" s="49">
        <v>-1.8</v>
      </c>
      <c r="F27" s="50"/>
      <c r="G27" s="50"/>
      <c r="H27" s="50"/>
      <c r="I27" s="49"/>
      <c r="J27" s="49"/>
      <c r="K27" s="49"/>
      <c r="L27" s="49"/>
      <c r="M27" s="49"/>
      <c r="N27" s="49"/>
      <c r="O27" s="49"/>
      <c r="P27" s="44"/>
      <c r="Q27" s="45"/>
      <c r="R27" s="45"/>
      <c r="S27" s="45"/>
      <c r="T27" s="45"/>
      <c r="U27" s="45"/>
      <c r="V27" s="27"/>
      <c r="W27" s="27"/>
      <c r="X27" s="27"/>
      <c r="Y27" s="27"/>
    </row>
    <row r="28" s="15" customFormat="1" ht="22.2" customHeight="1" spans="1:25">
      <c r="A28" s="51" t="s">
        <v>87</v>
      </c>
      <c r="B28" s="51" t="s">
        <v>88</v>
      </c>
      <c r="C28" s="51" t="s">
        <v>89</v>
      </c>
      <c r="D28" s="51" t="s">
        <v>90</v>
      </c>
      <c r="E28" s="51">
        <v>33081</v>
      </c>
      <c r="F28" s="51" t="s">
        <v>91</v>
      </c>
      <c r="G28" s="51" t="s">
        <v>92</v>
      </c>
      <c r="H28" s="51" t="s">
        <v>93</v>
      </c>
      <c r="I28" s="51" t="s">
        <v>94</v>
      </c>
      <c r="J28" s="52" t="s">
        <v>95</v>
      </c>
      <c r="K28" s="53">
        <v>695</v>
      </c>
      <c r="L28" s="53">
        <v>700</v>
      </c>
      <c r="M28" s="53">
        <v>705</v>
      </c>
      <c r="N28" s="53">
        <v>710</v>
      </c>
      <c r="O28" s="53">
        <v>715</v>
      </c>
      <c r="P28" s="53">
        <v>720</v>
      </c>
      <c r="Q28" s="53">
        <v>725</v>
      </c>
      <c r="R28" s="53">
        <v>730</v>
      </c>
      <c r="S28" s="53">
        <v>735</v>
      </c>
      <c r="T28" s="53">
        <v>740</v>
      </c>
      <c r="U28" s="54" t="s">
        <v>96</v>
      </c>
    </row>
    <row r="29" s="14" customFormat="1" ht="18" customHeight="1" spans="1:25">
      <c r="A29" s="55" t="s">
        <v>140</v>
      </c>
      <c r="B29" s="55" t="s">
        <v>98</v>
      </c>
      <c r="C29" s="123">
        <v>0.247</v>
      </c>
      <c r="D29" s="57"/>
      <c r="E29" s="58">
        <v>44096</v>
      </c>
      <c r="F29" s="59">
        <f t="shared" ref="F29:F48" si="0">C29*E29/1000</f>
        <v>10.891712</v>
      </c>
      <c r="G29" s="59">
        <f t="shared" ref="G29:G37" si="1">F29*66</f>
        <v>718.852992</v>
      </c>
      <c r="H29" s="60">
        <f>I29/G29</f>
        <v>0.979595561745242</v>
      </c>
      <c r="I29" s="61">
        <f>G29*(H30+0.15%)</f>
        <v>704.185200510488</v>
      </c>
      <c r="J29" s="61"/>
      <c r="K29" s="62">
        <f>(NORMSDIST((I29-$K$28)/B15)-NORMSDIST((I29-$L$28)/B15))</f>
        <v>0.0138059734812397</v>
      </c>
      <c r="L29" s="62">
        <f>(NORMSDIST((I29-$L$28)/B15)-NORMSDIST((I29-$M$28)/B15))</f>
        <v>0.652174193302927</v>
      </c>
      <c r="M29" s="63">
        <f>(NORMSDIST((I29-$M$28)/B15)-NORMSDIST((I29-$N$28)/B15))</f>
        <v>0.332914034089896</v>
      </c>
      <c r="N29" s="63">
        <f>(NORMSDIST((I29-$N$28)/B15)-NORMSDIST((I29-$O$28)/B15))</f>
        <v>0.00110512482705663</v>
      </c>
      <c r="O29" s="63">
        <f>(NORMSDIST((I29-$O$28)/B15)-NORMSDIST((I29-$P$28)/B15))</f>
        <v>6.2780025430177e-9</v>
      </c>
      <c r="P29" s="63">
        <f>(NORMSDIST((I29-$P$28)/B15)-NORMSDIST((I29-$Q$28)/B15))</f>
        <v>4.26732902631889e-17</v>
      </c>
      <c r="Q29" s="63">
        <f>(NORMSDIST((I29-$Q$28)/B15)-NORMSDIST((I29-$R$28)/B15))</f>
        <v>3.1384497625958e-28</v>
      </c>
      <c r="R29" s="63">
        <f>(NORMSDIST((I29-$R$28)/B15)-NORMSDIST((I29-$S$28)/B15))</f>
        <v>2.40005172589613e-42</v>
      </c>
      <c r="S29" s="63">
        <f>(NORMSDIST((I29-$S$28)/B15)-NORMSDIST((I29-$T$28)/B15))</f>
        <v>1.87160298874377e-59</v>
      </c>
      <c r="T29" s="63"/>
      <c r="U29" s="64">
        <f t="shared" ref="U29:U48" si="2">SUM(K29:T29)</f>
        <v>0.999999331979122</v>
      </c>
    </row>
    <row r="30" s="14" customFormat="1" ht="18" customHeight="1" spans="1:25">
      <c r="A30" s="65"/>
      <c r="B30" s="65"/>
      <c r="C30" s="56">
        <f t="shared" ref="C30:C48" si="3">C29+0.1%</f>
        <v>0.248</v>
      </c>
      <c r="D30" s="66"/>
      <c r="E30" s="58">
        <v>44096</v>
      </c>
      <c r="F30" s="59">
        <f t="shared" si="0"/>
        <v>10.935808</v>
      </c>
      <c r="G30" s="59">
        <f t="shared" si="1"/>
        <v>721.763328</v>
      </c>
      <c r="H30" s="60">
        <f t="shared" ref="H30:H48" si="4">I30/G30</f>
        <v>0.978095561745242</v>
      </c>
      <c r="I30" s="61">
        <f t="shared" ref="I30:I35" si="5">G30*(H31+0.15%)</f>
        <v>705.953507747276</v>
      </c>
      <c r="J30" s="61"/>
      <c r="K30" s="62">
        <f>(NORMSDIST((I30-$K$28)/B15)-NORMSDIST((I30-$L$28)/B15))</f>
        <v>0.000863890872479733</v>
      </c>
      <c r="L30" s="62">
        <f>(NORMSDIST((I30-$L$28)/B15)-NORMSDIST((I30-$M$28)/B15))</f>
        <v>0.307023967098943</v>
      </c>
      <c r="M30" s="63">
        <f>(NORMSDIST((I30-$M$28)/B15)-NORMSDIST((I30-$N$28)/B15))</f>
        <v>0.675515296769965</v>
      </c>
      <c r="N30" s="63">
        <f>(NORMSDIST((I30-$N$28)/B15)-NORMSDIST((I30-$O$28)/B15))</f>
        <v>0.0165958794823289</v>
      </c>
      <c r="O30" s="63">
        <f>(NORMSDIST((I30-$O$28)/B15)-NORMSDIST((I30-$P$28)/B15))</f>
        <v>9.61693418286376e-7</v>
      </c>
      <c r="P30" s="63">
        <f>(NORMSDIST((I30-$P$28)/B15)-NORMSDIST((I30-$Q$28)/B15))</f>
        <v>7.183530880921e-14</v>
      </c>
      <c r="Q30" s="63">
        <f>(NORMSDIST((I30-$Q$28)/B15)-NORMSDIST((I30-$R$28)/B15))</f>
        <v>5.94983896272744e-24</v>
      </c>
      <c r="R30" s="63">
        <f>(NORMSDIST((I30-$R$28)/B15)-NORMSDIST((L30-$S$28)/B15))</f>
        <v>5.17916360549588e-37</v>
      </c>
      <c r="S30" s="63">
        <f>(NORMSDIST((I30-$S$28)/B15)-NORMSDIST((I30-$T$28)/B15))</f>
        <v>4.62287264521163e-53</v>
      </c>
      <c r="T30" s="63"/>
      <c r="U30" s="64">
        <f t="shared" si="2"/>
        <v>0.999999995917207</v>
      </c>
    </row>
    <row r="31" s="14" customFormat="1" ht="18" customHeight="1" spans="1:25">
      <c r="A31" s="65"/>
      <c r="B31" s="65"/>
      <c r="C31" s="56">
        <f t="shared" si="3"/>
        <v>0.249</v>
      </c>
      <c r="D31" s="67"/>
      <c r="E31" s="58">
        <v>44096</v>
      </c>
      <c r="F31" s="59">
        <f t="shared" si="0"/>
        <v>10.979904</v>
      </c>
      <c r="G31" s="59">
        <f t="shared" si="1"/>
        <v>724.673664</v>
      </c>
      <c r="H31" s="60">
        <f t="shared" si="4"/>
        <v>0.976595561745242</v>
      </c>
      <c r="I31" s="61">
        <f t="shared" si="5"/>
        <v>707.713083976063</v>
      </c>
      <c r="J31" s="68"/>
      <c r="K31" s="62">
        <f>(NORMSDIST((I31-$K$28)/B15)-NORMSDIST((I31-$L$28)/B15))</f>
        <v>2.45870599868692e-5</v>
      </c>
      <c r="L31" s="62">
        <f>(NORMSDIST((I31-$L$28)/B15)-NORMSDIST((I31-$M$28)/B15))</f>
        <v>0.076630130792007</v>
      </c>
      <c r="M31" s="63">
        <f>(NORMSDIST((I31-$M$28)/B15)-NORMSDIST((I31-$N$28)/B15))</f>
        <v>0.808980908548034</v>
      </c>
      <c r="N31" s="69">
        <f>(NORMSDIST((I31-$N$28)/B15)-NORMSDIST((I31-$O$28)/B15))</f>
        <v>0.114301647347762</v>
      </c>
      <c r="O31" s="69">
        <f>(NORMSDIST((I31-$O$28)/B15)-NORMSDIST((I31-$P$28)/B15))</f>
        <v>6.27261910845371e-5</v>
      </c>
      <c r="P31" s="63">
        <f>(NORMSDIST((I31-$P$28)/B15)-NORMSDIST((I31-$Q$28)/B15))</f>
        <v>5.00506888841624e-11</v>
      </c>
      <c r="Q31" s="63">
        <f>(NORMSDIST((I31-$Q$28)/B15)-NORMSDIST((I31-$R$28)/B15))</f>
        <v>4.58459253796927e-20</v>
      </c>
      <c r="R31" s="63">
        <f>(NORMSDIST((I31-$R$28)/B15)-NORMSDIST((L31-$S$28)/B15))</f>
        <v>4.47526992332757e-32</v>
      </c>
      <c r="S31" s="63">
        <f>(NORMSDIST((I31-$S$28)/B15)-NORMSDIST((I31-$T$28)/B15))</f>
        <v>4.5103566641153e-47</v>
      </c>
      <c r="T31" s="63"/>
      <c r="U31" s="64">
        <f t="shared" si="2"/>
        <v>0.999999999988925</v>
      </c>
    </row>
    <row r="32" s="16" customFormat="1" ht="18" customHeight="1" spans="1:25">
      <c r="A32" s="65"/>
      <c r="B32" s="65"/>
      <c r="C32" s="56">
        <f t="shared" si="3"/>
        <v>0.25</v>
      </c>
      <c r="D32" s="67"/>
      <c r="E32" s="58">
        <v>44096</v>
      </c>
      <c r="F32" s="70">
        <f t="shared" si="0"/>
        <v>11.024</v>
      </c>
      <c r="G32" s="59">
        <f t="shared" si="1"/>
        <v>727.584</v>
      </c>
      <c r="H32" s="71">
        <f t="shared" si="4"/>
        <v>0.975095561745242</v>
      </c>
      <c r="I32" s="61">
        <f t="shared" si="5"/>
        <v>709.46392919685</v>
      </c>
      <c r="J32" s="72"/>
      <c r="K32" s="73">
        <f>(NORMSDIST((I32-$K$28)/B15)-NORMSDIST((I32-$L$28)/B15))</f>
        <v>3.16257568688805e-7</v>
      </c>
      <c r="L32" s="73">
        <f>(NORMSDIST((I32-$L$28)/B15)-NORMSDIST((I32-$M$28)/B15))</f>
        <v>0.00940061119191815</v>
      </c>
      <c r="M32" s="73">
        <f>(NORMSDIST((I32-$M$28)/B15)-NORMSDIST((I32-$N$28)/B15))</f>
        <v>0.601681960210529</v>
      </c>
      <c r="N32" s="73">
        <f>(NORMSDIST((I32-$N$28)/B15)-NORMSDIST((I32-$O$28)/B15))</f>
        <v>0.387131370353602</v>
      </c>
      <c r="O32" s="73">
        <f>(NORMSDIST((I32-$O$28)/B15)-NORMSDIST((I32-$P$28)/B15))</f>
        <v>0.00178572731387552</v>
      </c>
      <c r="P32" s="73">
        <f>(NORMSDIST((I32-$P$28)/B15)-NORMSDIST((I32-$Q$28)/B15))</f>
        <v>1.46724939448026e-8</v>
      </c>
      <c r="Q32" s="73">
        <f>(NORMSDIST((I32-$Q$28)/B15)-NORMSDIST((I32-$R$28)/B15))</f>
        <v>1.4564468293049e-16</v>
      </c>
      <c r="R32" s="73">
        <f>(NORMSDIST((I32-$R$28)/B15)-NORMSDIST((L32-$S$28)/B15))</f>
        <v>1.56950500202334e-27</v>
      </c>
      <c r="S32" s="63">
        <f>(NORMSDIST((I32-$S$28)/B15)-NORMSDIST((I32-$T$28)/B15))</f>
        <v>1.76129599646079e-41</v>
      </c>
      <c r="T32" s="63"/>
      <c r="U32" s="64">
        <f t="shared" si="2"/>
        <v>0.999999999999986</v>
      </c>
    </row>
    <row r="33" s="14" customFormat="1" ht="18" customHeight="1" spans="1:21">
      <c r="A33" s="65"/>
      <c r="B33" s="65"/>
      <c r="C33" s="56">
        <f t="shared" si="3"/>
        <v>0.251</v>
      </c>
      <c r="D33" s="74"/>
      <c r="E33" s="58">
        <v>44096</v>
      </c>
      <c r="F33" s="59">
        <f t="shared" si="0"/>
        <v>11.068096</v>
      </c>
      <c r="G33" s="59">
        <f t="shared" si="1"/>
        <v>730.494336</v>
      </c>
      <c r="H33" s="60">
        <f t="shared" si="4"/>
        <v>0.973595561745242</v>
      </c>
      <c r="I33" s="61">
        <f t="shared" si="5"/>
        <v>711.206043409638</v>
      </c>
      <c r="J33" s="72"/>
      <c r="K33" s="62">
        <f>(NORMSDIST((I33-$K$28)/B15)-NORMSDIST((I33-$L$28)/B15))</f>
        <v>1.84058879248994e-9</v>
      </c>
      <c r="L33" s="62">
        <f>(NORMSDIST((I33-$L$28)/B15)-NORMSDIST((I33-$M$28)/B15))</f>
        <v>0.000544737557165997</v>
      </c>
      <c r="M33" s="63">
        <f>(NORMSDIST((I33-$M$28)/B15)-NORMSDIST((I33-$N$28)/B15))</f>
        <v>0.262247839417634</v>
      </c>
      <c r="N33" s="63">
        <f>(NORMSDIST((I33-$N$28)/B15)-NORMSDIST((I33-$O$28)/B15))</f>
        <v>0.714285010804019</v>
      </c>
      <c r="O33" s="63">
        <f>(NORMSDIST((I33-$O$28)/B15)-NORMSDIST((I33-$P$28)/B15))</f>
        <v>0.0229205678559797</v>
      </c>
      <c r="P33" s="63">
        <f>(NORMSDIST((I33-$P$28)/B15)-NORMSDIST((I33-$Q$28)/B15))</f>
        <v>1.84252441883767e-6</v>
      </c>
      <c r="Q33" s="63">
        <f>(NORMSDIST((I33-$Q$28)/B15)-NORMSDIST((I33-$R$28)/B15))</f>
        <v>1.93577855828784e-13</v>
      </c>
      <c r="R33" s="63">
        <f>(NORMSDIST((I33-$R$28)/B15)-NORMSDIST((L33-$S$28)/B15))</f>
        <v>2.26465964688415e-23</v>
      </c>
      <c r="S33" s="63">
        <f>(NORMSDIST((I33-$S$28)/B15)-NORMSDIST((I33-$T$28)/B15))</f>
        <v>2.78936390247754e-36</v>
      </c>
      <c r="T33" s="63"/>
      <c r="U33" s="64">
        <f t="shared" si="2"/>
        <v>1</v>
      </c>
    </row>
    <row r="34" s="14" customFormat="1" ht="18" customHeight="1" spans="1:21">
      <c r="A34" s="65"/>
      <c r="B34" s="65"/>
      <c r="C34" s="56">
        <f t="shared" si="3"/>
        <v>0.252</v>
      </c>
      <c r="D34" s="74"/>
      <c r="E34" s="58">
        <v>44096</v>
      </c>
      <c r="F34" s="59">
        <f t="shared" si="0"/>
        <v>11.112192</v>
      </c>
      <c r="G34" s="59">
        <f t="shared" si="1"/>
        <v>733.404672</v>
      </c>
      <c r="H34" s="60">
        <f t="shared" si="4"/>
        <v>0.972095561745242</v>
      </c>
      <c r="I34" s="61">
        <f t="shared" si="5"/>
        <v>712.939426614425</v>
      </c>
      <c r="J34" s="75"/>
      <c r="K34" s="62">
        <f>(NORMSDIST((I34-$K$28)/B15)-NORMSDIST((I34-$L$28)/B15))</f>
        <v>4.87232476586996e-12</v>
      </c>
      <c r="L34" s="62">
        <f>(NORMSDIST((I34-$L$28)/B15)-NORMSDIST((I34-$M$28)/B15))</f>
        <v>1.46625077187545e-5</v>
      </c>
      <c r="M34" s="63">
        <f>(NORMSDIST((I34-$M$28)/B15)-NORMSDIST((I34-$N$28)/B15))</f>
        <v>0.0609089261872729</v>
      </c>
      <c r="N34" s="63">
        <f>(NORMSDIST((I34-$N$28)/B15)-NORMSDIST((I34-$O$28)/B15))</f>
        <v>0.800007554940973</v>
      </c>
      <c r="O34" s="63">
        <f>(NORMSDIST((I34-$O$28)/B15)-NORMSDIST((I34-$P$28)/B15))</f>
        <v>0.138967692092984</v>
      </c>
      <c r="P34" s="63">
        <f>(NORMSDIST((I34-$P$28)/B15)-NORMSDIST((I34-$Q$28)/B15))</f>
        <v>0.000101164156878756</v>
      </c>
      <c r="Q34" s="63">
        <f>(NORMSDIST((I34-$Q$28)/B15)-NORMSDIST((I34-$R$28)/B15))</f>
        <v>1.09300036507493e-10</v>
      </c>
      <c r="R34" s="63">
        <f>(NORMSDIST((I34-$R$28)/B15)-NORMSDIST((L34-$S$28)/B15))</f>
        <v>1.36310397164906e-19</v>
      </c>
      <c r="S34" s="63">
        <f>(NORMSDIST((I34-$S$28)/B15)-NORMSDIST((I34-$T$28)/B15))</f>
        <v>1.81541061081938e-31</v>
      </c>
      <c r="T34" s="63"/>
      <c r="U34" s="64">
        <f t="shared" si="2"/>
        <v>1</v>
      </c>
    </row>
    <row r="35" s="14" customFormat="1" ht="18" customHeight="1" spans="1:21">
      <c r="A35" s="65"/>
      <c r="B35" s="65"/>
      <c r="C35" s="56">
        <f t="shared" si="3"/>
        <v>0.253</v>
      </c>
      <c r="D35" s="76">
        <v>0.0245469886383294</v>
      </c>
      <c r="E35" s="58">
        <v>44096</v>
      </c>
      <c r="F35" s="59">
        <f t="shared" si="0"/>
        <v>11.156288</v>
      </c>
      <c r="G35" s="59">
        <f t="shared" si="1"/>
        <v>736.315008</v>
      </c>
      <c r="H35" s="60">
        <f t="shared" si="4"/>
        <v>0.970595561745243</v>
      </c>
      <c r="I35" s="61">
        <f t="shared" si="5"/>
        <v>714.664078811213</v>
      </c>
      <c r="J35" s="77"/>
      <c r="K35" s="62">
        <f>(NORMSDIST((I35-$K$28)/B15)-NORMSDIST((I35-$L$28)/B15))</f>
        <v>5.88418203051333e-15</v>
      </c>
      <c r="L35" s="62">
        <f>(NORMSDIST((I35-$L$28)/B15)-NORMSDIST((I35-$M$28)/B15))</f>
        <v>1.8250308386758e-7</v>
      </c>
      <c r="M35" s="63">
        <f>(NORMSDIST((I35-$M$28)/B15)-NORMSDIST((I35-$N$28)/B15))</f>
        <v>0.00704839201375174</v>
      </c>
      <c r="N35" s="63">
        <f>(NORMSDIST((I35-$N$28)/B15)-NORMSDIST((I35-$O$28)/B15))</f>
        <v>0.563118926694602</v>
      </c>
      <c r="O35" s="63">
        <f>(NORMSDIST((I35-$O$28)/B15)-NORMSDIST((I35-$P$28)/B15))</f>
        <v>0.427342923728601</v>
      </c>
      <c r="P35" s="63">
        <f>(NORMSDIST((I35-$P$28)/B15)-NORMSDIST((I35-$Q$28)/B15))</f>
        <v>0.0024895484134663</v>
      </c>
      <c r="Q35" s="63">
        <f>(NORMSDIST((I35-$Q$28)/B15)-NORMSDIST((I35-$R$28)/B15))</f>
        <v>2.66464885928831e-8</v>
      </c>
      <c r="R35" s="63">
        <f>(NORMSDIST((I35-$R$28)/B15)-NORMSDIST((I35-$S$28)/B15))</f>
        <v>3.47092062498384e-16</v>
      </c>
      <c r="S35" s="63">
        <f>(NORMSDIST((I35-$S$28)/B15)-NORMSDIST((I35-$T$28)/B15))</f>
        <v>4.92058289277913e-27</v>
      </c>
      <c r="T35" s="63"/>
      <c r="U35" s="64">
        <f t="shared" si="2"/>
        <v>1</v>
      </c>
    </row>
    <row r="36" s="16" customFormat="1" ht="18" customHeight="1" spans="1:21">
      <c r="A36" s="65"/>
      <c r="B36" s="65"/>
      <c r="C36" s="78">
        <f t="shared" si="3"/>
        <v>0.254</v>
      </c>
      <c r="D36" s="76">
        <v>0.0677254308913373</v>
      </c>
      <c r="E36" s="79">
        <v>44096</v>
      </c>
      <c r="F36" s="80">
        <f t="shared" si="0"/>
        <v>11.200384</v>
      </c>
      <c r="G36" s="80">
        <f t="shared" si="1"/>
        <v>739.225344</v>
      </c>
      <c r="H36" s="81">
        <f t="shared" si="4"/>
        <v>0.969095561745243</v>
      </c>
      <c r="I36" s="82">
        <v>716.38</v>
      </c>
      <c r="J36" s="82" t="s">
        <v>99</v>
      </c>
      <c r="K36" s="83">
        <f>(NORMSDIST((I36-$K$28)/B15)-NORMSDIST((I36-$L$28)/B15))</f>
        <v>0</v>
      </c>
      <c r="L36" s="83">
        <f>(NORMSDIST((I36-$L$28)/B15)-NORMSDIST((I36-$M$28)/B15))</f>
        <v>1.05260600236079e-9</v>
      </c>
      <c r="M36" s="84">
        <f>(NORMSDIST((I36-$M$28)/B15)-NORMSDIST((I36-$N$28)/B15))</f>
        <v>0.000392691524863098</v>
      </c>
      <c r="N36" s="84">
        <f>(NORMSDIST((I36-$N$28)/B15)-NORMSDIST((I36-$O$28)/B15))</f>
        <v>0.233429908418452</v>
      </c>
      <c r="O36" s="84">
        <f>(NORMSDIST((I36-$O$28)/B15)-NORMSDIST((I36-$P$28)/B15))</f>
        <v>0.737804463008589</v>
      </c>
      <c r="P36" s="84">
        <f>(NORMSDIST((I36-$P$28)/B15)-NORMSDIST((I36-$Q$28)/B15))</f>
        <v>0.0283700808541943</v>
      </c>
      <c r="Q36" s="84">
        <f>(NORMSDIST((I36-$Q$28)/B15)-NORMSDIST((I36-$R$28)/B15))</f>
        <v>2.85514091638351e-6</v>
      </c>
      <c r="R36" s="84">
        <f>(NORMSDIST((I36-$R$28)/B15)-NORMSDIST((I36-$S$28)/B15))</f>
        <v>3.79338313657606e-13</v>
      </c>
      <c r="S36" s="84">
        <f>(NORMSDIST((I36-$S$28)/B15)-NORMSDIST((I36-$T$28)/B15))</f>
        <v>5.62928231137882e-23</v>
      </c>
      <c r="T36" s="84"/>
      <c r="U36" s="85">
        <f t="shared" si="2"/>
        <v>1</v>
      </c>
    </row>
    <row r="37" s="27" customFormat="1" ht="18" customHeight="1" spans="1:21">
      <c r="A37" s="65"/>
      <c r="B37" s="65"/>
      <c r="C37" s="107">
        <f t="shared" si="3"/>
        <v>0.255</v>
      </c>
      <c r="D37" s="66">
        <v>0.135424696636566</v>
      </c>
      <c r="E37" s="108">
        <v>44096</v>
      </c>
      <c r="F37" s="109">
        <f t="shared" si="0"/>
        <v>11.24448</v>
      </c>
      <c r="G37" s="109">
        <f t="shared" si="1"/>
        <v>742.13568</v>
      </c>
      <c r="H37" s="71">
        <f t="shared" si="4"/>
        <v>0.967595561745243</v>
      </c>
      <c r="I37" s="61">
        <f>G37*(H36-0.15%)</f>
        <v>718.087190180788</v>
      </c>
      <c r="J37" s="61"/>
      <c r="K37" s="73">
        <f>(NORMSDIST((I37-$K$28)/B15)-NORMSDIST((I37-$L$28)/B15))</f>
        <v>0</v>
      </c>
      <c r="L37" s="73">
        <f>(NORMSDIST((I37-$L$28)/B15)-NORMSDIST((I37-$M$28)/B15))</f>
        <v>2.82918133365229e-12</v>
      </c>
      <c r="M37" s="73">
        <f>(NORMSDIST((I37-$M$28)/B15)-NORMSDIST((I37-$N$28)/B15))</f>
        <v>1.03865041286566e-5</v>
      </c>
      <c r="N37" s="73">
        <f>(NORMSDIST((I37-$N$28)/B15)-NORMSDIST((I37-$O$28)/B15))</f>
        <v>0.052088267632308</v>
      </c>
      <c r="O37" s="73">
        <f>(NORMSDIST((I37-$O$28)/B15)-NORMSDIST((I37-$P$28)/B15))</f>
        <v>0.790871961688958</v>
      </c>
      <c r="P37" s="73">
        <f>(NORMSDIST((I37-$P$28)/B15)-NORMSDIST((I37-$Q$28)/B15))</f>
        <v>0.156892173520063</v>
      </c>
      <c r="Q37" s="73">
        <f>(NORMSDIST((I37-$Q$28)/B15)-NORMSDIST((I37-$R$28)/B15))</f>
        <v>0.00013721047107345</v>
      </c>
      <c r="R37" s="73">
        <f>(NORMSDIST((I37-$R$28)/B15)-NORMSDIST((I37-$S$28)/B15))</f>
        <v>1.80640136258132e-10</v>
      </c>
      <c r="S37" s="73">
        <f>(NORMSDIST((I37-$S$28)/B15)-NORMSDIST((I37-$T$28)/B15))</f>
        <v>2.75537311061806e-19</v>
      </c>
      <c r="T37" s="73"/>
      <c r="U37" s="107">
        <f t="shared" si="2"/>
        <v>1</v>
      </c>
    </row>
    <row r="38" s="27" customFormat="1" ht="18" customHeight="1" spans="1:21">
      <c r="A38" s="65"/>
      <c r="B38" s="65"/>
      <c r="C38" s="124">
        <f t="shared" si="3"/>
        <v>0.256</v>
      </c>
      <c r="D38" s="125">
        <v>0.375522897004264</v>
      </c>
      <c r="E38" s="126">
        <v>44096</v>
      </c>
      <c r="F38" s="127">
        <f t="shared" si="0"/>
        <v>11.288576</v>
      </c>
      <c r="G38" s="127">
        <f t="shared" ref="G38:G48" si="6">F38*66</f>
        <v>745.046016</v>
      </c>
      <c r="H38" s="128">
        <f t="shared" si="4"/>
        <v>0.966095561745243</v>
      </c>
      <c r="I38" s="127">
        <f t="shared" ref="I38:I48" si="7">G38*(H37-0.15%)</f>
        <v>719.785649353575</v>
      </c>
      <c r="J38" s="127"/>
      <c r="K38" s="69">
        <f>(NORMSDIST((I38-$K$28)/B15)-NORMSDIST((I38-$L$28)/B15))</f>
        <v>0</v>
      </c>
      <c r="L38" s="69">
        <f>(NORMSDIST((I38-$L$28)/B15)-NORMSDIST((I38-$M$28)/B15))</f>
        <v>3.5527136788005e-15</v>
      </c>
      <c r="M38" s="69">
        <f>(NORMSDIST((I38-$M$28)/B15)-NORMSDIST((I38-$N$28)/B15))</f>
        <v>1.3000610621372e-7</v>
      </c>
      <c r="N38" s="69">
        <f>(NORMSDIST((I38-$N$28)/B15)-NORMSDIST((I38-$O$28)/B15))</f>
        <v>0.00588826784120888</v>
      </c>
      <c r="O38" s="69">
        <f>(NORMSDIST((I38-$O$28)/B15)-NORMSDIST((I38-$P$28)/B15))</f>
        <v>0.539023436985278</v>
      </c>
      <c r="P38" s="69">
        <f>(NORMSDIST((I38-$P$28)/B15)-NORMSDIST((I38-$Q$28)/B15))</f>
        <v>0.4520570386552</v>
      </c>
      <c r="Q38" s="69">
        <f>(NORMSDIST((I38-$Q$28)/B15)-NORMSDIST((I38-$R$28)/B15))</f>
        <v>0.00303108842731715</v>
      </c>
      <c r="R38" s="73">
        <f>(NORMSDIST((I38-$R$28)/B15)-NORMSDIST((I38-$S$28)/B15))</f>
        <v>3.80848861498403e-8</v>
      </c>
      <c r="S38" s="73">
        <f>(NORMSDIST((I38-$S$28)/B15)-NORMSDIST((I38-$T$28)/B15))</f>
        <v>5.850667447317e-16</v>
      </c>
      <c r="T38" s="73"/>
      <c r="U38" s="107">
        <f t="shared" si="2"/>
        <v>1</v>
      </c>
    </row>
    <row r="39" s="27" customFormat="1" ht="18" customHeight="1" spans="1:21">
      <c r="A39" s="65"/>
      <c r="B39" s="65"/>
      <c r="C39" s="124">
        <f t="shared" si="3"/>
        <v>0.257</v>
      </c>
      <c r="D39" s="125">
        <v>0.316365573570102</v>
      </c>
      <c r="E39" s="126">
        <v>44096</v>
      </c>
      <c r="F39" s="127">
        <f t="shared" si="0"/>
        <v>11.332672</v>
      </c>
      <c r="G39" s="127">
        <f t="shared" si="6"/>
        <v>747.956352</v>
      </c>
      <c r="H39" s="128">
        <f t="shared" si="4"/>
        <v>0.964595561745243</v>
      </c>
      <c r="I39" s="127">
        <f t="shared" si="7"/>
        <v>721.475377518363</v>
      </c>
      <c r="J39" s="127"/>
      <c r="K39" s="69">
        <f>(NORMSDIST((I39-$K$28)/B15)-NORMSDIST((I39-$L$28)/B15))</f>
        <v>0</v>
      </c>
      <c r="L39" s="69">
        <f>(NORMSDIST((I39-$L$28)/B15)-NORMSDIST((I39-$M$28)/B15))</f>
        <v>0</v>
      </c>
      <c r="M39" s="69">
        <f>(NORMSDIST((I39-$M$28)/B15)-NORMSDIST((I39-$N$28)/B15))</f>
        <v>7.72137243032489e-10</v>
      </c>
      <c r="N39" s="69">
        <f>(NORMSDIST((I39-$N$28)/B15)-NORMSDIST((I39-$O$28)/B15))</f>
        <v>0.000327091684910741</v>
      </c>
      <c r="O39" s="69">
        <f>(NORMSDIST((I39-$O$28)/B15)-NORMSDIST((I39-$P$28)/B15))</f>
        <v>0.218395543823497</v>
      </c>
      <c r="P39" s="69">
        <f>(NORMSDIST((I39-$P$28)/B15)-NORMSDIST((I39-$Q$28)/B15))</f>
        <v>0.749483852916015</v>
      </c>
      <c r="Q39" s="69">
        <f>(NORMSDIST((I39-$Q$28)/B15)-NORMSDIST((I39-$R$28)/B15))</f>
        <v>0.0317898931023883</v>
      </c>
      <c r="R39" s="73">
        <f>(NORMSDIST((I39-$R$28)/B15)-NORMSDIST((I39-$S$28)/B15))</f>
        <v>3.61770050527002e-6</v>
      </c>
      <c r="S39" s="73">
        <f>(NORMSDIST((I39-$S$28)/B15)-NORMSDIST((I39-$T$28)/B15))</f>
        <v>5.46639478617208e-13</v>
      </c>
      <c r="T39" s="73"/>
      <c r="U39" s="107">
        <f t="shared" si="2"/>
        <v>1</v>
      </c>
    </row>
    <row r="40" s="14" customFormat="1" ht="18" customHeight="1" spans="1:21">
      <c r="A40" s="65"/>
      <c r="B40" s="65"/>
      <c r="C40" s="56">
        <f t="shared" si="3"/>
        <v>0.258</v>
      </c>
      <c r="D40" s="76">
        <v>0.0709605916103882</v>
      </c>
      <c r="E40" s="58">
        <v>44096</v>
      </c>
      <c r="F40" s="59">
        <f t="shared" si="0"/>
        <v>11.376768</v>
      </c>
      <c r="G40" s="59">
        <f t="shared" si="6"/>
        <v>750.866688</v>
      </c>
      <c r="H40" s="60">
        <f t="shared" si="4"/>
        <v>0.963095561745243</v>
      </c>
      <c r="I40" s="61">
        <f t="shared" si="7"/>
        <v>723.15637467515</v>
      </c>
      <c r="J40" s="61"/>
      <c r="K40" s="62">
        <f>(NORMSDIST((I40-$K$28)/B15)-NORMSDIST((I40-$L$28)/B15))</f>
        <v>0</v>
      </c>
      <c r="L40" s="62">
        <f>(NORMSDIST((I40-$L$28)/B15)-NORMSDIST((I40-$M$28)/B15))</f>
        <v>0</v>
      </c>
      <c r="M40" s="63">
        <f>(NORMSDIST((I40-$M$28)/B15)-NORMSDIST((I40-$N$28)/B15))</f>
        <v>2.18902673765342e-12</v>
      </c>
      <c r="N40" s="63">
        <f>(NORMSDIST((I40-$N$28)/B15)-NORMSDIST((I40-$O$28)/B15))</f>
        <v>8.82055022088934e-6</v>
      </c>
      <c r="O40" s="63">
        <f>(NORMSDIST((I40-$O$28)/B15)-NORMSDIST((I40-$P$28)/B15))</f>
        <v>0.0483228203062058</v>
      </c>
      <c r="P40" s="63">
        <f>(NORMSDIST((I40-$P$28)/B15)-NORMSDIST((I40-$Q$28)/B15))</f>
        <v>0.785727125376484</v>
      </c>
      <c r="Q40" s="63">
        <f>(NORMSDIST((I40-$Q$28)/B15)-NORMSDIST((I40-$R$28)/B15))</f>
        <v>0.165783288722326</v>
      </c>
      <c r="R40" s="63">
        <f>(NORMSDIST((I40-$R$28)/B15)-NORMSDIST((I40-$S$28)/B15))</f>
        <v>0.000157944814491561</v>
      </c>
      <c r="S40" s="63">
        <f>(NORMSDIST((I40-$S$28)/B15)-NORMSDIST((I40-$T$28)/B15))</f>
        <v>2.28082594288543e-10</v>
      </c>
      <c r="T40" s="63"/>
      <c r="U40" s="64">
        <f t="shared" si="2"/>
        <v>1</v>
      </c>
    </row>
    <row r="41" s="14" customFormat="1" ht="18" customHeight="1" spans="1:21">
      <c r="A41" s="65"/>
      <c r="B41" s="65"/>
      <c r="C41" s="56">
        <f t="shared" si="3"/>
        <v>0.259</v>
      </c>
      <c r="D41" s="76">
        <v>0.00945382164901285</v>
      </c>
      <c r="E41" s="58">
        <v>44096</v>
      </c>
      <c r="F41" s="59">
        <f t="shared" si="0"/>
        <v>11.420864</v>
      </c>
      <c r="G41" s="59">
        <f t="shared" si="6"/>
        <v>753.777024</v>
      </c>
      <c r="H41" s="60">
        <f t="shared" si="4"/>
        <v>0.961595561745243</v>
      </c>
      <c r="I41" s="61">
        <f t="shared" si="7"/>
        <v>724.828640823937</v>
      </c>
      <c r="J41" s="61"/>
      <c r="K41" s="62">
        <f>(NORMSDIST((I41-$K$28)/B15)-NORMSDIST((I41-$L$28)/B15))</f>
        <v>0</v>
      </c>
      <c r="L41" s="62">
        <f>(NORMSDIST((I41-$L$28)/B15)-NORMSDIST((I41-$M$28)/B15))</f>
        <v>0</v>
      </c>
      <c r="M41" s="63">
        <f>(NORMSDIST((I41-$M$28)/B15)-NORMSDIST((I41-$N$28)/B15))</f>
        <v>2.99760216648792e-15</v>
      </c>
      <c r="N41" s="63">
        <f>(NORMSDIST((I41-$N$28)/B15)-NORMSDIST((I41-$O$28)/B15))</f>
        <v>1.15201712280744e-7</v>
      </c>
      <c r="O41" s="63">
        <f>(NORMSDIST((I41-$O$28)/B15)-NORMSDIST((I41-$P$28)/B15))</f>
        <v>0.00552052041747253</v>
      </c>
      <c r="P41" s="63">
        <f>(NORMSDIST((I41-$P$28)/B15)-NORMSDIST((I41-$Q$28)/B15))</f>
        <v>0.530410867571071</v>
      </c>
      <c r="Q41" s="63">
        <f>(NORMSDIST((I41-$Q$28)/B15)-NORMSDIST((I41-$R$28)/B15))</f>
        <v>0.460821811164654</v>
      </c>
      <c r="R41" s="63">
        <f>(NORMSDIST((I41-$R$28)/B15)-NORMSDIST((I41-$S$28)/B15))</f>
        <v>0.00324664247404866</v>
      </c>
      <c r="S41" s="63">
        <f>(NORMSDIST((I41-$S$28)/B15)-NORMSDIST((I41-$T$28)/B15))</f>
        <v>4.31710370959904e-8</v>
      </c>
      <c r="T41" s="63"/>
      <c r="U41" s="64">
        <f t="shared" si="2"/>
        <v>0.999999999999999</v>
      </c>
    </row>
    <row r="42" s="14" customFormat="1" ht="18" customHeight="1" spans="1:21">
      <c r="A42" s="65"/>
      <c r="B42" s="65"/>
      <c r="C42" s="56">
        <f t="shared" si="3"/>
        <v>0.26</v>
      </c>
      <c r="D42" s="76"/>
      <c r="E42" s="58">
        <v>44096</v>
      </c>
      <c r="F42" s="59">
        <f t="shared" si="0"/>
        <v>11.46496</v>
      </c>
      <c r="G42" s="59">
        <f t="shared" si="6"/>
        <v>756.68736</v>
      </c>
      <c r="H42" s="60">
        <f t="shared" si="4"/>
        <v>0.960095561745243</v>
      </c>
      <c r="I42" s="61">
        <f t="shared" si="7"/>
        <v>726.492175964725</v>
      </c>
      <c r="J42" s="61"/>
      <c r="K42" s="62">
        <f>(NORMSDIST((I42-$K$28)/B15)-NORMSDIST((I42-$L$28)/B15))</f>
        <v>0</v>
      </c>
      <c r="L42" s="62">
        <f>(NORMSDIST((I42-$L$28)/B15)-NORMSDIST((I42-$M$28)/B15))</f>
        <v>0</v>
      </c>
      <c r="M42" s="63">
        <f>(NORMSDIST((I42-$M$28)/B15)-NORMSDIST((I42-$N$28)/B15))</f>
        <v>0</v>
      </c>
      <c r="N42" s="63">
        <f>(NORMSDIST((I42-$N$28)/B15)-NORMSDIST((I42-$O$28)/B15))</f>
        <v>7.30941085436143e-10</v>
      </c>
      <c r="O42" s="63">
        <f>(NORMSDIST((I42-$O$28)/B15)-NORMSDIST((I42-$P$28)/B15))</f>
        <v>0.000316651588319949</v>
      </c>
      <c r="P42" s="63">
        <f>(NORMSDIST((I42-$P$28)/B15)-NORMSDIST((I42-$Q$28)/B15))</f>
        <v>0.215805850234111</v>
      </c>
      <c r="Q42" s="63">
        <f>(NORMSDIST((I42-$Q$28)/B15)-NORMSDIST((I42-$R$28)/B15))</f>
        <v>0.751447593904489</v>
      </c>
      <c r="R42" s="63">
        <f>(NORMSDIST((I42-$R$28)/B15)-NORMSDIST((I42-$S$28)/B15))</f>
        <v>0.0324261327694159</v>
      </c>
      <c r="S42" s="63">
        <f>(NORMSDIST((I42-$S$28)/B15)-NORMSDIST((I42-$T$28)/B15))</f>
        <v>3.77077214006775e-6</v>
      </c>
      <c r="T42" s="63"/>
      <c r="U42" s="64">
        <f t="shared" si="2"/>
        <v>0.999999999999417</v>
      </c>
    </row>
    <row r="43" s="14" customFormat="1" ht="18" customHeight="1" spans="1:21">
      <c r="A43" s="65"/>
      <c r="B43" s="65"/>
      <c r="C43" s="56">
        <f t="shared" si="3"/>
        <v>0.261</v>
      </c>
      <c r="D43" s="76"/>
      <c r="E43" s="58">
        <v>44096</v>
      </c>
      <c r="F43" s="59">
        <f t="shared" si="0"/>
        <v>11.509056</v>
      </c>
      <c r="G43" s="59">
        <f t="shared" si="6"/>
        <v>759.597696</v>
      </c>
      <c r="H43" s="60">
        <f t="shared" si="4"/>
        <v>0.958595561745243</v>
      </c>
      <c r="I43" s="61">
        <f t="shared" si="7"/>
        <v>728.146980097512</v>
      </c>
      <c r="J43" s="61"/>
      <c r="K43" s="62">
        <f>(NORMSDIST((I43-$K$28)/B15)-NORMSDIST((I43-$L$28)/B15))</f>
        <v>0</v>
      </c>
      <c r="L43" s="62">
        <f>(NORMSDIST((I43-$L$28)/B15)-NORMSDIST((I43-$M$28)/B15))</f>
        <v>0</v>
      </c>
      <c r="M43" s="63">
        <f>(NORMSDIST((I43-$M$28)/B15)-NORMSDIST((I43-$N$28)/B15))</f>
        <v>0</v>
      </c>
      <c r="N43" s="63">
        <f>(NORMSDIST((I43-$N$28)/B15)-NORMSDIST((I43-$O$28)/B15))</f>
        <v>2.26674234937718e-12</v>
      </c>
      <c r="O43" s="63">
        <f>(NORMSDIST((I43-$O$28)/B15)-NORMSDIST((I43-$P$28)/B15))</f>
        <v>9.01914940121262e-6</v>
      </c>
      <c r="P43" s="63">
        <f>(NORMSDIST((I43-$P$28)/B15)-NORMSDIST((I43-$Q$28)/B15))</f>
        <v>0.0488209832498419</v>
      </c>
      <c r="Q43" s="63">
        <f>(NORMSDIST((I43-$Q$28)/B15)-NORMSDIST((I43-$R$28)/B15))</f>
        <v>0.786457724645052</v>
      </c>
      <c r="R43" s="63">
        <f>(NORMSDIST((I43-$R$28)/B15)-NORMSDIST((I43-$S$28)/B15))</f>
        <v>0.164557306140359</v>
      </c>
      <c r="S43" s="63">
        <f>(NORMSDIST((I43-$S$28)/B15)-NORMSDIST((I43-$T$28)/B15))</f>
        <v>0.00015496659208991</v>
      </c>
      <c r="T43" s="63"/>
      <c r="U43" s="64">
        <f t="shared" si="2"/>
        <v>0.99999999977901</v>
      </c>
    </row>
    <row r="44" s="14" customFormat="1" ht="18" customHeight="1" spans="1:21">
      <c r="A44" s="65"/>
      <c r="B44" s="65"/>
      <c r="C44" s="56">
        <f t="shared" si="3"/>
        <v>0.262</v>
      </c>
      <c r="D44" s="76"/>
      <c r="E44" s="58">
        <v>44096</v>
      </c>
      <c r="F44" s="59">
        <f t="shared" si="0"/>
        <v>11.553152</v>
      </c>
      <c r="G44" s="59">
        <f t="shared" si="6"/>
        <v>762.508032</v>
      </c>
      <c r="H44" s="60">
        <f t="shared" si="4"/>
        <v>0.957095561745243</v>
      </c>
      <c r="I44" s="61">
        <f t="shared" si="7"/>
        <v>729.7930532223</v>
      </c>
      <c r="J44" s="61"/>
      <c r="K44" s="62">
        <f>(NORMSDIST((I44-$K$28)/B15)-NORMSDIST((I44-$L$28)/B15))</f>
        <v>0</v>
      </c>
      <c r="L44" s="62">
        <f>(NORMSDIST((I44-$L$28)/B15)-NORMSDIST((I44-$M$28)/B15))</f>
        <v>0</v>
      </c>
      <c r="M44" s="63">
        <f>(NORMSDIST((I44-$M$28)/B15)-NORMSDIST((I44-$N$28)/B15))</f>
        <v>0</v>
      </c>
      <c r="N44" s="63">
        <f>(NORMSDIST((I44-$N$28)/B15)-NORMSDIST((I44-$O$28)/B15))</f>
        <v>3.44169137633799e-15</v>
      </c>
      <c r="O44" s="63">
        <f>(NORMSDIST((I44-$O$28)/B15)-NORMSDIST((I44-$P$28)/B15))</f>
        <v>1.2733179988178e-7</v>
      </c>
      <c r="P44" s="63">
        <f>(NORMSDIST((I44-$P$28)/B15)-NORMSDIST((I44-$Q$28)/B15))</f>
        <v>0.00582342703176419</v>
      </c>
      <c r="Q44" s="63">
        <f>(NORMSDIST((I44-$Q$28)/B15)-NORMSDIST((I44-$R$28)/B15))</f>
        <v>0.537543218851168</v>
      </c>
      <c r="R44" s="63">
        <f>(NORMSDIST((I44-$R$28)/B15)-NORMSDIST((I44-$S$28)/B15))</f>
        <v>0.453565921856103</v>
      </c>
      <c r="S44" s="63">
        <f>(NORMSDIST((I44-$S$28)/B15)-NORMSDIST((I44-$T$28)/B15))</f>
        <v>0.00306726601178742</v>
      </c>
      <c r="T44" s="63"/>
      <c r="U44" s="64">
        <f t="shared" si="2"/>
        <v>0.999999961082626</v>
      </c>
    </row>
    <row r="45" s="14" customFormat="1" ht="18" customHeight="1" spans="1:21">
      <c r="A45" s="65"/>
      <c r="B45" s="65"/>
      <c r="C45" s="56">
        <f t="shared" si="3"/>
        <v>0.263</v>
      </c>
      <c r="D45" s="87"/>
      <c r="E45" s="58">
        <v>44096</v>
      </c>
      <c r="F45" s="59">
        <f t="shared" si="0"/>
        <v>11.597248</v>
      </c>
      <c r="G45" s="59">
        <f t="shared" si="6"/>
        <v>765.418368</v>
      </c>
      <c r="H45" s="60">
        <f t="shared" si="4"/>
        <v>0.955595561745243</v>
      </c>
      <c r="I45" s="61">
        <f t="shared" si="7"/>
        <v>731.430395339087</v>
      </c>
      <c r="J45" s="61"/>
      <c r="K45" s="62">
        <f>(NORMSDIST((I45-$K$28)/B15)-NORMSDIST((I45-$L$28)/B15))</f>
        <v>0</v>
      </c>
      <c r="L45" s="62">
        <f>(NORMSDIST((I45-$L$28)/B15)-NORMSDIST((I45-$M$28)/B15))</f>
        <v>0</v>
      </c>
      <c r="M45" s="63">
        <f>(NORMSDIST((I45-$M$28)/B15)-NORMSDIST((I45-$N$28)/B15))</f>
        <v>0</v>
      </c>
      <c r="N45" s="63">
        <f>(NORMSDIST((I45-$N$28)/B15)-NORMSDIST((I45-$O$28)/B15))</f>
        <v>0</v>
      </c>
      <c r="O45" s="63">
        <f>(NORMSDIST((I45-$O$28)/B15)-NORMSDIST((I45-$P$28)/B15))</f>
        <v>8.93911389354685e-10</v>
      </c>
      <c r="P45" s="63">
        <f>(NORMSDIST((I45-$P$28)/B15)-NORMSDIST((I45-$Q$28)/B15))</f>
        <v>0.000356644933691364</v>
      </c>
      <c r="Q45" s="63">
        <f>(NORMSDIST((I45-$Q$28)/B15)-NORMSDIST((I45-$R$28)/B15))</f>
        <v>0.225416492090756</v>
      </c>
      <c r="R45" s="63">
        <f>(NORMSDIST((I45-$R$28)/B15)-NORMSDIST((I45-$S$28)/B15))</f>
        <v>0.744086812335631</v>
      </c>
      <c r="S45" s="63">
        <f>(NORMSDIST((I45-$S$28)/B15)-NORMSDIST((I45-$T$28)/B15))</f>
        <v>0.0301368132238707</v>
      </c>
      <c r="T45" s="63"/>
      <c r="U45" s="64">
        <f t="shared" si="2"/>
        <v>0.999996763477861</v>
      </c>
    </row>
    <row r="46" s="14" customFormat="1" ht="18" customHeight="1" spans="1:21">
      <c r="A46" s="65"/>
      <c r="B46" s="65"/>
      <c r="C46" s="56">
        <f t="shared" si="3"/>
        <v>0.264</v>
      </c>
      <c r="D46" s="87"/>
      <c r="E46" s="58">
        <v>44096</v>
      </c>
      <c r="F46" s="59">
        <f t="shared" si="0"/>
        <v>11.641344</v>
      </c>
      <c r="G46" s="59">
        <f t="shared" si="6"/>
        <v>768.328704</v>
      </c>
      <c r="H46" s="60">
        <f t="shared" si="4"/>
        <v>0.954095561745243</v>
      </c>
      <c r="I46" s="61">
        <f t="shared" si="7"/>
        <v>733.059006447874</v>
      </c>
      <c r="J46" s="61"/>
      <c r="K46" s="62">
        <f>(NORMSDIST((I46-$K$28)/B15)-NORMSDIST((I46-$L$28)/B15))</f>
        <v>0</v>
      </c>
      <c r="L46" s="62">
        <f>(NORMSDIST((I46-$L$28)/B15)-NORMSDIST((I46-$M$28)/B15))</f>
        <v>0</v>
      </c>
      <c r="M46" s="63">
        <f>(NORMSDIST((I46-$M$28)/B15)-NORMSDIST((I46-$N$28)/B15))</f>
        <v>0</v>
      </c>
      <c r="N46" s="63">
        <f>(NORMSDIST((I46-$N$28)/B15)-NORMSDIST((I46-$O$28)/B15))</f>
        <v>0</v>
      </c>
      <c r="O46" s="63">
        <f>(NORMSDIST((I46-$O$28)/B15)-NORMSDIST((I46-$P$28)/B15))</f>
        <v>3.13971071363994e-12</v>
      </c>
      <c r="P46" s="63">
        <f>(NORMSDIST((I46-$P$28)/B15)-NORMSDIST((I46-$Q$28)/B15))</f>
        <v>1.10974684742748e-5</v>
      </c>
      <c r="Q46" s="63">
        <f>(NORMSDIST((I46-$Q$28)/B15)-NORMSDIST((I46-$R$28)/B15))</f>
        <v>0.0536874602479297</v>
      </c>
      <c r="R46" s="63">
        <f>(NORMSDIST((I46-$R$28)/B15)-NORMSDIST((I46-$S$28)/B15))</f>
        <v>0.792810525839348</v>
      </c>
      <c r="S46" s="63">
        <f>(NORMSDIST((I46-$S$28)/B15)-NORMSDIST((I46-$T$28)/B15))</f>
        <v>0.153361397311627</v>
      </c>
      <c r="T46" s="63"/>
      <c r="U46" s="64">
        <f t="shared" si="2"/>
        <v>0.999870480870518</v>
      </c>
    </row>
    <row r="47" s="14" customFormat="1" ht="18" customHeight="1" spans="1:21">
      <c r="A47" s="65"/>
      <c r="B47" s="65"/>
      <c r="C47" s="56">
        <f t="shared" si="3"/>
        <v>0.265</v>
      </c>
      <c r="D47" s="87"/>
      <c r="E47" s="58">
        <v>44096</v>
      </c>
      <c r="F47" s="59">
        <f t="shared" si="0"/>
        <v>11.68544</v>
      </c>
      <c r="G47" s="59">
        <f t="shared" si="6"/>
        <v>771.23904</v>
      </c>
      <c r="H47" s="60">
        <f t="shared" si="4"/>
        <v>0.952595561745243</v>
      </c>
      <c r="I47" s="61">
        <f t="shared" si="7"/>
        <v>734.678886548662</v>
      </c>
      <c r="J47" s="61"/>
      <c r="K47" s="62">
        <f>(NORMSDIST((I47-$K$28)/B15)-NORMSDIST((I47-$L$28)/B15))</f>
        <v>0</v>
      </c>
      <c r="L47" s="62">
        <f>(NORMSDIST((I47-$L$28)/B15)-NORMSDIST((I47-$M$28)/B15))</f>
        <v>0</v>
      </c>
      <c r="M47" s="63">
        <f>(NORMSDIST((I47-$M$28)/B15)-NORMSDIST((I47-$N$28)/B15))</f>
        <v>0</v>
      </c>
      <c r="N47" s="63">
        <f>(NORMSDIST((I47-$N$28)/B15)-NORMSDIST((I47-$O$28)/B15))</f>
        <v>0</v>
      </c>
      <c r="O47" s="63">
        <f>(NORMSDIST((I47-$O$28)/B15)-NORMSDIST((I47-$P$28)/B15))</f>
        <v>5.55111512312578e-15</v>
      </c>
      <c r="P47" s="63">
        <f>(NORMSDIST((I47-$P$28)/B15)-NORMSDIST((I47-$Q$28)/B15))</f>
        <v>1.75153910264569e-7</v>
      </c>
      <c r="Q47" s="63">
        <f>(NORMSDIST((I47-$Q$28)/B15)-NORMSDIST((I47-$R$28)/B15))</f>
        <v>0.00689705105405569</v>
      </c>
      <c r="R47" s="63">
        <f>(NORMSDIST((I47-$R$28)/B15)-NORMSDIST((I47-$S$28)/B15))</f>
        <v>0.560207237416366</v>
      </c>
      <c r="S47" s="63">
        <f>(NORMSDIST((I47-$S$28)/B15)-NORMSDIST((I47-$T$28)/B15))</f>
        <v>0.430345040909815</v>
      </c>
      <c r="T47" s="63"/>
      <c r="U47" s="64">
        <f t="shared" si="2"/>
        <v>0.997449504534152</v>
      </c>
    </row>
    <row r="48" s="14" customFormat="1" ht="18" customHeight="1" spans="1:21">
      <c r="A48" s="65"/>
      <c r="B48" s="65"/>
      <c r="C48" s="56">
        <f t="shared" si="3"/>
        <v>0.266</v>
      </c>
      <c r="D48" s="87"/>
      <c r="E48" s="58">
        <v>44096</v>
      </c>
      <c r="F48" s="59">
        <f t="shared" si="0"/>
        <v>11.729536</v>
      </c>
      <c r="G48" s="59">
        <f t="shared" si="6"/>
        <v>774.149376</v>
      </c>
      <c r="H48" s="60">
        <f t="shared" si="4"/>
        <v>0.951095561745243</v>
      </c>
      <c r="I48" s="61">
        <f t="shared" si="7"/>
        <v>736.290035641449</v>
      </c>
      <c r="J48" s="61"/>
      <c r="K48" s="62">
        <f>(NORMSDIST((I48-$K$28)/B15)-NORMSDIST((I48-$L$28)/B15))</f>
        <v>0</v>
      </c>
      <c r="L48" s="62">
        <f>(NORMSDIST((I48-$L$28)/B15)-NORMSDIST((I48-$M$28)/B15))</f>
        <v>0</v>
      </c>
      <c r="M48" s="63">
        <f>(NORMSDIST((I48-$M$28)/B15)-NORMSDIST((I48-$N$28)/B15))</f>
        <v>0</v>
      </c>
      <c r="N48" s="63">
        <f>(NORMSDIST((I48-$N$28)/B15)-NORMSDIST((I48-$O$28)/B15))</f>
        <v>0</v>
      </c>
      <c r="O48" s="63">
        <f>(NORMSDIST((I48-$O$28)/B15)-NORMSDIST((I48-$P$28)/B15))</f>
        <v>0</v>
      </c>
      <c r="P48" s="63">
        <f>(NORMSDIST((I48-$P$28)/B15)-NORMSDIST((I48-$Q$28)/B15))</f>
        <v>1.4067621512126e-9</v>
      </c>
      <c r="Q48" s="63">
        <f>(NORMSDIST((I48-$Q$28)/B15)-NORMSDIST((I48-$R$28)/B15))</f>
        <v>0.0004655708644421</v>
      </c>
      <c r="R48" s="63">
        <f>(NORMSDIST((I48-$R$28)/B15)-NORMSDIST((I48-$S$28)/B15))</f>
        <v>0.248114090042749</v>
      </c>
      <c r="S48" s="63">
        <f>(NORMSDIST((I48-$S$28)/B15)-NORMSDIST((I48-$T$28)/B15))</f>
        <v>0.725987592246077</v>
      </c>
      <c r="T48" s="63"/>
      <c r="U48" s="64">
        <f t="shared" si="2"/>
        <v>0.97456725456003</v>
      </c>
    </row>
    <row r="49" s="14" customFormat="1" ht="9.6" customHeight="1" spans="4:21">
      <c r="D49" s="88"/>
    </row>
    <row r="50" s="14" customFormat="1" ht="18" customHeight="1" spans="4:21">
      <c r="D50" s="89"/>
      <c r="I50" s="90" t="s">
        <v>90</v>
      </c>
      <c r="J50" s="90" t="s">
        <v>89</v>
      </c>
      <c r="K50" s="53">
        <f>K28</f>
        <v>695</v>
      </c>
      <c r="L50" s="53">
        <f t="shared" ref="L50:T50" si="8">L28</f>
        <v>700</v>
      </c>
      <c r="M50" s="53">
        <f t="shared" si="8"/>
        <v>705</v>
      </c>
      <c r="N50" s="53">
        <f t="shared" si="8"/>
        <v>710</v>
      </c>
      <c r="O50" s="53">
        <f t="shared" si="8"/>
        <v>715</v>
      </c>
      <c r="P50" s="53">
        <f t="shared" si="8"/>
        <v>720</v>
      </c>
      <c r="Q50" s="53">
        <f t="shared" si="8"/>
        <v>725</v>
      </c>
      <c r="R50" s="53">
        <f t="shared" si="8"/>
        <v>730</v>
      </c>
      <c r="S50" s="53">
        <f t="shared" si="8"/>
        <v>735</v>
      </c>
      <c r="T50" s="53">
        <f t="shared" si="8"/>
        <v>740</v>
      </c>
      <c r="U50" s="54" t="s">
        <v>96</v>
      </c>
    </row>
    <row r="51" s="14" customFormat="1" ht="18" customHeight="1" spans="4:21">
      <c r="I51" s="91">
        <f t="shared" ref="I51:I70" si="9">D29</f>
        <v>0</v>
      </c>
      <c r="J51" s="56">
        <f t="shared" ref="J51:J70" si="10">C29</f>
        <v>0.247</v>
      </c>
      <c r="K51" s="63">
        <f t="shared" ref="K51:K70" si="11">D29*K29</f>
        <v>0</v>
      </c>
      <c r="L51" s="63">
        <f t="shared" ref="L51:L70" si="12">D29*L29</f>
        <v>0</v>
      </c>
      <c r="M51" s="63">
        <f t="shared" ref="M51:M70" si="13">D29*M29</f>
        <v>0</v>
      </c>
      <c r="N51" s="63">
        <f t="shared" ref="N51:N70" si="14">D29*N29</f>
        <v>0</v>
      </c>
      <c r="O51" s="63">
        <f t="shared" ref="O51:O70" si="15">D29*O29</f>
        <v>0</v>
      </c>
      <c r="P51" s="63">
        <f t="shared" ref="P51:P70" si="16">D29*P29</f>
        <v>0</v>
      </c>
      <c r="Q51" s="63">
        <f t="shared" ref="Q51:Q70" si="17">D29*Q29</f>
        <v>0</v>
      </c>
      <c r="R51" s="63">
        <f t="shared" ref="R51:R70" si="18">D29*R29</f>
        <v>0</v>
      </c>
      <c r="S51" s="63">
        <f t="shared" ref="S51:S70" si="19">S29*D29</f>
        <v>0</v>
      </c>
      <c r="T51" s="63"/>
      <c r="U51" s="64"/>
    </row>
    <row r="52" s="14" customFormat="1" ht="18" customHeight="1" spans="4:21">
      <c r="I52" s="91">
        <f t="shared" si="9"/>
        <v>0</v>
      </c>
      <c r="J52" s="56">
        <f t="shared" si="10"/>
        <v>0.248</v>
      </c>
      <c r="K52" s="63">
        <f t="shared" si="11"/>
        <v>0</v>
      </c>
      <c r="L52" s="63">
        <f t="shared" si="12"/>
        <v>0</v>
      </c>
      <c r="M52" s="63">
        <f t="shared" si="13"/>
        <v>0</v>
      </c>
      <c r="N52" s="63">
        <f t="shared" si="14"/>
        <v>0</v>
      </c>
      <c r="O52" s="63">
        <f t="shared" si="15"/>
        <v>0</v>
      </c>
      <c r="P52" s="63">
        <f t="shared" si="16"/>
        <v>0</v>
      </c>
      <c r="Q52" s="63">
        <f t="shared" si="17"/>
        <v>0</v>
      </c>
      <c r="R52" s="63">
        <f t="shared" si="18"/>
        <v>0</v>
      </c>
      <c r="S52" s="63">
        <f t="shared" si="19"/>
        <v>0</v>
      </c>
      <c r="T52" s="63"/>
      <c r="U52" s="64"/>
    </row>
    <row r="53" s="14" customFormat="1" ht="18" customHeight="1" spans="4:21">
      <c r="I53" s="91">
        <f t="shared" si="9"/>
        <v>0</v>
      </c>
      <c r="J53" s="56">
        <f t="shared" si="10"/>
        <v>0.249</v>
      </c>
      <c r="K53" s="63">
        <f t="shared" si="11"/>
        <v>0</v>
      </c>
      <c r="L53" s="63">
        <f t="shared" si="12"/>
        <v>0</v>
      </c>
      <c r="M53" s="63">
        <f t="shared" si="13"/>
        <v>0</v>
      </c>
      <c r="N53" s="63">
        <f t="shared" si="14"/>
        <v>0</v>
      </c>
      <c r="O53" s="63">
        <f t="shared" si="15"/>
        <v>0</v>
      </c>
      <c r="P53" s="63">
        <f t="shared" si="16"/>
        <v>0</v>
      </c>
      <c r="Q53" s="63">
        <f t="shared" si="17"/>
        <v>0</v>
      </c>
      <c r="R53" s="63">
        <f t="shared" si="18"/>
        <v>0</v>
      </c>
      <c r="S53" s="63">
        <f t="shared" si="19"/>
        <v>0</v>
      </c>
      <c r="T53" s="63"/>
      <c r="U53" s="64"/>
    </row>
    <row r="54" s="14" customFormat="1" ht="18" customHeight="1" spans="4:21">
      <c r="I54" s="91">
        <f t="shared" si="9"/>
        <v>0</v>
      </c>
      <c r="J54" s="56">
        <f t="shared" si="10"/>
        <v>0.25</v>
      </c>
      <c r="K54" s="73">
        <f t="shared" si="11"/>
        <v>0</v>
      </c>
      <c r="L54" s="73">
        <f t="shared" si="12"/>
        <v>0</v>
      </c>
      <c r="M54" s="73">
        <f t="shared" si="13"/>
        <v>0</v>
      </c>
      <c r="N54" s="73">
        <f t="shared" si="14"/>
        <v>0</v>
      </c>
      <c r="O54" s="73">
        <f t="shared" si="15"/>
        <v>0</v>
      </c>
      <c r="P54" s="73">
        <f t="shared" si="16"/>
        <v>0</v>
      </c>
      <c r="Q54" s="73">
        <f t="shared" si="17"/>
        <v>0</v>
      </c>
      <c r="R54" s="73">
        <f t="shared" si="18"/>
        <v>0</v>
      </c>
      <c r="S54" s="73">
        <f t="shared" si="19"/>
        <v>0</v>
      </c>
      <c r="T54" s="63"/>
      <c r="U54" s="64"/>
    </row>
    <row r="55" s="14" customFormat="1" ht="18" customHeight="1" spans="4:21">
      <c r="I55" s="91">
        <f t="shared" si="9"/>
        <v>0</v>
      </c>
      <c r="J55" s="56">
        <f t="shared" si="10"/>
        <v>0.251</v>
      </c>
      <c r="K55" s="63">
        <f t="shared" si="11"/>
        <v>0</v>
      </c>
      <c r="L55" s="63">
        <f t="shared" si="12"/>
        <v>0</v>
      </c>
      <c r="M55" s="63">
        <f t="shared" si="13"/>
        <v>0</v>
      </c>
      <c r="N55" s="63">
        <f t="shared" si="14"/>
        <v>0</v>
      </c>
      <c r="O55" s="63">
        <f t="shared" si="15"/>
        <v>0</v>
      </c>
      <c r="P55" s="63">
        <f t="shared" si="16"/>
        <v>0</v>
      </c>
      <c r="Q55" s="63">
        <f t="shared" si="17"/>
        <v>0</v>
      </c>
      <c r="R55" s="63">
        <f t="shared" si="18"/>
        <v>0</v>
      </c>
      <c r="S55" s="63">
        <f t="shared" si="19"/>
        <v>0</v>
      </c>
      <c r="T55" s="63"/>
      <c r="U55" s="64"/>
    </row>
    <row r="56" s="14" customFormat="1" ht="18" customHeight="1" spans="4:21">
      <c r="I56" s="91">
        <f t="shared" si="9"/>
        <v>0</v>
      </c>
      <c r="J56" s="56">
        <f t="shared" si="10"/>
        <v>0.252</v>
      </c>
      <c r="K56" s="63">
        <f t="shared" si="11"/>
        <v>0</v>
      </c>
      <c r="L56" s="63">
        <f t="shared" si="12"/>
        <v>0</v>
      </c>
      <c r="M56" s="63">
        <f t="shared" si="13"/>
        <v>0</v>
      </c>
      <c r="N56" s="63">
        <f t="shared" si="14"/>
        <v>0</v>
      </c>
      <c r="O56" s="63">
        <f t="shared" si="15"/>
        <v>0</v>
      </c>
      <c r="P56" s="63">
        <f t="shared" si="16"/>
        <v>0</v>
      </c>
      <c r="Q56" s="63">
        <f t="shared" si="17"/>
        <v>0</v>
      </c>
      <c r="R56" s="63">
        <f t="shared" si="18"/>
        <v>0</v>
      </c>
      <c r="S56" s="63">
        <f t="shared" si="19"/>
        <v>0</v>
      </c>
      <c r="T56" s="63"/>
      <c r="U56" s="64"/>
    </row>
    <row r="57" s="14" customFormat="1" ht="18" customHeight="1" spans="4:21">
      <c r="I57" s="91">
        <f t="shared" si="9"/>
        <v>0.0245469886383294</v>
      </c>
      <c r="J57" s="56">
        <f t="shared" si="10"/>
        <v>0.253</v>
      </c>
      <c r="K57" s="63">
        <f t="shared" si="11"/>
        <v>1.44438949448873e-16</v>
      </c>
      <c r="L57" s="63">
        <f t="shared" si="12"/>
        <v>4.47990112615757e-9</v>
      </c>
      <c r="M57" s="63">
        <f t="shared" si="13"/>
        <v>0.000173016798680056</v>
      </c>
      <c r="N57" s="63">
        <f t="shared" si="14"/>
        <v>0.0138228738956007</v>
      </c>
      <c r="O57" s="63">
        <f t="shared" si="15"/>
        <v>0.0104899818934364</v>
      </c>
      <c r="P57" s="63">
        <f t="shared" si="16"/>
        <v>6.11109166199283e-5</v>
      </c>
      <c r="Q57" s="63">
        <f t="shared" si="17"/>
        <v>6.54091052740876e-10</v>
      </c>
      <c r="R57" s="63">
        <f t="shared" si="18"/>
        <v>8.52006491460214e-18</v>
      </c>
      <c r="S57" s="63">
        <f t="shared" si="19"/>
        <v>1.20785492363007e-28</v>
      </c>
      <c r="T57" s="63"/>
      <c r="U57" s="64"/>
    </row>
    <row r="58" s="14" customFormat="1" ht="18" customHeight="1" spans="4:21">
      <c r="I58" s="91">
        <f t="shared" si="9"/>
        <v>0.0677254308913373</v>
      </c>
      <c r="J58" s="56">
        <f t="shared" si="10"/>
        <v>0.254</v>
      </c>
      <c r="K58" s="63">
        <f t="shared" si="11"/>
        <v>0</v>
      </c>
      <c r="L58" s="63">
        <f t="shared" si="12"/>
        <v>7.12881950686925e-11</v>
      </c>
      <c r="M58" s="63">
        <f t="shared" si="13"/>
        <v>2.65952027287296e-5</v>
      </c>
      <c r="N58" s="63">
        <f t="shared" si="14"/>
        <v>0.015809141130565</v>
      </c>
      <c r="O58" s="63">
        <f t="shared" si="15"/>
        <v>0.0499681251708084</v>
      </c>
      <c r="P58" s="63">
        <f t="shared" si="16"/>
        <v>0.00192137595027239</v>
      </c>
      <c r="Q58" s="63">
        <f t="shared" si="17"/>
        <v>1.93365648817561e-7</v>
      </c>
      <c r="R58" s="63">
        <f t="shared" si="18"/>
        <v>2.56908507460547e-14</v>
      </c>
      <c r="S58" s="63">
        <f t="shared" si="19"/>
        <v>3.81245570147114e-24</v>
      </c>
      <c r="T58" s="63"/>
      <c r="U58" s="64"/>
    </row>
    <row r="59" s="14" customFormat="1" ht="18" customHeight="1" spans="4:21">
      <c r="I59" s="91">
        <f t="shared" si="9"/>
        <v>0.135424696636566</v>
      </c>
      <c r="J59" s="56">
        <f t="shared" si="10"/>
        <v>0.255</v>
      </c>
      <c r="K59" s="63">
        <f t="shared" si="11"/>
        <v>0</v>
      </c>
      <c r="L59" s="63">
        <f t="shared" si="12"/>
        <v>3.83141023839696e-13</v>
      </c>
      <c r="M59" s="63">
        <f t="shared" si="13"/>
        <v>1.40658917073776e-6</v>
      </c>
      <c r="N59" s="63">
        <f t="shared" si="14"/>
        <v>0.00705403784242957</v>
      </c>
      <c r="O59" s="63">
        <f t="shared" si="15"/>
        <v>0.107103595490093</v>
      </c>
      <c r="P59" s="63">
        <f t="shared" si="16"/>
        <v>0.021247075003606</v>
      </c>
      <c r="Q59" s="63">
        <f t="shared" si="17"/>
        <v>1.85816864204822e-5</v>
      </c>
      <c r="R59" s="63">
        <f t="shared" si="18"/>
        <v>2.44631356531455e-11</v>
      </c>
      <c r="S59" s="63">
        <f t="shared" si="19"/>
        <v>3.73145567626003e-20</v>
      </c>
      <c r="T59" s="63"/>
      <c r="U59" s="64"/>
    </row>
    <row r="60" s="14" customFormat="1" ht="18" customHeight="1" spans="4:21">
      <c r="I60" s="91">
        <f t="shared" si="9"/>
        <v>0.375522897004264</v>
      </c>
      <c r="J60" s="56">
        <f t="shared" si="10"/>
        <v>0.256</v>
      </c>
      <c r="K60" s="63">
        <f t="shared" si="11"/>
        <v>0</v>
      </c>
      <c r="L60" s="63">
        <f t="shared" si="12"/>
        <v>1.33412533288984e-15</v>
      </c>
      <c r="M60" s="63">
        <f t="shared" si="13"/>
        <v>4.88202696336203e-8</v>
      </c>
      <c r="N60" s="63">
        <f t="shared" si="14"/>
        <v>0.0022111793980678</v>
      </c>
      <c r="O60" s="63">
        <f t="shared" si="15"/>
        <v>0.202415642609907</v>
      </c>
      <c r="P60" s="63">
        <f t="shared" si="16"/>
        <v>0.169757768766969</v>
      </c>
      <c r="Q60" s="63">
        <f t="shared" si="17"/>
        <v>0.00113824310730224</v>
      </c>
      <c r="R60" s="63">
        <f t="shared" si="18"/>
        <v>1.43017467790656e-8</v>
      </c>
      <c r="S60" s="63">
        <f t="shared" si="19"/>
        <v>2.19705958922502e-16</v>
      </c>
      <c r="T60" s="63"/>
      <c r="U60" s="64"/>
    </row>
    <row r="61" s="14" customFormat="1" ht="18" customHeight="1" spans="4:21">
      <c r="I61" s="91">
        <f t="shared" si="9"/>
        <v>0.316365573570102</v>
      </c>
      <c r="J61" s="56">
        <f t="shared" si="10"/>
        <v>0.257</v>
      </c>
      <c r="K61" s="63">
        <f t="shared" si="11"/>
        <v>0</v>
      </c>
      <c r="L61" s="63">
        <f t="shared" si="12"/>
        <v>0</v>
      </c>
      <c r="M61" s="63">
        <f t="shared" si="13"/>
        <v>2.44277641766811e-10</v>
      </c>
      <c r="N61" s="63">
        <f t="shared" si="14"/>
        <v>0.000103480548506798</v>
      </c>
      <c r="O61" s="63">
        <f t="shared" si="15"/>
        <v>0.0690928314868749</v>
      </c>
      <c r="P61" s="63">
        <f t="shared" si="16"/>
        <v>0.237110889009305</v>
      </c>
      <c r="Q61" s="63">
        <f t="shared" si="17"/>
        <v>0.0100572277650693</v>
      </c>
      <c r="R61" s="63">
        <f t="shared" si="18"/>
        <v>1.1445158953546e-6</v>
      </c>
      <c r="S61" s="63">
        <f t="shared" si="19"/>
        <v>1.72937912188795e-13</v>
      </c>
      <c r="T61" s="63"/>
      <c r="U61" s="64"/>
    </row>
    <row r="62" s="14" customFormat="1" ht="18" customHeight="1" spans="4:21">
      <c r="I62" s="91">
        <f t="shared" si="9"/>
        <v>0.0709605916103882</v>
      </c>
      <c r="J62" s="56">
        <f t="shared" si="10"/>
        <v>0.258</v>
      </c>
      <c r="K62" s="63">
        <f t="shared" si="11"/>
        <v>0</v>
      </c>
      <c r="L62" s="63">
        <f t="shared" si="12"/>
        <v>0</v>
      </c>
      <c r="M62" s="63">
        <f t="shared" si="13"/>
        <v>1.55334632354845e-13</v>
      </c>
      <c r="N62" s="63">
        <f t="shared" si="14"/>
        <v>6.25911462003448e-7</v>
      </c>
      <c r="O62" s="63">
        <f t="shared" si="15"/>
        <v>0.00342901591721085</v>
      </c>
      <c r="P62" s="63">
        <f t="shared" si="16"/>
        <v>0.055755661661045</v>
      </c>
      <c r="Q62" s="63">
        <f t="shared" si="17"/>
        <v>0.011764080246852</v>
      </c>
      <c r="R62" s="63">
        <f t="shared" si="18"/>
        <v>1.12078574781142e-5</v>
      </c>
      <c r="S62" s="63">
        <f t="shared" si="19"/>
        <v>1.61848758267471e-11</v>
      </c>
      <c r="T62" s="63"/>
      <c r="U62" s="64"/>
    </row>
    <row r="63" s="14" customFormat="1" ht="18" customHeight="1" spans="4:21">
      <c r="I63" s="91">
        <f t="shared" si="9"/>
        <v>0.00945382164901285</v>
      </c>
      <c r="J63" s="56">
        <f t="shared" si="10"/>
        <v>0.259</v>
      </c>
      <c r="K63" s="63">
        <f t="shared" si="11"/>
        <v>0</v>
      </c>
      <c r="L63" s="63">
        <f t="shared" si="12"/>
        <v>0</v>
      </c>
      <c r="M63" s="63">
        <f t="shared" si="13"/>
        <v>2.83387962566713e-17</v>
      </c>
      <c r="N63" s="63">
        <f t="shared" si="14"/>
        <v>1.08909644156304e-9</v>
      </c>
      <c r="O63" s="63">
        <f t="shared" si="15"/>
        <v>5.21900154365193e-5</v>
      </c>
      <c r="P63" s="63">
        <f t="shared" si="16"/>
        <v>0.00501440974271508</v>
      </c>
      <c r="Q63" s="63">
        <f t="shared" si="17"/>
        <v>0.00435652721472572</v>
      </c>
      <c r="R63" s="63">
        <f t="shared" si="18"/>
        <v>3.06931789077659e-5</v>
      </c>
      <c r="S63" s="63">
        <f t="shared" si="19"/>
        <v>4.08131285108411e-10</v>
      </c>
      <c r="T63" s="63"/>
      <c r="U63" s="64"/>
    </row>
    <row r="64" s="14" customFormat="1" ht="18" customHeight="1" spans="4:21">
      <c r="I64" s="91">
        <f t="shared" si="9"/>
        <v>0</v>
      </c>
      <c r="J64" s="56">
        <f t="shared" si="10"/>
        <v>0.26</v>
      </c>
      <c r="K64" s="63">
        <f t="shared" si="11"/>
        <v>0</v>
      </c>
      <c r="L64" s="63">
        <f t="shared" si="12"/>
        <v>0</v>
      </c>
      <c r="M64" s="63">
        <f t="shared" si="13"/>
        <v>0</v>
      </c>
      <c r="N64" s="63">
        <f t="shared" si="14"/>
        <v>0</v>
      </c>
      <c r="O64" s="63">
        <f t="shared" si="15"/>
        <v>0</v>
      </c>
      <c r="P64" s="63">
        <f t="shared" si="16"/>
        <v>0</v>
      </c>
      <c r="Q64" s="63">
        <f t="shared" si="17"/>
        <v>0</v>
      </c>
      <c r="R64" s="63">
        <f t="shared" si="18"/>
        <v>0</v>
      </c>
      <c r="S64" s="63">
        <f t="shared" si="19"/>
        <v>0</v>
      </c>
      <c r="T64" s="63"/>
      <c r="U64" s="64"/>
    </row>
    <row r="65" s="14" customFormat="1" ht="18" customHeight="1" spans="1:21">
      <c r="I65" s="91">
        <f t="shared" si="9"/>
        <v>0</v>
      </c>
      <c r="J65" s="56">
        <f t="shared" si="10"/>
        <v>0.261</v>
      </c>
      <c r="K65" s="63">
        <f t="shared" si="11"/>
        <v>0</v>
      </c>
      <c r="L65" s="63">
        <f t="shared" si="12"/>
        <v>0</v>
      </c>
      <c r="M65" s="63">
        <f t="shared" si="13"/>
        <v>0</v>
      </c>
      <c r="N65" s="63">
        <f t="shared" si="14"/>
        <v>0</v>
      </c>
      <c r="O65" s="63">
        <f t="shared" si="15"/>
        <v>0</v>
      </c>
      <c r="P65" s="63">
        <f t="shared" si="16"/>
        <v>0</v>
      </c>
      <c r="Q65" s="63">
        <f t="shared" si="17"/>
        <v>0</v>
      </c>
      <c r="R65" s="63">
        <f t="shared" si="18"/>
        <v>0</v>
      </c>
      <c r="S65" s="63">
        <f t="shared" si="19"/>
        <v>0</v>
      </c>
      <c r="T65" s="63"/>
      <c r="U65" s="64"/>
    </row>
    <row r="66" s="14" customFormat="1" ht="18" customHeight="1" spans="1:21">
      <c r="I66" s="91">
        <f t="shared" si="9"/>
        <v>0</v>
      </c>
      <c r="J66" s="56">
        <f t="shared" si="10"/>
        <v>0.262</v>
      </c>
      <c r="K66" s="63">
        <f t="shared" si="11"/>
        <v>0</v>
      </c>
      <c r="L66" s="63">
        <f t="shared" si="12"/>
        <v>0</v>
      </c>
      <c r="M66" s="63">
        <f t="shared" si="13"/>
        <v>0</v>
      </c>
      <c r="N66" s="63">
        <f t="shared" si="14"/>
        <v>0</v>
      </c>
      <c r="O66" s="63">
        <f t="shared" si="15"/>
        <v>0</v>
      </c>
      <c r="P66" s="63">
        <f t="shared" si="16"/>
        <v>0</v>
      </c>
      <c r="Q66" s="63">
        <f t="shared" si="17"/>
        <v>0</v>
      </c>
      <c r="R66" s="63">
        <f t="shared" si="18"/>
        <v>0</v>
      </c>
      <c r="S66" s="63">
        <f t="shared" si="19"/>
        <v>0</v>
      </c>
      <c r="T66" s="63"/>
      <c r="U66" s="64"/>
    </row>
    <row r="67" s="14" customFormat="1" ht="18" customHeight="1" spans="1:21">
      <c r="I67" s="91">
        <f t="shared" si="9"/>
        <v>0</v>
      </c>
      <c r="J67" s="56">
        <f t="shared" si="10"/>
        <v>0.263</v>
      </c>
      <c r="K67" s="63">
        <f t="shared" si="11"/>
        <v>0</v>
      </c>
      <c r="L67" s="63">
        <f t="shared" si="12"/>
        <v>0</v>
      </c>
      <c r="M67" s="63">
        <f t="shared" si="13"/>
        <v>0</v>
      </c>
      <c r="N67" s="63">
        <f t="shared" si="14"/>
        <v>0</v>
      </c>
      <c r="O67" s="63">
        <f t="shared" si="15"/>
        <v>0</v>
      </c>
      <c r="P67" s="63">
        <f t="shared" si="16"/>
        <v>0</v>
      </c>
      <c r="Q67" s="63">
        <f t="shared" si="17"/>
        <v>0</v>
      </c>
      <c r="R67" s="63">
        <f t="shared" si="18"/>
        <v>0</v>
      </c>
      <c r="S67" s="63">
        <f t="shared" si="19"/>
        <v>0</v>
      </c>
      <c r="T67" s="63"/>
      <c r="U67" s="64"/>
    </row>
    <row r="68" s="14" customFormat="1" ht="18" customHeight="1" spans="1:21">
      <c r="I68" s="91">
        <f t="shared" si="9"/>
        <v>0</v>
      </c>
      <c r="J68" s="56">
        <f t="shared" si="10"/>
        <v>0.264</v>
      </c>
      <c r="K68" s="63">
        <f t="shared" si="11"/>
        <v>0</v>
      </c>
      <c r="L68" s="63">
        <f t="shared" si="12"/>
        <v>0</v>
      </c>
      <c r="M68" s="63">
        <f t="shared" si="13"/>
        <v>0</v>
      </c>
      <c r="N68" s="63">
        <f t="shared" si="14"/>
        <v>0</v>
      </c>
      <c r="O68" s="63">
        <f t="shared" si="15"/>
        <v>0</v>
      </c>
      <c r="P68" s="63">
        <f t="shared" si="16"/>
        <v>0</v>
      </c>
      <c r="Q68" s="63">
        <f t="shared" si="17"/>
        <v>0</v>
      </c>
      <c r="R68" s="63">
        <f t="shared" si="18"/>
        <v>0</v>
      </c>
      <c r="S68" s="63">
        <f t="shared" si="19"/>
        <v>0</v>
      </c>
      <c r="T68" s="63"/>
      <c r="U68" s="64"/>
    </row>
    <row r="69" s="14" customFormat="1" ht="18" customHeight="1" spans="1:21">
      <c r="I69" s="91">
        <f t="shared" si="9"/>
        <v>0</v>
      </c>
      <c r="J69" s="56">
        <f t="shared" si="10"/>
        <v>0.265</v>
      </c>
      <c r="K69" s="63">
        <f t="shared" si="11"/>
        <v>0</v>
      </c>
      <c r="L69" s="63">
        <f t="shared" si="12"/>
        <v>0</v>
      </c>
      <c r="M69" s="63">
        <f t="shared" si="13"/>
        <v>0</v>
      </c>
      <c r="N69" s="63">
        <f t="shared" si="14"/>
        <v>0</v>
      </c>
      <c r="O69" s="63">
        <f t="shared" si="15"/>
        <v>0</v>
      </c>
      <c r="P69" s="63">
        <f t="shared" si="16"/>
        <v>0</v>
      </c>
      <c r="Q69" s="63">
        <f t="shared" si="17"/>
        <v>0</v>
      </c>
      <c r="R69" s="63">
        <f t="shared" si="18"/>
        <v>0</v>
      </c>
      <c r="S69" s="63">
        <f t="shared" si="19"/>
        <v>0</v>
      </c>
      <c r="T69" s="63"/>
      <c r="U69" s="64"/>
    </row>
    <row r="70" s="14" customFormat="1" ht="18" customHeight="1" spans="1:21">
      <c r="I70" s="91">
        <f t="shared" si="9"/>
        <v>0</v>
      </c>
      <c r="J70" s="56">
        <f t="shared" si="10"/>
        <v>0.266</v>
      </c>
      <c r="K70" s="63">
        <f t="shared" si="11"/>
        <v>0</v>
      </c>
      <c r="L70" s="63">
        <f t="shared" si="12"/>
        <v>0</v>
      </c>
      <c r="M70" s="63">
        <f t="shared" si="13"/>
        <v>0</v>
      </c>
      <c r="N70" s="63">
        <f t="shared" si="14"/>
        <v>0</v>
      </c>
      <c r="O70" s="63">
        <f t="shared" si="15"/>
        <v>0</v>
      </c>
      <c r="P70" s="63">
        <f t="shared" si="16"/>
        <v>0</v>
      </c>
      <c r="Q70" s="63">
        <f t="shared" si="17"/>
        <v>0</v>
      </c>
      <c r="R70" s="63">
        <f t="shared" si="18"/>
        <v>0</v>
      </c>
      <c r="S70" s="63">
        <f t="shared" si="19"/>
        <v>0</v>
      </c>
      <c r="T70" s="63"/>
      <c r="U70" s="64"/>
    </row>
    <row r="71" s="14" customFormat="1" ht="18" customHeight="1" spans="1:21">
      <c r="I71" s="92" t="s">
        <v>100</v>
      </c>
      <c r="J71" s="93"/>
      <c r="K71" s="94">
        <f t="shared" ref="K71:S71" si="20">SUM(K51:K70)</f>
        <v>1.44438949448873e-16</v>
      </c>
      <c r="L71" s="94">
        <f t="shared" si="20"/>
        <v>4.55157379637543e-9</v>
      </c>
      <c r="M71" s="94">
        <f t="shared" si="20"/>
        <v>0.000201067655282161</v>
      </c>
      <c r="N71" s="94">
        <f t="shared" si="20"/>
        <v>0.0390013398157283</v>
      </c>
      <c r="O71" s="94">
        <f t="shared" si="20"/>
        <v>0.442551382583767</v>
      </c>
      <c r="P71" s="94">
        <f t="shared" si="20"/>
        <v>0.490868291050533</v>
      </c>
      <c r="Q71" s="94">
        <f t="shared" si="20"/>
        <v>0.0273348540401097</v>
      </c>
      <c r="R71" s="94">
        <f t="shared" si="20"/>
        <v>4.30598785168487e-5</v>
      </c>
      <c r="S71" s="94">
        <f t="shared" si="20"/>
        <v>4.24489318590624e-10</v>
      </c>
      <c r="T71" s="94"/>
      <c r="U71" s="95">
        <f>SUM(K71:T71)</f>
        <v>1</v>
      </c>
    </row>
    <row r="72" ht="18" customHeight="1" spans="1:21">
      <c r="K72" s="53">
        <f>K50</f>
        <v>695</v>
      </c>
      <c r="L72" s="53">
        <f t="shared" ref="L72:T72" si="21">L50</f>
        <v>700</v>
      </c>
      <c r="M72" s="53">
        <f t="shared" si="21"/>
        <v>705</v>
      </c>
      <c r="N72" s="53">
        <f t="shared" si="21"/>
        <v>710</v>
      </c>
      <c r="O72" s="53">
        <f t="shared" si="21"/>
        <v>715</v>
      </c>
      <c r="P72" s="53">
        <f t="shared" si="21"/>
        <v>720</v>
      </c>
      <c r="Q72" s="53">
        <f t="shared" si="21"/>
        <v>725</v>
      </c>
      <c r="R72" s="53">
        <f t="shared" si="21"/>
        <v>730</v>
      </c>
      <c r="S72" s="53">
        <f t="shared" si="21"/>
        <v>735</v>
      </c>
      <c r="T72" s="53">
        <f t="shared" si="21"/>
        <v>740</v>
      </c>
    </row>
    <row r="73" ht="4.8" customHeight="1" spans="1:21">
      <c r="I73" s="96"/>
    </row>
    <row r="74" ht="4.8" customHeight="1" spans="1:21">
      <c r="I74" s="96"/>
    </row>
    <row r="75" ht="4.8" customHeight="1" spans="1:21">
      <c r="I75" s="96"/>
    </row>
    <row r="76" ht="26.4" customHeight="1" spans="1:21">
      <c r="A76" s="97" t="s">
        <v>101</v>
      </c>
      <c r="B76" s="98" t="s">
        <v>89</v>
      </c>
      <c r="C76" s="98" t="str">
        <f>C9</f>
        <v>时创</v>
      </c>
      <c r="D76" s="98" t="str">
        <f t="shared" ref="D76:O76" si="22">D9</f>
        <v>爱旭</v>
      </c>
      <c r="E76" s="98" t="str">
        <f t="shared" si="22"/>
        <v>弘元</v>
      </c>
      <c r="F76" s="98" t="str">
        <f t="shared" si="22"/>
        <v>中润</v>
      </c>
      <c r="G76" s="98" t="str">
        <f t="shared" si="22"/>
        <v>英发</v>
      </c>
      <c r="H76" s="98" t="str">
        <f t="shared" si="22"/>
        <v>鸿禧</v>
      </c>
      <c r="I76" s="98" t="str">
        <f t="shared" si="22"/>
        <v>通威</v>
      </c>
      <c r="J76" s="98" t="str">
        <f t="shared" si="22"/>
        <v>捷泰</v>
      </c>
      <c r="K76" s="98" t="str">
        <f t="shared" si="22"/>
        <v>芜湖</v>
      </c>
      <c r="L76" s="98" t="str">
        <f t="shared" si="22"/>
        <v>新霖飞</v>
      </c>
      <c r="M76" s="98" t="str">
        <f t="shared" si="22"/>
        <v>厂家11</v>
      </c>
      <c r="N76" s="98" t="str">
        <f t="shared" si="22"/>
        <v>厂家12</v>
      </c>
      <c r="O76" s="98" t="str">
        <f t="shared" si="22"/>
        <v>厂家13</v>
      </c>
    </row>
    <row r="77" ht="17.4" customHeight="1" spans="1:21">
      <c r="A77" s="97"/>
      <c r="B77" s="99">
        <f>C29</f>
        <v>0.247</v>
      </c>
      <c r="C77" s="100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</row>
    <row r="78" ht="17.4" customHeight="1" spans="1:21">
      <c r="A78" s="97"/>
      <c r="B78" s="99">
        <f t="shared" ref="B78:B96" si="23">C30</f>
        <v>0.248</v>
      </c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</row>
    <row r="79" ht="17.4" customHeight="1" spans="1:21">
      <c r="A79" s="97"/>
      <c r="B79" s="99">
        <f t="shared" si="23"/>
        <v>0.249</v>
      </c>
      <c r="C79" s="100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</row>
    <row r="80" ht="17.4" customHeight="1" spans="1:21">
      <c r="A80" s="97"/>
      <c r="B80" s="99">
        <f t="shared" si="23"/>
        <v>0.25</v>
      </c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</row>
    <row r="81" ht="17.4" customHeight="1" spans="1:15">
      <c r="A81" s="97"/>
      <c r="B81" s="99">
        <f t="shared" si="23"/>
        <v>0.251</v>
      </c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</row>
    <row r="82" ht="17.4" customHeight="1" spans="1:15">
      <c r="A82" s="97"/>
      <c r="B82" s="99">
        <f t="shared" si="23"/>
        <v>0.252</v>
      </c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</row>
    <row r="83" ht="17.4" customHeight="1" spans="1:15">
      <c r="A83" s="97"/>
      <c r="B83" s="99">
        <f t="shared" si="23"/>
        <v>0.253</v>
      </c>
      <c r="C83" s="100">
        <v>0.0176673129638297</v>
      </c>
      <c r="D83" s="100"/>
      <c r="E83" s="100"/>
      <c r="F83" s="100"/>
      <c r="G83" s="100">
        <v>0.0202020202020202</v>
      </c>
      <c r="H83" s="100"/>
      <c r="I83" s="100"/>
      <c r="J83" s="100"/>
      <c r="K83" s="100">
        <v>0.0245469886383294</v>
      </c>
      <c r="L83" s="100"/>
      <c r="M83" s="100"/>
      <c r="N83" s="100"/>
      <c r="O83" s="100"/>
    </row>
    <row r="84" ht="17.4" customHeight="1" spans="1:15">
      <c r="A84" s="97"/>
      <c r="B84" s="99">
        <f t="shared" si="23"/>
        <v>0.254</v>
      </c>
      <c r="C84" s="100">
        <v>0.0575315905596042</v>
      </c>
      <c r="D84" s="100"/>
      <c r="E84" s="100"/>
      <c r="F84" s="100"/>
      <c r="G84" s="100">
        <v>0.121212121212121</v>
      </c>
      <c r="H84" s="100"/>
      <c r="I84" s="100">
        <v>0.0102827763496144</v>
      </c>
      <c r="J84" s="100"/>
      <c r="K84" s="100">
        <v>0.0677254308913373</v>
      </c>
      <c r="L84" s="100"/>
      <c r="M84" s="100"/>
      <c r="N84" s="100"/>
      <c r="O84" s="100"/>
    </row>
    <row r="85" ht="17.4" customHeight="1" spans="1:15">
      <c r="A85" s="97"/>
      <c r="B85" s="99">
        <f t="shared" si="23"/>
        <v>0.255</v>
      </c>
      <c r="C85" s="100">
        <v>0.168215551246908</v>
      </c>
      <c r="D85" s="100">
        <v>0.0149206302180123</v>
      </c>
      <c r="E85" s="100"/>
      <c r="F85" s="100">
        <v>0.0161223770945504</v>
      </c>
      <c r="G85" s="100">
        <v>0.505050505050505</v>
      </c>
      <c r="H85" s="100"/>
      <c r="I85" s="100">
        <v>0.077120822622108</v>
      </c>
      <c r="J85" s="100"/>
      <c r="K85" s="100">
        <v>0.135424696636566</v>
      </c>
      <c r="L85" s="100"/>
      <c r="M85" s="100"/>
      <c r="N85" s="100"/>
      <c r="O85" s="100"/>
    </row>
    <row r="86" ht="17.4" customHeight="1" spans="1:15">
      <c r="A86" s="97"/>
      <c r="B86" s="99">
        <f t="shared" si="23"/>
        <v>0.256</v>
      </c>
      <c r="C86" s="100">
        <v>0.41077756234539</v>
      </c>
      <c r="D86" s="100">
        <v>0.0490789918436436</v>
      </c>
      <c r="E86" s="100"/>
      <c r="F86" s="100">
        <v>0.099360941981583</v>
      </c>
      <c r="G86" s="100">
        <v>0.292929292929293</v>
      </c>
      <c r="H86" s="100"/>
      <c r="I86" s="100">
        <v>0.29305912596401</v>
      </c>
      <c r="J86" s="100"/>
      <c r="K86" s="100">
        <v>0.375522897004264</v>
      </c>
      <c r="L86" s="100"/>
      <c r="M86" s="100"/>
      <c r="N86" s="100"/>
      <c r="O86" s="100"/>
    </row>
    <row r="87" ht="17.4" customHeight="1" spans="1:15">
      <c r="A87" s="97"/>
      <c r="B87" s="99">
        <f t="shared" si="23"/>
        <v>0.257</v>
      </c>
      <c r="C87" s="100">
        <v>0.31436785451628</v>
      </c>
      <c r="D87" s="100">
        <v>0.175433272426686</v>
      </c>
      <c r="E87" s="100"/>
      <c r="F87" s="100">
        <v>0.433422231167916</v>
      </c>
      <c r="G87" s="100">
        <v>0.0606060606060606</v>
      </c>
      <c r="H87" s="100"/>
      <c r="I87" s="100">
        <v>0.568123393316195</v>
      </c>
      <c r="J87" s="100"/>
      <c r="K87" s="100">
        <v>0.316365573570102</v>
      </c>
      <c r="L87" s="100"/>
      <c r="M87" s="100"/>
      <c r="N87" s="100"/>
      <c r="O87" s="100"/>
    </row>
    <row r="88" ht="17.4" customHeight="1" spans="1:15">
      <c r="A88" s="97"/>
      <c r="B88" s="99">
        <f t="shared" si="23"/>
        <v>0.258</v>
      </c>
      <c r="C88" s="100">
        <v>0.0312562679681754</v>
      </c>
      <c r="D88" s="100">
        <v>0.371150944185269</v>
      </c>
      <c r="E88" s="100"/>
      <c r="F88" s="100">
        <v>0.42147637498113</v>
      </c>
      <c r="G88" s="100">
        <v>0</v>
      </c>
      <c r="H88" s="100"/>
      <c r="I88" s="100">
        <v>0.051413881748072</v>
      </c>
      <c r="J88" s="100"/>
      <c r="K88" s="100">
        <v>0.0709605916103882</v>
      </c>
      <c r="L88" s="100"/>
      <c r="M88" s="100"/>
      <c r="N88" s="100"/>
      <c r="O88" s="100"/>
    </row>
    <row r="89" ht="17.4" customHeight="1" spans="1:15">
      <c r="A89" s="97"/>
      <c r="B89" s="99">
        <f t="shared" si="23"/>
        <v>0.259</v>
      </c>
      <c r="C89" s="100">
        <v>0.000183860399812796</v>
      </c>
      <c r="D89" s="100">
        <v>0.306397039589733</v>
      </c>
      <c r="E89" s="100"/>
      <c r="F89" s="100">
        <v>0.0295979469632164</v>
      </c>
      <c r="G89" s="100"/>
      <c r="H89" s="100"/>
      <c r="I89" s="100"/>
      <c r="J89" s="100"/>
      <c r="K89" s="100">
        <v>0.00945382164901285</v>
      </c>
      <c r="L89" s="100"/>
      <c r="M89" s="100"/>
      <c r="N89" s="100"/>
      <c r="O89" s="100"/>
    </row>
    <row r="90" ht="17.4" customHeight="1" spans="1:15">
      <c r="A90" s="97"/>
      <c r="B90" s="99">
        <f t="shared" si="23"/>
        <v>0.26</v>
      </c>
      <c r="C90" s="100"/>
      <c r="D90" s="100">
        <v>0.0830191217366558</v>
      </c>
      <c r="E90" s="100"/>
      <c r="F90" s="100">
        <v>2.01278116036834e-5</v>
      </c>
      <c r="G90" s="100"/>
      <c r="H90" s="100"/>
      <c r="I90" s="100"/>
      <c r="J90" s="100"/>
      <c r="K90" s="100"/>
      <c r="L90" s="100"/>
      <c r="M90" s="100"/>
      <c r="N90" s="100"/>
      <c r="O90" s="100"/>
    </row>
    <row r="91" ht="17.4" customHeight="1" spans="1:15">
      <c r="A91" s="97"/>
      <c r="B91" s="99">
        <f t="shared" si="23"/>
        <v>0.261</v>
      </c>
      <c r="C91" s="100"/>
      <c r="D91" s="100">
        <v>0</v>
      </c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</row>
    <row r="92" ht="17.4" customHeight="1" spans="1:15">
      <c r="A92" s="97"/>
      <c r="B92" s="99">
        <f t="shared" si="23"/>
        <v>0.262</v>
      </c>
      <c r="C92" s="100"/>
      <c r="D92" s="100">
        <v>0</v>
      </c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</row>
    <row r="93" ht="17.4" customHeight="1" spans="1:15">
      <c r="A93" s="97"/>
      <c r="B93" s="99">
        <f t="shared" si="23"/>
        <v>0.263</v>
      </c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</row>
    <row r="94" ht="17.4" customHeight="1" spans="1:15">
      <c r="A94" s="97"/>
      <c r="B94" s="99">
        <f t="shared" si="23"/>
        <v>0.264</v>
      </c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</row>
    <row r="95" ht="17.4" customHeight="1" spans="1:15">
      <c r="A95" s="97"/>
      <c r="B95" s="99">
        <f t="shared" si="23"/>
        <v>0.265</v>
      </c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</row>
    <row r="96" ht="17.4" customHeight="1" spans="1:15">
      <c r="A96" s="97"/>
      <c r="B96" s="99">
        <f t="shared" si="23"/>
        <v>0.266</v>
      </c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</row>
  </sheetData>
  <sheetProtection formatCells="0" formatColumns="0" formatRows="0" insertRows="0" insertColumns="0" insertHyperlinks="0" deleteColumns="0" deleteRows="0" sort="0" autoFilter="0" pivotTables="0"/>
  <mergeCells count="22">
    <mergeCell ref="A1:F1"/>
    <mergeCell ref="G1:I1"/>
    <mergeCell ref="L1:O1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{29734ad4-69c5-4d2e-98bb-2451e13b05f4}</x14:id>
        </ext>
      </extLst>
    </cfRule>
  </conditionalFormatting>
  <conditionalFormatting sqref="D3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{49bcc2bb-fb4f-4b59-b96b-437b810ed251}</x14:id>
        </ext>
      </extLst>
    </cfRule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{2958f623-5479-46e1-b6b6-92f9c2fdfe8a}</x14:id>
        </ext>
      </extLst>
    </cfRule>
  </conditionalFormatting>
  <conditionalFormatting sqref="D33:D44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{49c7ef91-51b1-478b-899f-5bac27d8e32a}</x14:id>
        </ext>
      </extLst>
    </cfRule>
  </conditionalFormatting>
  <conditionalFormatting sqref="D45:D48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{e2d3f47d-e4fa-4614-99d5-ba7d18ab9b93}</x14:id>
        </ext>
      </extLst>
    </cfRule>
    <cfRule type="dataBar" priority="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{5b478485-e683-495f-ad4d-a36a94c4fec5}</x14:id>
        </ext>
      </extLst>
    </cfRule>
  </conditionalFormatting>
  <conditionalFormatting sqref="D49:D50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{9087297f-9b73-4e7c-8663-a0627bc37502}</x14:id>
        </ext>
      </extLst>
    </cfRule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{65792379-26f3-48d6-a4bb-26be19e8e02e}</x14:id>
        </ext>
      </extLst>
    </cfRule>
  </conditionalFormatting>
  <conditionalFormatting sqref="D29:D32 D45:D48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{3acf8f3d-27b1-45e2-9ec9-eb67e85b33a8}</x14:id>
        </ext>
      </extLst>
    </cfRule>
  </conditionalFormatting>
  <conditionalFormatting sqref="K29:R4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{069c14b2-0e71-4e7f-8867-789fe8ff8071}</x14:id>
        </ext>
      </extLst>
    </cfRule>
  </conditionalFormatting>
  <conditionalFormatting sqref="K29:S48 T2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{3fd7af45-bf4f-45b0-8634-80b38b33503b}</x14:id>
        </ext>
      </extLst>
    </cfRule>
  </conditionalFormatting>
  <conditionalFormatting sqref="K29:T48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{e14cd4d8-78ce-4bf7-a3c7-826c99c3288f}</x14:id>
        </ext>
      </extLst>
    </cfRule>
  </conditionalFormatting>
  <conditionalFormatting sqref="M29:O30 O35 N31:O34 M31:M48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{a1c6cf58-5660-4c06-ab1d-8f683641089f}</x14:id>
        </ext>
      </extLst>
    </cfRule>
    <cfRule type="colorScale" priority="20">
      <colorScale>
        <cfvo type="percent" val="0"/>
        <cfvo type="percent" val="0"/>
        <color theme="0"/>
        <color theme="0"/>
      </colorScale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{750c05ff-ed2a-4768-9918-3650588f7f05}</x14:id>
        </ext>
      </extLst>
    </cfRule>
    <cfRule type="dataBar" priority="2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{2fc9a4e3-9ca4-446a-8a19-946ff111d5c7}</x14:id>
        </ext>
      </extLst>
    </cfRule>
    <cfRule type="dataBar" priority="2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{074e0089-a2a3-4223-bd54-6531ee0cb684}</x14:id>
        </ext>
      </extLst>
    </cfRule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{4bc1dc1a-f896-41ad-bd64-3719540c3098}</x14:id>
        </ext>
      </extLst>
    </cfRule>
  </conditionalFormatting>
  <conditionalFormatting sqref="P29:R35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{7a1ab761-4134-4602-9ff1-f3de03b433fd}</x14:id>
        </ext>
      </extLst>
    </cfRule>
    <cfRule type="colorScale" priority="13">
      <colorScale>
        <cfvo type="percent" val="0"/>
        <cfvo type="percent" val="0"/>
        <color theme="0"/>
        <color theme="0"/>
      </colorScale>
    </cfRule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{14336e9c-9ebf-450a-8b97-a3176899097b}</x14:id>
        </ext>
      </extLst>
    </cfRule>
    <cfRule type="dataBar" priority="15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{7c7eb134-aa15-4498-8a85-e72dd676a10e}</x14:id>
        </ext>
      </extLst>
    </cfRule>
    <cfRule type="dataBar" priority="1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{7f4b6fe7-a35f-4a08-91a7-06cb1dd63cda}</x14:id>
        </ext>
      </extLst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{91c63756-2309-4c58-a210-c0a9d1bdaf3e}</x14:id>
        </ext>
      </extLst>
    </cfRule>
  </conditionalFormatting>
  <conditionalFormatting sqref="S29:T48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{700aaf21-0980-4a47-b3dd-4e4786217063}</x14:id>
        </ext>
      </extLst>
    </cfRule>
    <cfRule type="dataBar" priority="35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{3d94c2b9-43c0-4596-bfad-df29063c90db}</x14:id>
        </ext>
      </extLst>
    </cfRule>
    <cfRule type="colorScale" priority="359">
      <colorScale>
        <cfvo type="percent" val="0"/>
        <cfvo type="percent" val="0"/>
        <color theme="0"/>
        <color theme="0"/>
      </colorScale>
    </cfRule>
    <cfRule type="dataBar" priority="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{8fcd3c30-446f-4d28-991a-077f5f82e2fa}</x14:id>
        </ext>
      </extLst>
    </cfRule>
    <cfRule type="dataBar" priority="36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{135a111f-ce96-476e-9169-3c874135fe96}</x14:id>
        </ext>
      </extLst>
    </cfRule>
    <cfRule type="dataBar" priority="36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{68b20b22-07f4-4898-afbd-1ff9b2020b9a}</x14:id>
        </ext>
      </extLst>
    </cfRule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{1ec1b4e1-c114-4454-a9f4-34d402049f06}</x14:id>
        </ext>
      </extLst>
    </cfRule>
  </conditionalFormatting>
  <conditionalFormatting sqref="P36:R48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{52674819-c1f8-4736-a292-55961a2b3105}</x14:id>
        </ext>
      </extLst>
    </cfRule>
    <cfRule type="colorScale" priority="26">
      <colorScale>
        <cfvo type="percent" val="0"/>
        <cfvo type="percent" val="0"/>
        <color theme="0"/>
        <color theme="0"/>
      </colorScale>
    </cfRule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{ec0c9039-cb1d-454a-915f-bf734cf37a3d}</x14:id>
        </ext>
      </extLst>
    </cfRule>
    <cfRule type="dataBar" priority="2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{52f95090-525c-4e64-8837-745094f185f0}</x14:id>
        </ext>
      </extLst>
    </cfRule>
    <cfRule type="dataBar" priority="29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{443b5c31-7ae8-4dd3-89bb-dc497fb58a8f}</x14:id>
        </ext>
      </extLst>
    </cfRule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{e0d98fdc-59b1-4769-87c4-43b6ec2af4c0}</x14:id>
        </ext>
      </extLst>
    </cfRule>
  </conditionalFormatting>
  <conditionalFormatting sqref="C77:O9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{e101f54b-1e98-48ca-a859-abfc0c9d6f00}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9734ad4-69c5-4d2e-98bb-2451e13b05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49bcc2bb-fb4f-4b59-b96b-437b810ed2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58f623-5479-46e1-b6b6-92f9c2fdfe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49c7ef91-51b1-478b-899f-5bac27d8e3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e2d3f47d-e4fa-4614-99d5-ba7d18ab9b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b478485-e683-495f-ad4d-a36a94c4fec5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9087297f-9b73-4e7c-8663-a0627bc375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5792379-26f3-48d6-a4bb-26be19e8e02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3acf8f3d-27b1-45e2-9ec9-eb67e85b33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069c14b2-0e71-4e7f-8867-789fe8ff80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3fd7af45-bf4f-45b0-8634-80b38b3350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K29:S48 T29</xm:sqref>
        </x14:conditionalFormatting>
        <x14:conditionalFormatting xmlns:xm="http://schemas.microsoft.com/office/excel/2006/main">
          <x14:cfRule type="dataBar" id="{e14cd4d8-78ce-4bf7-a3c7-826c99c328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K29:T48</xm:sqref>
        </x14:conditionalFormatting>
        <x14:conditionalFormatting xmlns:xm="http://schemas.microsoft.com/office/excel/2006/main">
          <x14:cfRule type="dataBar" id="{a1c6cf58-5660-4c06-ab1d-8f683641089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750c05ff-ed2a-4768-9918-3650588f7f0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fc9a4e3-9ca4-446a-8a19-946ff111d5c7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074e0089-a2a3-4223-bd54-6531ee0cb68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bc1dc1a-f896-41ad-bd64-3719540c309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7a1ab761-4134-4602-9ff1-f3de03b433f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14336e9c-9ebf-450a-8b97-a3176899097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7c7eb134-aa15-4498-8a85-e72dd676a10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7f4b6fe7-a35f-4a08-91a7-06cb1dd63cd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91c63756-2309-4c58-a210-c0a9d1bdaf3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700aaf21-0980-4a47-b3dd-4e47862170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3d94c2b9-43c0-4596-bfad-df29063c90d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8fcd3c30-446f-4d28-991a-077f5f82e2f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135a111f-ce96-476e-9169-3c874135fe96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68b20b22-07f4-4898-afbd-1ff9b2020b9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1ec1b4e1-c114-4454-a9f4-34d402049f06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S29:T48</xm:sqref>
        </x14:conditionalFormatting>
        <x14:conditionalFormatting xmlns:xm="http://schemas.microsoft.com/office/excel/2006/main">
          <x14:cfRule type="dataBar" id="{52674819-c1f8-4736-a292-55961a2b310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ec0c9039-cb1d-454a-915f-bf734cf37a3d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52f95090-525c-4e64-8837-745094f185f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43b5c31-7ae8-4dd3-89bb-dc497fb58a8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e0d98fdc-59b1-4769-87c4-43b6ec2af4c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e101f54b-1e98-48ca-a859-abfc0c9d6f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C77:O96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>
    <tabColor rgb="FFFF0000"/>
  </sheetPr>
  <dimension ref="A1:AB96"/>
  <sheetViews>
    <sheetView showGridLines="0" zoomScale="70" zoomScaleNormal="70" workbookViewId="0">
      <selection activeCell="C9" sqref="C9"/>
    </sheetView>
  </sheetViews>
  <sheetFormatPr defaultColWidth="8.44642857142857" defaultRowHeight="13.6"/>
  <cols>
    <col min="1" max="19" width="10.5535714285714" style="17" customWidth="1"/>
    <col min="20" max="20" width="10.5535714285714" style="17" hidden="1" customWidth="1"/>
    <col min="21" max="21" width="10.5535714285714" style="17" customWidth="1"/>
    <col min="22" max="16384" width="8.44642857142857" style="17"/>
  </cols>
  <sheetData>
    <row r="1" s="13" customFormat="1" ht="40.8" customHeight="1" spans="1:25">
      <c r="A1" s="18" t="s">
        <v>141</v>
      </c>
      <c r="B1" s="18"/>
      <c r="C1" s="18"/>
      <c r="D1" s="18"/>
      <c r="E1" s="18"/>
      <c r="F1" s="18"/>
      <c r="G1" s="19" t="s">
        <v>1</v>
      </c>
      <c r="H1" s="19"/>
      <c r="I1" s="19"/>
      <c r="J1" s="19">
        <v>732.8</v>
      </c>
      <c r="K1" s="20" t="s">
        <v>2</v>
      </c>
      <c r="L1" s="20" t="s">
        <v>3</v>
      </c>
      <c r="M1" s="20"/>
      <c r="N1" s="20"/>
      <c r="O1" s="20"/>
      <c r="Q1" s="21"/>
      <c r="R1" s="21"/>
      <c r="S1" s="21"/>
      <c r="T1" s="21"/>
      <c r="U1" s="21"/>
    </row>
    <row r="2" ht="1.95" customHeight="1" spans="1:25">
      <c r="H2" s="22"/>
      <c r="P2" s="13"/>
      <c r="Q2" s="21"/>
      <c r="R2" s="21"/>
      <c r="S2" s="21"/>
      <c r="T2" s="21"/>
      <c r="U2" s="21"/>
    </row>
    <row r="3" s="14" customFormat="1" ht="21.9" customHeight="1" spans="1:25">
      <c r="A3" s="23" t="s">
        <v>4</v>
      </c>
      <c r="B3" s="23">
        <v>0</v>
      </c>
      <c r="C3" s="24">
        <v>0.24</v>
      </c>
      <c r="D3" s="11">
        <v>0.26</v>
      </c>
      <c r="E3" s="11" t="s">
        <v>46</v>
      </c>
      <c r="F3" s="11" t="s">
        <v>5</v>
      </c>
      <c r="G3" s="11" t="s">
        <v>6</v>
      </c>
      <c r="H3" s="11" t="s">
        <v>7</v>
      </c>
      <c r="I3" s="11" t="s">
        <v>8</v>
      </c>
      <c r="J3" s="11" t="s">
        <v>9</v>
      </c>
      <c r="K3" s="11" t="s">
        <v>10</v>
      </c>
      <c r="L3" s="11" t="s">
        <v>11</v>
      </c>
      <c r="M3" s="11" t="s">
        <v>12</v>
      </c>
      <c r="N3" s="11" t="s">
        <v>13</v>
      </c>
      <c r="O3" s="11" t="s">
        <v>14</v>
      </c>
      <c r="P3" s="25"/>
      <c r="Q3" s="26"/>
      <c r="R3" s="26"/>
      <c r="S3" s="26"/>
      <c r="T3" s="26"/>
      <c r="U3" s="26"/>
      <c r="V3" s="27"/>
      <c r="W3" s="27"/>
      <c r="X3" s="27"/>
      <c r="Y3" s="27"/>
    </row>
    <row r="4" s="14" customFormat="1" ht="21.9" customHeight="1" spans="1:25">
      <c r="A4" s="23"/>
      <c r="B4" s="23"/>
      <c r="C4" s="24">
        <v>0</v>
      </c>
      <c r="D4" s="11">
        <v>2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25"/>
      <c r="Q4" s="26"/>
      <c r="R4" s="26"/>
      <c r="S4" s="26"/>
      <c r="T4" s="26"/>
      <c r="U4" s="26"/>
      <c r="V4" s="27"/>
      <c r="W4" s="27"/>
      <c r="X4" s="27"/>
      <c r="Y4" s="27"/>
    </row>
    <row r="5" ht="1.95" customHeight="1" spans="1:25">
      <c r="P5" s="13"/>
      <c r="Q5" s="21"/>
      <c r="R5" s="21"/>
      <c r="S5" s="21"/>
      <c r="T5" s="21"/>
      <c r="U5" s="21"/>
    </row>
    <row r="6" s="14" customFormat="1" ht="24.6" customHeight="1" spans="1:25">
      <c r="A6" s="23" t="s">
        <v>15</v>
      </c>
      <c r="B6" s="23">
        <v>0</v>
      </c>
      <c r="C6" s="24" t="s">
        <v>18</v>
      </c>
      <c r="D6" s="11" t="s">
        <v>142</v>
      </c>
      <c r="E6" s="11" t="s">
        <v>108</v>
      </c>
      <c r="F6" s="11" t="s">
        <v>122</v>
      </c>
      <c r="G6" s="11" t="s">
        <v>123</v>
      </c>
      <c r="H6" s="11" t="s">
        <v>124</v>
      </c>
      <c r="I6" s="11" t="s">
        <v>22</v>
      </c>
      <c r="J6" s="11" t="s">
        <v>23</v>
      </c>
      <c r="K6" s="11" t="s">
        <v>24</v>
      </c>
      <c r="L6" s="11" t="s">
        <v>25</v>
      </c>
      <c r="M6" s="11" t="s">
        <v>26</v>
      </c>
      <c r="N6" s="11" t="s">
        <v>27</v>
      </c>
      <c r="O6" s="11" t="s">
        <v>28</v>
      </c>
      <c r="P6" s="25"/>
      <c r="Q6" s="26"/>
      <c r="R6" s="26"/>
      <c r="S6" s="26"/>
      <c r="T6" s="26"/>
      <c r="U6" s="26"/>
      <c r="V6" s="27"/>
      <c r="W6" s="27"/>
      <c r="X6" s="27"/>
      <c r="Y6" s="27"/>
    </row>
    <row r="7" s="14" customFormat="1" ht="24.6" customHeight="1" spans="1:25">
      <c r="A7" s="23"/>
      <c r="B7" s="23"/>
      <c r="C7" s="24">
        <v>0</v>
      </c>
      <c r="D7" s="11">
        <v>1.5</v>
      </c>
      <c r="E7" s="11">
        <v>3.2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25"/>
      <c r="Q7" s="26"/>
      <c r="R7" s="26"/>
      <c r="S7" s="26"/>
      <c r="T7" s="26"/>
      <c r="U7" s="26"/>
      <c r="V7" s="27"/>
      <c r="W7" s="27"/>
      <c r="X7" s="27"/>
      <c r="Y7" s="27"/>
    </row>
    <row r="8" ht="1.95" customHeight="1" spans="1:25">
      <c r="P8" s="13"/>
      <c r="Q8" s="21"/>
      <c r="R8" s="21"/>
      <c r="S8" s="21"/>
      <c r="T8" s="21"/>
      <c r="U8" s="21"/>
    </row>
    <row r="9" s="14" customFormat="1" ht="22.2" customHeight="1" spans="1:25">
      <c r="A9" s="23" t="s">
        <v>29</v>
      </c>
      <c r="B9" s="23">
        <v>0</v>
      </c>
      <c r="C9" s="104" t="s">
        <v>30</v>
      </c>
      <c r="D9" s="11" t="s">
        <v>143</v>
      </c>
      <c r="E9" s="11" t="s">
        <v>144</v>
      </c>
      <c r="F9" s="11" t="s">
        <v>145</v>
      </c>
      <c r="G9" s="11" t="s">
        <v>146</v>
      </c>
      <c r="H9" s="11" t="s">
        <v>128</v>
      </c>
      <c r="I9" s="11" t="s">
        <v>129</v>
      </c>
      <c r="J9" s="11" t="s">
        <v>130</v>
      </c>
      <c r="K9" s="11" t="s">
        <v>131</v>
      </c>
      <c r="L9" s="11" t="s">
        <v>132</v>
      </c>
      <c r="M9" s="11" t="s">
        <v>40</v>
      </c>
      <c r="N9" s="11" t="s">
        <v>41</v>
      </c>
      <c r="O9" s="11" t="s">
        <v>42</v>
      </c>
      <c r="P9" s="30"/>
      <c r="Q9" s="27"/>
      <c r="R9" s="27"/>
      <c r="S9" s="27"/>
      <c r="T9" s="27"/>
      <c r="U9" s="27"/>
      <c r="V9" s="27"/>
      <c r="W9" s="27"/>
      <c r="X9" s="27"/>
      <c r="Y9" s="27"/>
    </row>
    <row r="10" s="14" customFormat="1" ht="22.2" customHeight="1" spans="1:25">
      <c r="A10" s="23"/>
      <c r="B10" s="23"/>
      <c r="C10" s="105">
        <v>0</v>
      </c>
      <c r="D10" s="113"/>
      <c r="E10" s="31"/>
      <c r="F10" s="31"/>
      <c r="G10" s="114"/>
      <c r="H10" s="114"/>
      <c r="I10" s="31"/>
      <c r="J10" s="31"/>
      <c r="K10" s="31"/>
      <c r="L10" s="31"/>
      <c r="M10" s="31"/>
      <c r="N10" s="31"/>
      <c r="O10" s="31"/>
      <c r="P10" s="25"/>
      <c r="Q10" s="33"/>
      <c r="R10" s="33"/>
      <c r="S10" s="33"/>
      <c r="T10" s="33"/>
      <c r="U10" s="33"/>
      <c r="V10" s="33"/>
      <c r="W10" s="33"/>
      <c r="X10" s="27"/>
      <c r="Y10" s="27"/>
    </row>
    <row r="11" ht="1.95" customHeight="1" spans="1:25">
      <c r="P11" s="13"/>
      <c r="Q11" s="21"/>
      <c r="R11" s="21"/>
      <c r="S11" s="21"/>
      <c r="T11" s="21"/>
      <c r="U11" s="21"/>
    </row>
    <row r="12" s="14" customFormat="1" ht="25.2" customHeight="1" spans="1:25">
      <c r="A12" s="23" t="s">
        <v>43</v>
      </c>
      <c r="B12" s="23">
        <v>0</v>
      </c>
      <c r="C12" s="28" t="s">
        <v>147</v>
      </c>
      <c r="D12" s="11" t="s">
        <v>116</v>
      </c>
      <c r="E12" s="11" t="s">
        <v>46</v>
      </c>
      <c r="F12" s="11" t="s">
        <v>5</v>
      </c>
      <c r="G12" s="11" t="s">
        <v>6</v>
      </c>
      <c r="H12" s="11" t="s">
        <v>7</v>
      </c>
      <c r="I12" s="11" t="s">
        <v>8</v>
      </c>
      <c r="J12" s="11" t="s">
        <v>9</v>
      </c>
      <c r="K12" s="11" t="s">
        <v>10</v>
      </c>
      <c r="L12" s="11" t="s">
        <v>11</v>
      </c>
      <c r="M12" s="11" t="s">
        <v>12</v>
      </c>
      <c r="N12" s="11" t="s">
        <v>13</v>
      </c>
      <c r="O12" s="11" t="s">
        <v>14</v>
      </c>
      <c r="P12" s="35"/>
      <c r="Q12" s="26"/>
      <c r="R12" s="26"/>
      <c r="S12" s="26"/>
      <c r="T12" s="26"/>
      <c r="U12" s="26"/>
      <c r="V12" s="27"/>
      <c r="W12" s="27"/>
      <c r="X12" s="27"/>
      <c r="Y12" s="27"/>
    </row>
    <row r="13" s="14" customFormat="1" ht="21.9" customHeight="1" spans="1:25">
      <c r="A13" s="23"/>
      <c r="B13" s="23"/>
      <c r="C13" s="24">
        <v>0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25"/>
      <c r="Q13" s="26"/>
      <c r="R13" s="26"/>
      <c r="S13" s="26"/>
      <c r="T13" s="26"/>
      <c r="U13" s="26"/>
      <c r="V13" s="27"/>
      <c r="W13" s="27"/>
      <c r="X13" s="27"/>
      <c r="Y13" s="27"/>
    </row>
    <row r="14" s="14" customFormat="1" ht="21.9" customHeight="1" spans="1:25">
      <c r="A14" s="23" t="s">
        <v>47</v>
      </c>
      <c r="B14" s="23">
        <v>38184</v>
      </c>
      <c r="C14" s="24">
        <v>38184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25"/>
      <c r="Q14" s="26"/>
      <c r="R14" s="26"/>
      <c r="S14" s="26"/>
      <c r="T14" s="26"/>
      <c r="U14" s="26"/>
      <c r="V14" s="27"/>
      <c r="W14" s="27"/>
      <c r="X14" s="27"/>
      <c r="Y14" s="27"/>
    </row>
    <row r="15" s="14" customFormat="1" ht="21.9" customHeight="1" spans="1:25">
      <c r="A15" s="23" t="s">
        <v>48</v>
      </c>
      <c r="B15" s="23">
        <v>1.8</v>
      </c>
      <c r="C15" s="24">
        <v>1.8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25"/>
      <c r="Q15" s="26"/>
      <c r="R15" s="26"/>
      <c r="S15" s="26"/>
      <c r="T15" s="26"/>
      <c r="U15" s="26"/>
      <c r="V15" s="27"/>
      <c r="W15" s="27"/>
      <c r="X15" s="27"/>
      <c r="Y15" s="27"/>
    </row>
    <row r="16" ht="1.95" customHeight="1" spans="1:25">
      <c r="P16" s="13"/>
      <c r="Q16" s="21"/>
      <c r="R16" s="21"/>
      <c r="S16" s="21"/>
      <c r="T16" s="21"/>
      <c r="U16" s="21"/>
    </row>
    <row r="17" s="14" customFormat="1" ht="31.2" customHeight="1" spans="1:28">
      <c r="A17" s="23" t="s">
        <v>49</v>
      </c>
      <c r="B17" s="36">
        <v>-0.2</v>
      </c>
      <c r="C17" s="37" t="s">
        <v>50</v>
      </c>
      <c r="D17" s="38" t="s">
        <v>51</v>
      </c>
      <c r="E17" s="37" t="s">
        <v>52</v>
      </c>
      <c r="F17" s="37" t="s">
        <v>53</v>
      </c>
      <c r="G17" s="37" t="s">
        <v>54</v>
      </c>
      <c r="H17" s="37" t="s">
        <v>55</v>
      </c>
      <c r="I17" s="37" t="s">
        <v>56</v>
      </c>
      <c r="J17" s="37" t="s">
        <v>57</v>
      </c>
      <c r="K17" s="37" t="s">
        <v>10</v>
      </c>
      <c r="L17" s="37" t="s">
        <v>11</v>
      </c>
      <c r="M17" s="37" t="s">
        <v>12</v>
      </c>
      <c r="N17" s="37" t="s">
        <v>13</v>
      </c>
      <c r="O17" s="37" t="s">
        <v>14</v>
      </c>
      <c r="P17" s="25"/>
      <c r="Q17" s="26"/>
      <c r="R17" s="26"/>
      <c r="S17" s="26"/>
      <c r="T17" s="26"/>
      <c r="U17" s="26"/>
      <c r="V17" s="27"/>
      <c r="W17" s="27"/>
      <c r="X17" s="27"/>
      <c r="Y17" s="27"/>
    </row>
    <row r="18" s="14" customFormat="1" ht="21.9" customHeight="1" spans="1:28">
      <c r="A18" s="23"/>
      <c r="B18" s="39"/>
      <c r="C18" s="11">
        <v>0</v>
      </c>
      <c r="D18" s="24">
        <v>-0.2</v>
      </c>
      <c r="E18" s="11">
        <v>-2.2</v>
      </c>
      <c r="F18" s="11">
        <v>-2.8</v>
      </c>
      <c r="G18" s="11">
        <v>0.2</v>
      </c>
      <c r="H18" s="11">
        <v>0.15</v>
      </c>
      <c r="I18" s="11">
        <v>-1.4</v>
      </c>
      <c r="J18" s="11">
        <v>-1.8</v>
      </c>
      <c r="K18" s="11"/>
      <c r="L18" s="11"/>
      <c r="M18" s="11"/>
      <c r="N18" s="11"/>
      <c r="O18" s="11"/>
      <c r="P18" s="25"/>
      <c r="Q18" s="26"/>
      <c r="R18" s="26"/>
      <c r="S18" s="26"/>
      <c r="T18" s="26"/>
      <c r="U18" s="26"/>
      <c r="V18" s="27"/>
      <c r="W18" s="27"/>
      <c r="X18" s="27"/>
      <c r="Y18" s="27"/>
    </row>
    <row r="19" ht="2.1" customHeight="1" spans="1:28">
      <c r="P19" s="13"/>
      <c r="Q19" s="21"/>
      <c r="R19" s="21"/>
      <c r="S19" s="21"/>
      <c r="T19" s="21"/>
      <c r="U19" s="21"/>
    </row>
    <row r="20" s="14" customFormat="1" ht="34.8" customHeight="1" spans="1:28">
      <c r="A20" s="23" t="s">
        <v>58</v>
      </c>
      <c r="B20" s="23">
        <v>0.5</v>
      </c>
      <c r="C20" s="29" t="s">
        <v>59</v>
      </c>
      <c r="D20" s="46" t="s">
        <v>60</v>
      </c>
      <c r="E20" s="29" t="s">
        <v>61</v>
      </c>
      <c r="F20" s="29" t="s">
        <v>62</v>
      </c>
      <c r="G20" s="29" t="s">
        <v>63</v>
      </c>
      <c r="H20" s="29" t="s">
        <v>64</v>
      </c>
      <c r="I20" s="29" t="s">
        <v>65</v>
      </c>
      <c r="J20" s="29" t="s">
        <v>66</v>
      </c>
      <c r="K20" s="29" t="s">
        <v>67</v>
      </c>
      <c r="L20" s="29" t="s">
        <v>68</v>
      </c>
      <c r="M20" s="29" t="s">
        <v>69</v>
      </c>
      <c r="N20" s="29" t="s">
        <v>70</v>
      </c>
      <c r="O20" s="29" t="s">
        <v>71</v>
      </c>
      <c r="P20" s="30"/>
      <c r="Q20" s="26"/>
      <c r="R20" s="26"/>
      <c r="S20" s="26"/>
      <c r="T20" s="26"/>
      <c r="U20" s="42"/>
      <c r="V20" s="115"/>
      <c r="W20" s="115"/>
      <c r="X20" s="115"/>
      <c r="Y20" s="115"/>
      <c r="Z20" s="115"/>
      <c r="AA20" s="115"/>
      <c r="AB20" s="115"/>
    </row>
    <row r="21" s="14" customFormat="1" ht="21.6" customHeight="1" spans="1:28">
      <c r="A21" s="23"/>
      <c r="B21" s="23"/>
      <c r="C21" s="11">
        <v>0</v>
      </c>
      <c r="D21" s="104">
        <v>0.5</v>
      </c>
      <c r="E21" s="11">
        <v>1</v>
      </c>
      <c r="F21" s="11">
        <v>1.3</v>
      </c>
      <c r="G21" s="11">
        <v>1.7</v>
      </c>
      <c r="H21" s="11">
        <v>0.2</v>
      </c>
      <c r="I21" s="11">
        <v>0.5</v>
      </c>
      <c r="J21" s="11"/>
      <c r="K21" s="11"/>
      <c r="L21" s="11"/>
      <c r="M21" s="11"/>
      <c r="N21" s="11"/>
      <c r="O21" s="11"/>
      <c r="P21" s="41"/>
      <c r="Q21" s="42"/>
      <c r="R21" s="42"/>
      <c r="S21" s="42"/>
      <c r="T21" s="42"/>
      <c r="U21" s="42"/>
      <c r="V21" s="43"/>
      <c r="W21" s="27"/>
      <c r="X21" s="27"/>
      <c r="Y21" s="27"/>
    </row>
    <row r="22" ht="2.1" customHeight="1" spans="1:28">
      <c r="P22" s="13"/>
      <c r="Q22" s="21"/>
      <c r="R22" s="21"/>
      <c r="S22" s="21"/>
      <c r="T22" s="21"/>
      <c r="U22" s="21"/>
    </row>
    <row r="23" s="14" customFormat="1" ht="21.6" hidden="1" customHeight="1" spans="1:28">
      <c r="A23" s="23" t="s">
        <v>72</v>
      </c>
      <c r="B23" s="23">
        <v>0</v>
      </c>
      <c r="C23" s="29" t="s">
        <v>148</v>
      </c>
      <c r="D23" s="28" t="s">
        <v>134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30" t="s">
        <v>149</v>
      </c>
      <c r="Q23" s="26"/>
      <c r="R23" s="26"/>
      <c r="S23" s="26"/>
      <c r="T23" s="26"/>
      <c r="U23" s="26"/>
      <c r="V23" s="27"/>
      <c r="W23" s="27"/>
      <c r="X23" s="27"/>
      <c r="Y23" s="27"/>
    </row>
    <row r="24" s="14" customFormat="1" ht="21.6" hidden="1" customHeight="1" spans="1:28">
      <c r="A24" s="23"/>
      <c r="B24" s="23"/>
      <c r="C24" s="11">
        <v>3</v>
      </c>
      <c r="D24" s="24">
        <v>0</v>
      </c>
      <c r="E24" s="11"/>
      <c r="F24" s="11"/>
      <c r="G24" s="40"/>
      <c r="H24" s="40"/>
      <c r="I24" s="11"/>
      <c r="J24" s="11"/>
      <c r="K24" s="11"/>
      <c r="L24" s="11"/>
      <c r="M24" s="11"/>
      <c r="N24" s="11"/>
      <c r="O24" s="11"/>
      <c r="P24" s="41"/>
      <c r="Q24" s="42"/>
      <c r="R24" s="42"/>
      <c r="S24" s="42"/>
      <c r="T24" s="42"/>
      <c r="U24" s="42"/>
      <c r="V24" s="27"/>
      <c r="W24" s="27"/>
      <c r="X24" s="27"/>
      <c r="Y24" s="27"/>
    </row>
    <row r="25" ht="2.1" customHeight="1" spans="1:28">
      <c r="P25" s="13"/>
      <c r="Q25" s="21"/>
      <c r="R25" s="21"/>
      <c r="S25" s="21"/>
      <c r="T25" s="21"/>
      <c r="U25" s="21"/>
    </row>
    <row r="26" s="14" customFormat="1" ht="21.6" customHeight="1" spans="1:28">
      <c r="A26" s="23" t="s">
        <v>73</v>
      </c>
      <c r="B26" s="23">
        <v>-2.6</v>
      </c>
      <c r="C26" s="46" t="s">
        <v>75</v>
      </c>
      <c r="D26" s="29" t="s">
        <v>76</v>
      </c>
      <c r="E26" s="116" t="s">
        <v>74</v>
      </c>
      <c r="F26" s="29" t="s">
        <v>77</v>
      </c>
      <c r="G26" s="29" t="s">
        <v>78</v>
      </c>
      <c r="H26" s="29" t="s">
        <v>79</v>
      </c>
      <c r="I26" s="29" t="s">
        <v>80</v>
      </c>
      <c r="J26" s="29" t="s">
        <v>81</v>
      </c>
      <c r="K26" s="29" t="s">
        <v>82</v>
      </c>
      <c r="L26" s="29" t="s">
        <v>83</v>
      </c>
      <c r="M26" s="29" t="s">
        <v>84</v>
      </c>
      <c r="N26" s="29" t="s">
        <v>85</v>
      </c>
      <c r="O26" s="29" t="s">
        <v>86</v>
      </c>
      <c r="P26" s="30"/>
      <c r="Q26" s="26"/>
      <c r="R26" s="26"/>
      <c r="S26" s="26"/>
      <c r="T26" s="26"/>
      <c r="U26" s="26"/>
      <c r="V26" s="27"/>
      <c r="W26" s="27"/>
      <c r="X26" s="27"/>
      <c r="Y26" s="27"/>
    </row>
    <row r="27" s="14" customFormat="1" ht="21.6" customHeight="1" spans="1:28">
      <c r="A27" s="23"/>
      <c r="B27" s="23"/>
      <c r="C27" s="48">
        <v>-2.6</v>
      </c>
      <c r="D27" s="49">
        <v>-5.5</v>
      </c>
      <c r="E27" s="50">
        <v>-4.1</v>
      </c>
      <c r="F27" s="27"/>
      <c r="G27" s="50"/>
      <c r="H27" s="50"/>
      <c r="I27" s="49"/>
      <c r="J27" s="49"/>
      <c r="K27" s="49"/>
      <c r="L27" s="49"/>
      <c r="M27" s="49"/>
      <c r="N27" s="49"/>
      <c r="O27" s="49"/>
      <c r="P27" s="44"/>
      <c r="Q27" s="45"/>
      <c r="R27" s="45"/>
      <c r="S27" s="45"/>
      <c r="T27" s="45"/>
      <c r="U27" s="45"/>
      <c r="V27" s="27"/>
      <c r="W27" s="27"/>
      <c r="X27" s="27"/>
      <c r="Y27" s="27"/>
    </row>
    <row r="28" s="15" customFormat="1" ht="22.2" customHeight="1" spans="1:28">
      <c r="A28" s="51" t="s">
        <v>87</v>
      </c>
      <c r="B28" s="51" t="s">
        <v>88</v>
      </c>
      <c r="C28" s="51" t="s">
        <v>89</v>
      </c>
      <c r="D28" s="51" t="s">
        <v>90</v>
      </c>
      <c r="E28" s="51">
        <v>33081</v>
      </c>
      <c r="F28" s="51" t="s">
        <v>91</v>
      </c>
      <c r="G28" s="51" t="s">
        <v>92</v>
      </c>
      <c r="H28" s="51" t="s">
        <v>93</v>
      </c>
      <c r="I28" s="51" t="s">
        <v>94</v>
      </c>
      <c r="J28" s="52" t="s">
        <v>95</v>
      </c>
      <c r="K28" s="53">
        <v>715</v>
      </c>
      <c r="L28" s="53">
        <v>720</v>
      </c>
      <c r="M28" s="53">
        <v>725</v>
      </c>
      <c r="N28" s="53">
        <v>730</v>
      </c>
      <c r="O28" s="53">
        <v>735</v>
      </c>
      <c r="P28" s="53">
        <v>740</v>
      </c>
      <c r="Q28" s="53">
        <v>745</v>
      </c>
      <c r="R28" s="53">
        <v>750</v>
      </c>
      <c r="S28" s="53">
        <v>755</v>
      </c>
      <c r="T28" s="53">
        <v>760</v>
      </c>
      <c r="U28" s="54" t="s">
        <v>96</v>
      </c>
    </row>
    <row r="29" s="14" customFormat="1" ht="18" customHeight="1" spans="1:28">
      <c r="A29" s="55" t="s">
        <v>150</v>
      </c>
      <c r="B29" s="55" t="s">
        <v>98</v>
      </c>
      <c r="C29" s="56">
        <v>0.247</v>
      </c>
      <c r="D29" s="57"/>
      <c r="E29" s="58">
        <v>38184</v>
      </c>
      <c r="F29" s="59">
        <f t="shared" ref="F29:F48" si="0">C29*E29/1000</f>
        <v>9.431448</v>
      </c>
      <c r="G29" s="59">
        <f>F29*78</f>
        <v>735.652944</v>
      </c>
      <c r="H29" s="60">
        <f>I29/G29</f>
        <v>0.976129399066498</v>
      </c>
      <c r="I29" s="61">
        <f>G29*(H30+0.15%)</f>
        <v>718.09246614822</v>
      </c>
      <c r="J29" s="61"/>
      <c r="K29" s="62">
        <f>(NORMSDIST((I29-$K$28)/B15)-NORMSDIST((I29-$L$28)/B15))</f>
        <v>0.812473827924945</v>
      </c>
      <c r="L29" s="62">
        <f>(NORMSDIST((I29-$L$28)/B15)-NORMSDIST((I29-$M$28)/B15))</f>
        <v>0.14456907398124</v>
      </c>
      <c r="M29" s="63">
        <f>(NORMSDIST((I29-$M$28)/B15)-NORMSDIST((I29-$N$28)/B15))</f>
        <v>6.21418408984446e-5</v>
      </c>
      <c r="N29" s="63">
        <f>(NORMSDIST((I29-$N$28)/B15)-NORMSDIST((I29-$O$28)/B15))</f>
        <v>1.85403777077256e-11</v>
      </c>
      <c r="O29" s="63">
        <f>(NORMSDIST((I29-$O$28)/B15)-NORMSDIST((I29-$P$28)/B15))</f>
        <v>2.91369858979286e-21</v>
      </c>
      <c r="P29" s="63">
        <f>(NORMSDIST((I29-$P$28)/B15)-NORMSDIST((I29-$Q$28)/B15))</f>
        <v>2.22209238667138e-34</v>
      </c>
      <c r="Q29" s="63">
        <f>(NORMSDIST((I29-$Q$28)/B15)-NORMSDIST((I29-$R$28)/B15))</f>
        <v>7.94932724105693e-51</v>
      </c>
      <c r="R29" s="63">
        <f>(NORMSDIST((I29-$R$28)/B15)-NORMSDIST((I29-$S$28)/B15))</f>
        <v>1.31132765278235e-70</v>
      </c>
      <c r="S29" s="63">
        <f>(NORMSDIST((I29-$S$28)/B15)-NORMSDIST((I29-$T$28)/B15))</f>
        <v>9.87746233095871e-94</v>
      </c>
      <c r="T29" s="63"/>
      <c r="U29" s="64">
        <f t="shared" ref="U29:U48" si="1">SUM(K29:T29)</f>
        <v>0.957105043765624</v>
      </c>
    </row>
    <row r="30" s="14" customFormat="1" ht="18" customHeight="1" spans="1:28">
      <c r="A30" s="65"/>
      <c r="B30" s="65"/>
      <c r="C30" s="56">
        <f t="shared" ref="C30:C48" si="2">C29+0.1%</f>
        <v>0.248</v>
      </c>
      <c r="D30" s="66"/>
      <c r="E30" s="58">
        <v>38184</v>
      </c>
      <c r="F30" s="59">
        <f t="shared" si="0"/>
        <v>9.469632</v>
      </c>
      <c r="G30" s="59">
        <f t="shared" ref="G30:G48" si="3">F30*78</f>
        <v>738.631296</v>
      </c>
      <c r="H30" s="60">
        <f t="shared" ref="H30:H48" si="4">I30/G30</f>
        <v>0.974629399066498</v>
      </c>
      <c r="I30" s="61">
        <f t="shared" ref="I30:I35" si="5">G30*(H31+0.15%)</f>
        <v>719.891776152189</v>
      </c>
      <c r="J30" s="61"/>
      <c r="K30" s="62">
        <f>(NORMSDIST((I30-$K$28)/B15)-NORMSDIST((I30-$L$28)/B15))</f>
        <v>0.520684372319572</v>
      </c>
      <c r="L30" s="62">
        <f>(NORMSDIST((I30-$L$28)/B15)-NORMSDIST((I30-$M$28)/B15))</f>
        <v>0.473757739168983</v>
      </c>
      <c r="M30" s="63">
        <f>(NORMSDIST((I30-$M$28)/B15)-NORMSDIST((I30-$N$28)/B15))</f>
        <v>0.00227054537408357</v>
      </c>
      <c r="N30" s="63">
        <f>(NORMSDIST((I30-$N$28)/B15)-NORMSDIST((I30-$O$28)/B15))</f>
        <v>9.78954050432575e-9</v>
      </c>
      <c r="O30" s="63">
        <f>(NORMSDIST((I30-$O$28)/B15)-NORMSDIST((I30-$P$28)/B15))</f>
        <v>2.36024785843401e-17</v>
      </c>
      <c r="P30" s="63">
        <f>(NORMSDIST((I30-$P$28)/B15)-NORMSDIST((I30-$Q$28)/B15))</f>
        <v>2.81955042006125e-29</v>
      </c>
      <c r="Q30" s="63">
        <f>(NORMSDIST((I30-$Q$28)/B15)-NORMSDIST((I30-$R$28)/B15))</f>
        <v>1.59494059557473e-44</v>
      </c>
      <c r="R30" s="63">
        <f>(NORMSDIST((I30-$R$28)/B15)-NORMSDIST((L30-$S$28)/B15))</f>
        <v>4.18120229908595e-63</v>
      </c>
      <c r="S30" s="63">
        <f>(NORMSDIST((I30-$S$28)/B15)-NORMSDIST((I30-$T$28)/B15))</f>
        <v>5.02001012776655e-85</v>
      </c>
      <c r="T30" s="63"/>
      <c r="U30" s="64">
        <f t="shared" si="1"/>
        <v>0.99671266665218</v>
      </c>
    </row>
    <row r="31" s="14" customFormat="1" ht="18" customHeight="1" spans="1:28">
      <c r="A31" s="65"/>
      <c r="B31" s="65"/>
      <c r="C31" s="56">
        <f t="shared" si="2"/>
        <v>0.249</v>
      </c>
      <c r="D31" s="67"/>
      <c r="E31" s="58">
        <v>38184</v>
      </c>
      <c r="F31" s="59">
        <f t="shared" si="0"/>
        <v>9.507816</v>
      </c>
      <c r="G31" s="59">
        <f t="shared" si="3"/>
        <v>741.609648</v>
      </c>
      <c r="H31" s="60">
        <f t="shared" si="4"/>
        <v>0.973129399066498</v>
      </c>
      <c r="I31" s="61">
        <f t="shared" si="5"/>
        <v>721.682151100157</v>
      </c>
      <c r="J31" s="68"/>
      <c r="K31" s="62">
        <f>(NORMSDIST((I31-$K$28)/B15)-NORMSDIST((I31-$L$28)/B15))</f>
        <v>0.174913009833841</v>
      </c>
      <c r="L31" s="62">
        <f>(NORMSDIST((I31-$L$28)/B15)-NORMSDIST((I31-$M$28)/B15))</f>
        <v>0.792337997052689</v>
      </c>
      <c r="M31" s="63">
        <f>(NORMSDIST((I31-$M$28)/B15)-NORMSDIST((I31-$N$28)/B15))</f>
        <v>0.0326443942218947</v>
      </c>
      <c r="N31" s="69">
        <f>(NORMSDIST((I31-$N$28)/B15)-NORMSDIST((I31-$O$28)/B15))</f>
        <v>1.90922375455063e-6</v>
      </c>
      <c r="O31" s="69">
        <f>(NORMSDIST((I31-$O$28)/B15)-NORMSDIST((I31-$P$28)/B15))</f>
        <v>6.87077614547174e-14</v>
      </c>
      <c r="P31" s="63">
        <f>(NORMSDIST((I31-$P$28)/B15)-NORMSDIST((I31-$Q$28)/B15))</f>
        <v>1.26132556254108e-24</v>
      </c>
      <c r="Q31" s="63">
        <f>(NORMSDIST((I31-$Q$28)/B15)-NORMSDIST((I31-$R$28)/B15))</f>
        <v>1.10989110986856e-38</v>
      </c>
      <c r="R31" s="63">
        <f>(NORMSDIST((I31-$R$28)/B15)-NORMSDIST((L31-$S$28)/B15))</f>
        <v>4.55412427408728e-56</v>
      </c>
      <c r="S31" s="63">
        <f>(NORMSDIST((I31-$S$28)/B15)-NORMSDIST((I31-$T$28)/B15))</f>
        <v>8.58840580388059e-77</v>
      </c>
      <c r="T31" s="63"/>
      <c r="U31" s="64">
        <f t="shared" si="1"/>
        <v>0.999897310332249</v>
      </c>
    </row>
    <row r="32" s="16" customFormat="1" ht="18" customHeight="1" spans="1:28">
      <c r="A32" s="65"/>
      <c r="B32" s="65"/>
      <c r="C32" s="56">
        <f t="shared" si="2"/>
        <v>0.25</v>
      </c>
      <c r="D32" s="67"/>
      <c r="E32" s="58">
        <v>38184</v>
      </c>
      <c r="F32" s="70">
        <f t="shared" si="0"/>
        <v>9.546</v>
      </c>
      <c r="G32" s="59">
        <f t="shared" si="3"/>
        <v>744.588</v>
      </c>
      <c r="H32" s="71">
        <f t="shared" si="4"/>
        <v>0.971629399066498</v>
      </c>
      <c r="I32" s="61">
        <f t="shared" si="5"/>
        <v>723.463590992126</v>
      </c>
      <c r="J32" s="72"/>
      <c r="K32" s="73">
        <f>(NORMSDIST((I32-$K$28)/B15)-NORMSDIST((I32-$L$28)/B15))</f>
        <v>0.0271623927523043</v>
      </c>
      <c r="L32" s="73">
        <f>(NORMSDIST((I32-$L$28)/B15)-NORMSDIST((I32-$M$28)/B15))</f>
        <v>0.776162059460462</v>
      </c>
      <c r="M32" s="73">
        <f>(NORMSDIST((I32-$M$28)/B15)-NORMSDIST((I32-$N$28)/B15))</f>
        <v>0.196533282000871</v>
      </c>
      <c r="N32" s="73">
        <f>(NORMSDIST((I32-$N$28)/B15)-NORMSDIST((I32-$O$28)/B15))</f>
        <v>0.000140977554099596</v>
      </c>
      <c r="O32" s="73">
        <f>(NORMSDIST((I32-$O$28)/B15)-NORMSDIST((I32-$P$28)/B15))</f>
        <v>7.31828459536186e-11</v>
      </c>
      <c r="P32" s="73">
        <f>(NORMSDIST((I32-$P$28)/B15)-NORMSDIST((I32-$Q$28)/B15))</f>
        <v>2.0217415131099e-20</v>
      </c>
      <c r="Q32" s="73">
        <f>(NORMSDIST((I32-$Q$28)/B15)-NORMSDIST((I32-$R$28)/B15))</f>
        <v>2.72061954824099e-33</v>
      </c>
      <c r="R32" s="73">
        <f>(NORMSDIST((I32-$R$28)/B15)-NORMSDIST((L32-$S$28)/B15))</f>
        <v>1.72037582522751e-49</v>
      </c>
      <c r="S32" s="63">
        <f>(NORMSDIST((I32-$S$28)/B15)-NORMSDIST((I32-$T$28)/B15))</f>
        <v>5.02117584165039e-69</v>
      </c>
      <c r="T32" s="63"/>
      <c r="U32" s="64">
        <f t="shared" si="1"/>
        <v>0.99999871184092</v>
      </c>
    </row>
    <row r="33" s="14" customFormat="1" ht="18" customHeight="1" spans="1:21">
      <c r="A33" s="65"/>
      <c r="B33" s="65"/>
      <c r="C33" s="56">
        <f t="shared" si="2"/>
        <v>0.251</v>
      </c>
      <c r="D33" s="76"/>
      <c r="E33" s="58">
        <v>38184</v>
      </c>
      <c r="F33" s="59">
        <f t="shared" si="0"/>
        <v>9.584184</v>
      </c>
      <c r="G33" s="59">
        <f t="shared" si="3"/>
        <v>747.566352</v>
      </c>
      <c r="H33" s="60">
        <f t="shared" si="4"/>
        <v>0.970129399066498</v>
      </c>
      <c r="I33" s="61">
        <f t="shared" si="5"/>
        <v>725.236095828094</v>
      </c>
      <c r="J33" s="72"/>
      <c r="K33" s="62">
        <f>(NORMSDIST((I33-$K$28)/B15)-NORMSDIST((I33-$L$28)/B15))</f>
        <v>0.00181326345702271</v>
      </c>
      <c r="L33" s="62">
        <f>(NORMSDIST((I33-$L$28)/B15)-NORMSDIST((I33-$M$28)/B15))</f>
        <v>0.446009378909071</v>
      </c>
      <c r="M33" s="63">
        <f>(NORMSDIST((I33-$M$28)/B15)-NORMSDIST((I33-$N$28)/B15))</f>
        <v>0.548112239468846</v>
      </c>
      <c r="N33" s="63">
        <f>(NORMSDIST((I33-$N$28)/B15)-NORMSDIST((I33-$O$28)/B15))</f>
        <v>0.00406508261373236</v>
      </c>
      <c r="O33" s="63">
        <f>(NORMSDIST((I33-$O$28)/B15)-NORMSDIST((I33-$P$28)/B15))</f>
        <v>2.90761976927605e-8</v>
      </c>
      <c r="P33" s="63">
        <f>(NORMSDIST((I33-$P$28)/B15)-NORMSDIST((I33-$Q$28)/B15))</f>
        <v>1.18044055827763e-16</v>
      </c>
      <c r="Q33" s="63">
        <f>(NORMSDIST((I33-$Q$28)/B15)-NORMSDIST((I33-$R$28)/B15))</f>
        <v>2.38602478014289e-28</v>
      </c>
      <c r="R33" s="63">
        <f>(NORMSDIST((I33-$R$28)/B15)-NORMSDIST((L33-$S$28)/B15))</f>
        <v>2.28853635721384e-43</v>
      </c>
      <c r="S33" s="63">
        <f>(NORMSDIST((I33-$S$28)/B15)-NORMSDIST((I33-$T$28)/B15))</f>
        <v>1.01836609766705e-61</v>
      </c>
      <c r="T33" s="63"/>
      <c r="U33" s="64">
        <f t="shared" si="1"/>
        <v>0.99999999352487</v>
      </c>
    </row>
    <row r="34" s="14" customFormat="1" ht="18" customHeight="1" spans="1:21">
      <c r="A34" s="65"/>
      <c r="B34" s="65"/>
      <c r="C34" s="56">
        <f t="shared" si="2"/>
        <v>0.252</v>
      </c>
      <c r="D34" s="76"/>
      <c r="E34" s="58">
        <v>38184</v>
      </c>
      <c r="F34" s="59">
        <f t="shared" si="0"/>
        <v>9.622368</v>
      </c>
      <c r="G34" s="59">
        <f t="shared" si="3"/>
        <v>750.544704</v>
      </c>
      <c r="H34" s="60">
        <f t="shared" si="4"/>
        <v>0.968629399066498</v>
      </c>
      <c r="I34" s="61">
        <f t="shared" si="5"/>
        <v>726.999665608063</v>
      </c>
      <c r="J34" s="75"/>
      <c r="K34" s="62">
        <f>(NORMSDIST((I34-$K$28)/B15)-NORMSDIST((I34-$L$28)/B15))</f>
        <v>5.03906406202903e-5</v>
      </c>
      <c r="L34" s="62">
        <f>(NORMSDIST((I34-$L$28)/B15)-NORMSDIST((I34-$M$28)/B15))</f>
        <v>0.133249853388036</v>
      </c>
      <c r="M34" s="63">
        <f>(NORMSDIST((I34-$M$28)/B15)-NORMSDIST((I34-$N$28)/B15))</f>
        <v>0.818927881020869</v>
      </c>
      <c r="N34" s="63">
        <f>(NORMSDIST((I34-$N$28)/B15)-NORMSDIST((I34-$O$28)/B15))</f>
        <v>0.0477674727789454</v>
      </c>
      <c r="O34" s="63">
        <f>(NORMSDIST((I34-$O$28)/B15)-NORMSDIST((I34-$P$28)/B15))</f>
        <v>4.40215817384465e-6</v>
      </c>
      <c r="P34" s="63">
        <f>(NORMSDIST((I34-$P$28)/B15)-NORMSDIST((I34-$Q$28)/B15))</f>
        <v>2.55374799564874e-13</v>
      </c>
      <c r="Q34" s="63">
        <f>(NORMSDIST((I34-$Q$28)/B15)-NORMSDIST((I34-$R$28)/B15))</f>
        <v>7.60557178404672e-24</v>
      </c>
      <c r="R34" s="63">
        <f>(NORMSDIST((I34-$R$28)/B15)-NORMSDIST((L34-$S$28)/B15))</f>
        <v>1.08847543804787e-37</v>
      </c>
      <c r="S34" s="63">
        <f>(NORMSDIST((I34-$S$28)/B15)-NORMSDIST((I34-$T$28)/B15))</f>
        <v>7.27305878382605e-55</v>
      </c>
      <c r="T34" s="63"/>
      <c r="U34" s="64">
        <f t="shared" si="1"/>
        <v>0.999999999986899</v>
      </c>
    </row>
    <row r="35" s="14" customFormat="1" ht="18" customHeight="1" spans="1:21">
      <c r="A35" s="65"/>
      <c r="B35" s="65"/>
      <c r="C35" s="56">
        <f t="shared" si="2"/>
        <v>0.253</v>
      </c>
      <c r="D35" s="76">
        <v>0.0592672413793103</v>
      </c>
      <c r="E35" s="58">
        <v>38184</v>
      </c>
      <c r="F35" s="59">
        <f t="shared" si="0"/>
        <v>9.660552</v>
      </c>
      <c r="G35" s="59">
        <f t="shared" si="3"/>
        <v>753.523056</v>
      </c>
      <c r="H35" s="60">
        <f t="shared" si="4"/>
        <v>0.967129399066498</v>
      </c>
      <c r="I35" s="61">
        <f t="shared" si="5"/>
        <v>728.754300332031</v>
      </c>
      <c r="J35" s="77"/>
      <c r="K35" s="62">
        <f>(NORMSDIST((I35-$K$28)/B15)-NORMSDIST((I35-$L$28)/B15))</f>
        <v>5.76639579752403e-7</v>
      </c>
      <c r="L35" s="62">
        <f>(NORMSDIST((I35-$L$28)/B15)-NORMSDIST((I35-$M$28)/B15))</f>
        <v>0.018501311141802</v>
      </c>
      <c r="M35" s="63">
        <f>(NORMSDIST((I35-$M$28)/B15)-NORMSDIST((I35-$N$28)/B15))</f>
        <v>0.737046833770467</v>
      </c>
      <c r="N35" s="63">
        <f>(NORMSDIST((I35-$N$28)/B15)-NORMSDIST((I35-$O$28)/B15))</f>
        <v>0.244190887563216</v>
      </c>
      <c r="O35" s="63">
        <f>(NORMSDIST((I35-$O$28)/B15)-NORMSDIST((I35-$P$28)/B15))</f>
        <v>0.000260390676535592</v>
      </c>
      <c r="P35" s="63">
        <f>(NORMSDIST((I35-$P$28)/B15)-NORMSDIST((I35-$Q$28)/B15))</f>
        <v>2.08389140386378e-10</v>
      </c>
      <c r="Q35" s="63">
        <f>(NORMSDIST((I35-$Q$28)/B15)-NORMSDIST((I35-$R$28)/B15))</f>
        <v>8.95292735108646e-20</v>
      </c>
      <c r="R35" s="63">
        <f>(NORMSDIST((I35-$R$28)/B15)-NORMSDIST((I35-$S$28)/B15))</f>
        <v>1.87947705124664e-32</v>
      </c>
      <c r="S35" s="63">
        <f>(NORMSDIST((I35-$S$28)/B15)-NORMSDIST((I35-$T$28)/B15))</f>
        <v>1.85672312085515e-48</v>
      </c>
      <c r="T35" s="63"/>
      <c r="U35" s="64">
        <f t="shared" si="1"/>
        <v>0.999999999999989</v>
      </c>
    </row>
    <row r="36" s="16" customFormat="1" ht="18" customHeight="1" spans="1:21">
      <c r="A36" s="65"/>
      <c r="B36" s="65"/>
      <c r="C36" s="78">
        <f t="shared" si="2"/>
        <v>0.254</v>
      </c>
      <c r="D36" s="76">
        <v>0.174568965517241</v>
      </c>
      <c r="E36" s="79">
        <v>38184</v>
      </c>
      <c r="F36" s="80">
        <f t="shared" si="0"/>
        <v>9.698736</v>
      </c>
      <c r="G36" s="80">
        <f t="shared" si="3"/>
        <v>756.501408</v>
      </c>
      <c r="H36" s="81">
        <f t="shared" si="4"/>
        <v>0.965629399066498</v>
      </c>
      <c r="I36" s="82">
        <v>730.5</v>
      </c>
      <c r="J36" s="82" t="s">
        <v>99</v>
      </c>
      <c r="K36" s="83">
        <f>(NORMSDIST((I36-$K$28)/B15)-NORMSDIST((I36-$L$28)/B15))</f>
        <v>2.71654376771124e-9</v>
      </c>
      <c r="L36" s="83">
        <f>(NORMSDIST((I36-$L$28)/B15)-NORMSDIST((I36-$M$28)/B15))</f>
        <v>0.00112321718595976</v>
      </c>
      <c r="M36" s="84">
        <f>(NORMSDIST((I36-$M$28)/B15)-NORMSDIST((I36-$N$28)/B15))</f>
        <v>0.389468255531096</v>
      </c>
      <c r="N36" s="84">
        <f>(NORMSDIST((I36-$N$28)/B15)-NORMSDIST((I36-$O$28)/B15))</f>
        <v>0.603198859240626</v>
      </c>
      <c r="O36" s="84">
        <f>(NORMSDIST((I36-$O$28)/B15)-NORMSDIST((I36-$P$28)/B15))</f>
        <v>0.00620959994582508</v>
      </c>
      <c r="P36" s="84">
        <f>(NORMSDIST((I36-$P$28)/B15)-NORMSDIST((I36-$Q$28)/B15))</f>
        <v>6.5379949552465e-8</v>
      </c>
      <c r="Q36" s="84">
        <f>(NORMSDIST((I36-$Q$28)/B15)-NORMSDIST((I36-$R$28)/B15))</f>
        <v>3.9559311648786e-16</v>
      </c>
      <c r="R36" s="84">
        <f>(NORMSDIST((I36-$R$28)/B15)-NORMSDIST((I36-$S$28)/B15))</f>
        <v>1.19641456243921e-27</v>
      </c>
      <c r="S36" s="84">
        <f>(NORMSDIST((I36-$S$28)/B15)-NORMSDIST((I36-$T$28)/B15))</f>
        <v>1.71987102147162e-42</v>
      </c>
      <c r="T36" s="84"/>
      <c r="U36" s="85">
        <f t="shared" si="1"/>
        <v>1</v>
      </c>
    </row>
    <row r="37" s="14" customFormat="1" ht="18" customHeight="1" spans="1:21">
      <c r="A37" s="65"/>
      <c r="B37" s="65"/>
      <c r="C37" s="56">
        <f t="shared" si="2"/>
        <v>0.255</v>
      </c>
      <c r="D37" s="76">
        <v>0.264008620689655</v>
      </c>
      <c r="E37" s="58">
        <v>38184</v>
      </c>
      <c r="F37" s="59">
        <f t="shared" si="0"/>
        <v>9.73692</v>
      </c>
      <c r="G37" s="59">
        <f t="shared" si="3"/>
        <v>759.47976</v>
      </c>
      <c r="H37" s="60">
        <f t="shared" si="4"/>
        <v>0.964129399066498</v>
      </c>
      <c r="I37" s="61">
        <f>G37*(H36-0.15%)</f>
        <v>732.236764611968</v>
      </c>
      <c r="J37" s="75"/>
      <c r="K37" s="62">
        <f>(NORMSDIST((I37-$K$28)/B15)-NORMSDIST((I37-$L$28)/B15))</f>
        <v>5.2966520058817e-12</v>
      </c>
      <c r="L37" s="62">
        <f>(NORMSDIST((I37-$L$28)/B15)-NORMSDIST((I37-$M$28)/B15))</f>
        <v>2.90466424465174e-5</v>
      </c>
      <c r="M37" s="63">
        <f>(NORMSDIST((I37-$M$28)/B15)-NORMSDIST((I37-$N$28)/B15))</f>
        <v>0.106969923296086</v>
      </c>
      <c r="N37" s="63">
        <f>(NORMSDIST((I37-$N$28)/B15)-NORMSDIST((I37-$O$28)/B15))</f>
        <v>0.830625175484209</v>
      </c>
      <c r="O37" s="63">
        <f>(NORMSDIST((I37-$O$28)/B15)-NORMSDIST((I37-$P$28)/B15))</f>
        <v>0.062367798533177</v>
      </c>
      <c r="P37" s="63">
        <f>(NORMSDIST((I37-$P$28)/B15)-NORMSDIST((I37-$Q$28)/B15))</f>
        <v>8.05603811741595e-6</v>
      </c>
      <c r="Q37" s="63">
        <f>(NORMSDIST((I37-$Q$28)/B15)-NORMSDIST((I37-$R$28)/B15))</f>
        <v>6.67242543393833e-13</v>
      </c>
      <c r="R37" s="63">
        <f>(NORMSDIST((I37-$R$28)/B15)-NORMSDIST((I37-$S$28)/B15))</f>
        <v>2.85155732126322e-23</v>
      </c>
      <c r="S37" s="63">
        <f>(NORMSDIST((I37-$S$28)/B15)-NORMSDIST((I37-$T$28)/B15))</f>
        <v>5.86777179813762e-37</v>
      </c>
      <c r="T37" s="63"/>
      <c r="U37" s="64">
        <f t="shared" si="1"/>
        <v>1</v>
      </c>
    </row>
    <row r="38" s="14" customFormat="1" ht="18" customHeight="1" spans="1:21">
      <c r="A38" s="65"/>
      <c r="B38" s="65"/>
      <c r="C38" s="56">
        <f t="shared" si="2"/>
        <v>0.256</v>
      </c>
      <c r="D38" s="76">
        <v>0.275862068965517</v>
      </c>
      <c r="E38" s="58">
        <v>38184</v>
      </c>
      <c r="F38" s="59">
        <f t="shared" si="0"/>
        <v>9.775104</v>
      </c>
      <c r="G38" s="59">
        <f t="shared" si="3"/>
        <v>762.458112</v>
      </c>
      <c r="H38" s="60">
        <f t="shared" si="4"/>
        <v>0.962629399066498</v>
      </c>
      <c r="I38" s="61">
        <f t="shared" ref="I38:I48" si="6">G38*(H37-0.15%)</f>
        <v>733.964594167937</v>
      </c>
      <c r="J38" s="61"/>
      <c r="K38" s="62">
        <f>(NORMSDIST((I38-$K$28)/B15)-NORMSDIST((I38-$L$28)/B15))</f>
        <v>4.32986979603811e-15</v>
      </c>
      <c r="L38" s="62">
        <f>(NORMSDIST((I38-$L$28)/B15)-NORMSDIST((I38-$M$28)/B15))</f>
        <v>3.17379546310725e-7</v>
      </c>
      <c r="M38" s="63">
        <f>(NORMSDIST((I38-$M$28)/B15)-NORMSDIST((I38-$N$28)/B15))</f>
        <v>0.0138128416047327</v>
      </c>
      <c r="N38" s="63">
        <f>(NORMSDIST((I38-$N$28)/B15)-NORMSDIST((I38-$O$28)/B15))</f>
        <v>0.703617428756226</v>
      </c>
      <c r="O38" s="63">
        <f>(NORMSDIST((I38-$O$28)/B15)-NORMSDIST((I38-$P$28)/B15))</f>
        <v>0.282169713405672</v>
      </c>
      <c r="P38" s="63">
        <f>(NORMSDIST((I38-$P$28)/B15)-NORMSDIST((I38-$Q$28)/B15))</f>
        <v>0.000399698416574693</v>
      </c>
      <c r="Q38" s="63">
        <f>(NORMSDIST((I38-$Q$28)/B15)-NORMSDIST((I38-$R$28)/B15))</f>
        <v>4.37243516438574e-10</v>
      </c>
      <c r="R38" s="63">
        <f>(NORMSDIST((I38-$R$28)/B15)-NORMSDIST((I38-$S$28)/B15))</f>
        <v>2.58501077687044e-19</v>
      </c>
      <c r="S38" s="63">
        <f>(NORMSDIST((I38-$S$28)/B15)-NORMSDIST((I38-$T$28)/B15))</f>
        <v>7.4852921643007e-32</v>
      </c>
      <c r="T38" s="63"/>
      <c r="U38" s="64">
        <f t="shared" si="1"/>
        <v>1</v>
      </c>
    </row>
    <row r="39" s="14" customFormat="1" ht="18" customHeight="1" spans="1:21">
      <c r="A39" s="65"/>
      <c r="B39" s="65"/>
      <c r="C39" s="56">
        <f t="shared" si="2"/>
        <v>0.257</v>
      </c>
      <c r="D39" s="76">
        <v>0.181034482758621</v>
      </c>
      <c r="E39" s="58">
        <v>38184</v>
      </c>
      <c r="F39" s="59">
        <f t="shared" si="0"/>
        <v>9.813288</v>
      </c>
      <c r="G39" s="59">
        <f t="shared" si="3"/>
        <v>765.436464</v>
      </c>
      <c r="H39" s="60">
        <f t="shared" si="4"/>
        <v>0.961129399066499</v>
      </c>
      <c r="I39" s="61">
        <f t="shared" si="6"/>
        <v>735.683488667906</v>
      </c>
      <c r="J39" s="61"/>
      <c r="K39" s="62">
        <f>(NORMSDIST((I39-$K$28)/B15)-NORMSDIST((I39-$L$28)/B15))</f>
        <v>0</v>
      </c>
      <c r="L39" s="62">
        <f>(NORMSDIST((I39-$L$28)/B15)-NORMSDIST((I39-$M$28)/B15))</f>
        <v>1.46679834944763e-9</v>
      </c>
      <c r="M39" s="63">
        <f>(NORMSDIST((I39-$M$28)/B15)-NORMSDIST((I39-$N$28)/B15))</f>
        <v>0.000795656897258357</v>
      </c>
      <c r="N39" s="63">
        <f>(NORMSDIST((I39-$N$28)/B15)-NORMSDIST((I39-$O$28)/B15))</f>
        <v>0.351282489840477</v>
      </c>
      <c r="O39" s="63">
        <f>(NORMSDIST((I39-$O$28)/B15)-NORMSDIST((I39-$P$28)/B15))</f>
        <v>0.639680810860664</v>
      </c>
      <c r="P39" s="63">
        <f>(NORMSDIST((I39-$P$28)/B15)-NORMSDIST((I39-$Q$28)/B15))</f>
        <v>0.00824092749065831</v>
      </c>
      <c r="Q39" s="63">
        <f>(NORMSDIST((I39-$Q$28)/B15)-NORMSDIST((I39-$R$28)/B15))</f>
        <v>1.13444142935536e-7</v>
      </c>
      <c r="R39" s="63">
        <f>(NORMSDIST((I39-$R$28)/B15)-NORMSDIST((I39-$S$28)/B15))</f>
        <v>9.05714757587926e-16</v>
      </c>
      <c r="S39" s="63">
        <f>(NORMSDIST((I39-$S$28)/B15)-NORMSDIST((I39-$T$28)/B15))</f>
        <v>3.6246641484667e-27</v>
      </c>
      <c r="T39" s="63"/>
      <c r="U39" s="64">
        <f t="shared" si="1"/>
        <v>1</v>
      </c>
    </row>
    <row r="40" s="14" customFormat="1" ht="18" customHeight="1" spans="1:21">
      <c r="A40" s="65"/>
      <c r="B40" s="65"/>
      <c r="C40" s="56">
        <f t="shared" si="2"/>
        <v>0.258</v>
      </c>
      <c r="D40" s="76">
        <v>0.03125</v>
      </c>
      <c r="E40" s="58">
        <v>38184</v>
      </c>
      <c r="F40" s="59">
        <f t="shared" si="0"/>
        <v>9.851472</v>
      </c>
      <c r="G40" s="59">
        <f t="shared" si="3"/>
        <v>768.414816</v>
      </c>
      <c r="H40" s="60">
        <f t="shared" si="4"/>
        <v>0.959629399066499</v>
      </c>
      <c r="I40" s="61">
        <f t="shared" si="6"/>
        <v>737.393448111874</v>
      </c>
      <c r="J40" s="61"/>
      <c r="K40" s="62">
        <f>(NORMSDIST((I40-$K$28)/B15)-NORMSDIST((I40-$L$28)/B15))</f>
        <v>0</v>
      </c>
      <c r="L40" s="62">
        <f>(NORMSDIST((I40-$L$28)/B15)-NORMSDIST((I40-$M$28)/B15))</f>
        <v>2.88435941797616e-12</v>
      </c>
      <c r="M40" s="63">
        <f>(NORMSDIST((I40-$M$28)/B15)-NORMSDIST((I40-$N$28)/B15))</f>
        <v>2.00007313008177e-5</v>
      </c>
      <c r="N40" s="63">
        <f>(NORMSDIST((I40-$N$28)/B15)-NORMSDIST((I40-$O$28)/B15))</f>
        <v>0.0917896551557166</v>
      </c>
      <c r="O40" s="63">
        <f>(NORMSDIST((I40-$O$28)/B15)-NORMSDIST((I40-$P$28)/B15))</f>
        <v>0.834393617709807</v>
      </c>
      <c r="P40" s="63">
        <f>(NORMSDIST((I40-$P$28)/B15)-NORMSDIST((I40-$Q$28)/B15))</f>
        <v>0.0737848250169004</v>
      </c>
      <c r="Q40" s="63">
        <f>(NORMSDIST((I40-$Q$28)/B15)-NORMSDIST((I40-$R$28)/B15))</f>
        <v>1.19013821436214e-5</v>
      </c>
      <c r="R40" s="63">
        <f>(NORMSDIST((I40-$R$28)/B15)-NORMSDIST((I40-$S$28)/B15))</f>
        <v>1.24698282183729e-12</v>
      </c>
      <c r="S40" s="63">
        <f>(NORMSDIST((I40-$S$28)/B15)-NORMSDIST((I40-$T$28)/B15))</f>
        <v>6.76509271665634e-23</v>
      </c>
      <c r="T40" s="63"/>
      <c r="U40" s="64">
        <f t="shared" si="1"/>
        <v>1</v>
      </c>
    </row>
    <row r="41" s="14" customFormat="1" ht="18" customHeight="1" spans="1:21">
      <c r="A41" s="65"/>
      <c r="B41" s="65"/>
      <c r="C41" s="56">
        <f t="shared" si="2"/>
        <v>0.259</v>
      </c>
      <c r="D41" s="76">
        <v>0.0140086206896552</v>
      </c>
      <c r="E41" s="58">
        <v>38184</v>
      </c>
      <c r="F41" s="59">
        <f t="shared" si="0"/>
        <v>9.889656</v>
      </c>
      <c r="G41" s="59">
        <f t="shared" si="3"/>
        <v>771.393168</v>
      </c>
      <c r="H41" s="60">
        <f t="shared" si="4"/>
        <v>0.958129399066499</v>
      </c>
      <c r="I41" s="61">
        <f t="shared" si="6"/>
        <v>739.094472499843</v>
      </c>
      <c r="J41" s="61"/>
      <c r="K41" s="62">
        <f>(NORMSDIST((I41-$K$28)/B15)-NORMSDIST((I41-$L$28)/B15))</f>
        <v>0</v>
      </c>
      <c r="L41" s="62">
        <f>(NORMSDIST((I41-$L$28)/B15)-NORMSDIST((I41-$M$28)/B15))</f>
        <v>2.44249065417534e-15</v>
      </c>
      <c r="M41" s="63">
        <f>(NORMSDIST((I41-$M$28)/B15)-NORMSDIST((I41-$N$28)/B15))</f>
        <v>2.18049622580097e-7</v>
      </c>
      <c r="N41" s="63">
        <f>(NORMSDIST((I41-$N$28)/B15)-NORMSDIST((I41-$O$28)/B15))</f>
        <v>0.0114615397686249</v>
      </c>
      <c r="O41" s="63">
        <f>(NORMSDIST((I41-$O$28)/B15)-NORMSDIST((I41-$P$28)/B15))</f>
        <v>0.681081006159289</v>
      </c>
      <c r="P41" s="63">
        <f>(NORMSDIST((I41-$P$28)/B15)-NORMSDIST((I41-$Q$28)/B15))</f>
        <v>0.306939759630546</v>
      </c>
      <c r="Q41" s="63">
        <f>(NORMSDIST((I41-$Q$28)/B15)-NORMSDIST((I41-$R$28)/B15))</f>
        <v>0.000517475705469949</v>
      </c>
      <c r="R41" s="63">
        <f>(NORMSDIST((I41-$R$28)/B15)-NORMSDIST((I41-$S$28)/B15))</f>
        <v>6.86444263882024e-10</v>
      </c>
      <c r="S41" s="63">
        <f>(NORMSDIST((I41-$S$28)/B15)-NORMSDIST((I41-$T$28)/B15))</f>
        <v>4.94243506301454e-19</v>
      </c>
      <c r="T41" s="63"/>
      <c r="U41" s="64">
        <f t="shared" si="1"/>
        <v>1</v>
      </c>
    </row>
    <row r="42" s="14" customFormat="1" ht="18" customHeight="1" spans="1:21">
      <c r="A42" s="65"/>
      <c r="B42" s="65"/>
      <c r="C42" s="56">
        <f t="shared" si="2"/>
        <v>0.26</v>
      </c>
      <c r="D42" s="76"/>
      <c r="E42" s="58">
        <v>38184</v>
      </c>
      <c r="F42" s="59">
        <f t="shared" si="0"/>
        <v>9.92784</v>
      </c>
      <c r="G42" s="59">
        <f t="shared" si="3"/>
        <v>774.37152</v>
      </c>
      <c r="H42" s="60">
        <f t="shared" si="4"/>
        <v>0.956629399066499</v>
      </c>
      <c r="I42" s="61">
        <f t="shared" si="6"/>
        <v>740.786561831811</v>
      </c>
      <c r="J42" s="61"/>
      <c r="K42" s="62">
        <f>(NORMSDIST((I42-$K$28)/B15)-NORMSDIST((I42-$L$28)/B15))</f>
        <v>0</v>
      </c>
      <c r="L42" s="62">
        <f>(NORMSDIST((I42-$L$28)/B15)-NORMSDIST((I42-$M$28)/B15))</f>
        <v>0</v>
      </c>
      <c r="M42" s="63">
        <f>(NORMSDIST((I42-$M$28)/B15)-NORMSDIST((I42-$N$28)/B15))</f>
        <v>1.03297892461995e-9</v>
      </c>
      <c r="N42" s="63">
        <f>(NORMSDIST((I42-$N$28)/B15)-NORMSDIST((I42-$O$28)/B15))</f>
        <v>0.000652774884480345</v>
      </c>
      <c r="O42" s="63">
        <f>(NORMSDIST((I42-$O$28)/B15)-NORMSDIST((I42-$P$28)/B15))</f>
        <v>0.330410587152663</v>
      </c>
      <c r="P42" s="63">
        <f>(NORMSDIST((I42-$P$28)/B15)-NORMSDIST((I42-$Q$28)/B15))</f>
        <v>0.659315374699587</v>
      </c>
      <c r="Q42" s="63">
        <f>(NORMSDIST((I42-$Q$28)/B15)-NORMSDIST((I42-$R$28)/B15))</f>
        <v>0.00962110830532074</v>
      </c>
      <c r="R42" s="63">
        <f>(NORMSDIST((I42-$R$28)/B15)-NORMSDIST((I42-$S$28)/B15))</f>
        <v>1.53924968986269e-7</v>
      </c>
      <c r="S42" s="63">
        <f>(NORMSDIST((I42-$S$28)/B15)-NORMSDIST((I42-$T$28)/B15))</f>
        <v>1.43589529412004e-15</v>
      </c>
      <c r="T42" s="63"/>
      <c r="U42" s="64">
        <f t="shared" si="1"/>
        <v>1</v>
      </c>
    </row>
    <row r="43" s="14" customFormat="1" ht="18" customHeight="1" spans="1:21">
      <c r="A43" s="65"/>
      <c r="B43" s="65"/>
      <c r="C43" s="56">
        <f t="shared" si="2"/>
        <v>0.261</v>
      </c>
      <c r="D43" s="76"/>
      <c r="E43" s="58">
        <v>38184</v>
      </c>
      <c r="F43" s="59">
        <f t="shared" si="0"/>
        <v>9.966024</v>
      </c>
      <c r="G43" s="59">
        <f t="shared" si="3"/>
        <v>777.349872</v>
      </c>
      <c r="H43" s="60">
        <f t="shared" si="4"/>
        <v>0.955129399066499</v>
      </c>
      <c r="I43" s="61">
        <f t="shared" si="6"/>
        <v>742.46971610778</v>
      </c>
      <c r="J43" s="61"/>
      <c r="K43" s="62">
        <f>(NORMSDIST((I43-$K$28)/B15)-NORMSDIST((I43-$L$28)/B15))</f>
        <v>0</v>
      </c>
      <c r="L43" s="62">
        <f>(NORMSDIST((I43-$L$28)/B15)-NORMSDIST((I43-$M$28)/B15))</f>
        <v>0</v>
      </c>
      <c r="M43" s="63">
        <f>(NORMSDIST((I43-$M$28)/B15)-NORMSDIST((I43-$N$28)/B15))</f>
        <v>2.13984385766253e-12</v>
      </c>
      <c r="N43" s="63">
        <f>(NORMSDIST((I43-$N$28)/B15)-NORMSDIST((I43-$O$28)/B15))</f>
        <v>1.66352197483732e-5</v>
      </c>
      <c r="O43" s="63">
        <f>(NORMSDIST((I43-$O$28)/B15)-NORMSDIST((I43-$P$28)/B15))</f>
        <v>0.0850050438821239</v>
      </c>
      <c r="P43" s="63">
        <f>(NORMSDIST((I43-$P$28)/B15)-NORMSDIST((I43-$Q$28)/B15))</f>
        <v>0.835073678964802</v>
      </c>
      <c r="Q43" s="63">
        <f>(NORMSDIST((I43-$Q$28)/B15)-NORMSDIST((I43-$R$28)/B15))</f>
        <v>0.0798902886114341</v>
      </c>
      <c r="R43" s="63">
        <f>(NORMSDIST((I43-$R$28)/B15)-NORMSDIST((I43-$S$28)/B15))</f>
        <v>1.43533180658393e-5</v>
      </c>
      <c r="S43" s="63">
        <f>(NORMSDIST((I43-$S$28)/B15)-NORMSDIST((I43-$T$28)/B15))</f>
        <v>1.68610782012203e-12</v>
      </c>
      <c r="T43" s="63"/>
      <c r="U43" s="64">
        <f t="shared" si="1"/>
        <v>1</v>
      </c>
    </row>
    <row r="44" s="14" customFormat="1" ht="18" customHeight="1" spans="1:21">
      <c r="A44" s="65"/>
      <c r="B44" s="65"/>
      <c r="C44" s="56">
        <f t="shared" si="2"/>
        <v>0.262</v>
      </c>
      <c r="D44" s="76"/>
      <c r="E44" s="58">
        <v>38184</v>
      </c>
      <c r="F44" s="59">
        <f t="shared" si="0"/>
        <v>10.004208</v>
      </c>
      <c r="G44" s="59">
        <f t="shared" si="3"/>
        <v>780.328224</v>
      </c>
      <c r="H44" s="60">
        <f t="shared" si="4"/>
        <v>0.953629399066499</v>
      </c>
      <c r="I44" s="61">
        <f t="shared" si="6"/>
        <v>744.143935327748</v>
      </c>
      <c r="J44" s="61"/>
      <c r="K44" s="62">
        <f>(NORMSDIST((I44-$K$28)/B15)-NORMSDIST((I44-$L$28)/B15))</f>
        <v>0</v>
      </c>
      <c r="L44" s="62">
        <f>(NORMSDIST((I44-$L$28)/B15)-NORMSDIST((I44-$M$28)/B15))</f>
        <v>0</v>
      </c>
      <c r="M44" s="63">
        <f>(NORMSDIST((I44-$M$28)/B15)-NORMSDIST((I44-$N$28)/B15))</f>
        <v>1.99840144432528e-15</v>
      </c>
      <c r="N44" s="63">
        <f>(NORMSDIST((I44-$N$28)/B15)-NORMSDIST((I44-$O$28)/B15))</f>
        <v>1.88753127128294e-7</v>
      </c>
      <c r="O44" s="63">
        <f>(NORMSDIST((I44-$O$28)/B15)-NORMSDIST((I44-$P$28)/B15))</f>
        <v>0.0106621455569753</v>
      </c>
      <c r="P44" s="63">
        <f>(NORMSDIST((I44-$P$28)/B15)-NORMSDIST((I44-$Q$28)/B15))</f>
        <v>0.672154944109013</v>
      </c>
      <c r="Q44" s="63">
        <f>(NORMSDIST((I44-$Q$28)/B15)-NORMSDIST((I44-$R$28)/B15))</f>
        <v>0.316612495627545</v>
      </c>
      <c r="R44" s="63">
        <f>(NORMSDIST((I44-$R$28)/B15)-NORMSDIST((I44-$S$28)/B15))</f>
        <v>0.000570225139338007</v>
      </c>
      <c r="S44" s="63">
        <f>(NORMSDIST((I44-$S$28)/B15)-NORMSDIST((I44-$T$28)/B15))</f>
        <v>8.13999858356476e-10</v>
      </c>
      <c r="T44" s="63"/>
      <c r="U44" s="64">
        <f t="shared" si="1"/>
        <v>1</v>
      </c>
    </row>
    <row r="45" s="14" customFormat="1" ht="18" customHeight="1" spans="1:21">
      <c r="A45" s="65"/>
      <c r="B45" s="65"/>
      <c r="C45" s="56">
        <f t="shared" si="2"/>
        <v>0.263</v>
      </c>
      <c r="D45" s="87"/>
      <c r="E45" s="58">
        <v>38184</v>
      </c>
      <c r="F45" s="59">
        <f t="shared" si="0"/>
        <v>10.042392</v>
      </c>
      <c r="G45" s="59">
        <f t="shared" si="3"/>
        <v>783.306576</v>
      </c>
      <c r="H45" s="60">
        <f t="shared" si="4"/>
        <v>0.952129399066499</v>
      </c>
      <c r="I45" s="61">
        <f t="shared" si="6"/>
        <v>745.809219491717</v>
      </c>
      <c r="J45" s="61"/>
      <c r="K45" s="62">
        <f>(NORMSDIST((I45-$K$28)/B15)-NORMSDIST((I45-$L$28)/B15))</f>
        <v>0</v>
      </c>
      <c r="L45" s="62">
        <f>(NORMSDIST((I45-$L$28)/B15)-NORMSDIST((I45-$M$28)/B15))</f>
        <v>0</v>
      </c>
      <c r="M45" s="63">
        <f>(NORMSDIST((I45-$M$28)/B15)-NORMSDIST((I45-$N$28)/B15))</f>
        <v>0</v>
      </c>
      <c r="N45" s="63">
        <f>(NORMSDIST((I45-$N$28)/B15)-NORMSDIST((I45-$O$28)/B15))</f>
        <v>9.55940770985819e-10</v>
      </c>
      <c r="O45" s="63">
        <f>(NORMSDIST((I45-$O$28)/B15)-NORMSDIST((I45-$P$28)/B15))</f>
        <v>0.000624724440142499</v>
      </c>
      <c r="P45" s="63">
        <f>(NORMSDIST((I45-$P$28)/B15)-NORMSDIST((I45-$Q$28)/B15))</f>
        <v>0.325886840295892</v>
      </c>
      <c r="Q45" s="63">
        <f>(NORMSDIST((I45-$Q$28)/B15)-NORMSDIST((I45-$R$28)/B15))</f>
        <v>0.663537993562563</v>
      </c>
      <c r="R45" s="63">
        <f>(NORMSDIST((I45-$R$28)/B15)-NORMSDIST((I45-$S$28)/B15))</f>
        <v>0.00995027621119387</v>
      </c>
      <c r="S45" s="63">
        <f>(NORMSDIST((I45-$S$28)/B15)-NORMSDIST((I45-$T$28)/B15))</f>
        <v>1.64534266090145e-7</v>
      </c>
      <c r="T45" s="63"/>
      <c r="U45" s="64">
        <f t="shared" si="1"/>
        <v>0.999999999999998</v>
      </c>
    </row>
    <row r="46" s="14" customFormat="1" ht="18" customHeight="1" spans="1:21">
      <c r="A46" s="65"/>
      <c r="B46" s="65"/>
      <c r="C46" s="56">
        <f t="shared" si="2"/>
        <v>0.264</v>
      </c>
      <c r="D46" s="87"/>
      <c r="E46" s="58">
        <v>38184</v>
      </c>
      <c r="F46" s="59">
        <f t="shared" si="0"/>
        <v>10.080576</v>
      </c>
      <c r="G46" s="59">
        <f t="shared" si="3"/>
        <v>786.284928</v>
      </c>
      <c r="H46" s="60">
        <f t="shared" si="4"/>
        <v>0.950629399066499</v>
      </c>
      <c r="I46" s="61">
        <f t="shared" si="6"/>
        <v>747.465568599686</v>
      </c>
      <c r="J46" s="61"/>
      <c r="K46" s="62">
        <f>(NORMSDIST((I46-$K$28)/B15)-NORMSDIST((I46-$L$28)/B15))</f>
        <v>0</v>
      </c>
      <c r="L46" s="62">
        <f>(NORMSDIST((I46-$L$28)/B15)-NORMSDIST((I46-$M$28)/B15))</f>
        <v>0</v>
      </c>
      <c r="M46" s="63">
        <f>(NORMSDIST((I46-$M$28)/B15)-NORMSDIST((I46-$N$28)/B15))</f>
        <v>0</v>
      </c>
      <c r="N46" s="63">
        <f>(NORMSDIST((I46-$N$28)/B15)-NORMSDIST((I46-$O$28)/B15))</f>
        <v>2.17503792754314e-12</v>
      </c>
      <c r="O46" s="63">
        <f>(NORMSDIST((I46-$O$28)/B15)-NORMSDIST((I46-$P$28)/B15))</f>
        <v>1.68034748447843e-5</v>
      </c>
      <c r="P46" s="63">
        <f>(NORMSDIST((I46-$P$28)/B15)-NORMSDIST((I46-$Q$28)/B15))</f>
        <v>0.0853640606140939</v>
      </c>
      <c r="Q46" s="63">
        <f>(NORMSDIST((I46-$Q$28)/B15)-NORMSDIST((I46-$R$28)/B15))</f>
        <v>0.835056183646164</v>
      </c>
      <c r="R46" s="63">
        <f>(NORMSDIST((I46-$R$28)/B15)-NORMSDIST((I46-$S$28)/B15))</f>
        <v>0.0795487437899128</v>
      </c>
      <c r="S46" s="63">
        <f>(NORMSDIST((I46-$S$28)/B15)-NORMSDIST((I46-$T$28)/B15))</f>
        <v>1.42084711507137e-5</v>
      </c>
      <c r="T46" s="63"/>
      <c r="U46" s="64">
        <f t="shared" si="1"/>
        <v>0.999999999998341</v>
      </c>
    </row>
    <row r="47" s="14" customFormat="1" ht="18" customHeight="1" spans="1:21">
      <c r="A47" s="65"/>
      <c r="B47" s="65"/>
      <c r="C47" s="56">
        <f t="shared" si="2"/>
        <v>0.265</v>
      </c>
      <c r="D47" s="87"/>
      <c r="E47" s="58">
        <v>38184</v>
      </c>
      <c r="F47" s="59">
        <f t="shared" si="0"/>
        <v>10.11876</v>
      </c>
      <c r="G47" s="59">
        <f t="shared" si="3"/>
        <v>789.26328</v>
      </c>
      <c r="H47" s="60">
        <f t="shared" si="4"/>
        <v>0.949129399066499</v>
      </c>
      <c r="I47" s="61">
        <f t="shared" si="6"/>
        <v>749.112982651654</v>
      </c>
      <c r="J47" s="61"/>
      <c r="K47" s="62">
        <f>(NORMSDIST((I47-$K$28)/B15)-NORMSDIST((I47-$L$28)/B15))</f>
        <v>0</v>
      </c>
      <c r="L47" s="62">
        <f>(NORMSDIST((I47-$L$28)/B15)-NORMSDIST((I47-$M$28)/B15))</f>
        <v>0</v>
      </c>
      <c r="M47" s="63">
        <f>(NORMSDIST((I47-$M$28)/B15)-NORMSDIST((I47-$N$28)/B15))</f>
        <v>0</v>
      </c>
      <c r="N47" s="63">
        <f>(NORMSDIST((I47-$N$28)/B15)-NORMSDIST((I47-$O$28)/B15))</f>
        <v>2.22044604925031e-15</v>
      </c>
      <c r="O47" s="63">
        <f>(NORMSDIST((I47-$O$28)/B15)-NORMSDIST((I47-$P$28)/B15))</f>
        <v>2.0660613941903e-7</v>
      </c>
      <c r="P47" s="63">
        <f>(NORMSDIST((I47-$P$28)/B15)-NORMSDIST((I47-$Q$28)/B15))</f>
        <v>0.0111564898437714</v>
      </c>
      <c r="Q47" s="63">
        <f>(NORMSDIST((I47-$Q$28)/B15)-NORMSDIST((I47-$R$28)/B15))</f>
        <v>0.677761901828948</v>
      </c>
      <c r="R47" s="63">
        <f>(NORMSDIST((I47-$R$28)/B15)-NORMSDIST((I47-$S$28)/B15))</f>
        <v>0.310544737725585</v>
      </c>
      <c r="S47" s="63">
        <f>(NORMSDIST((I47-$S$28)/B15)-NORMSDIST((I47-$T$28)/B15))</f>
        <v>0.000536663263837532</v>
      </c>
      <c r="T47" s="63"/>
      <c r="U47" s="64">
        <f t="shared" si="1"/>
        <v>0.999999999268284</v>
      </c>
    </row>
    <row r="48" s="14" customFormat="1" ht="18" customHeight="1" spans="1:21">
      <c r="A48" s="65"/>
      <c r="B48" s="65"/>
      <c r="C48" s="56">
        <f t="shared" si="2"/>
        <v>0.266</v>
      </c>
      <c r="D48" s="87"/>
      <c r="E48" s="58">
        <v>38184</v>
      </c>
      <c r="F48" s="59">
        <f t="shared" si="0"/>
        <v>10.156944</v>
      </c>
      <c r="G48" s="59">
        <f t="shared" si="3"/>
        <v>792.241632</v>
      </c>
      <c r="H48" s="60">
        <f t="shared" si="4"/>
        <v>0.947629399066499</v>
      </c>
      <c r="I48" s="61">
        <f t="shared" si="6"/>
        <v>750.751461647623</v>
      </c>
      <c r="J48" s="61"/>
      <c r="K48" s="62">
        <f>(NORMSDIST((I48-$K$28)/B15)-NORMSDIST((I48-$L$28)/B15))</f>
        <v>0</v>
      </c>
      <c r="L48" s="62">
        <f>(NORMSDIST((I48-$L$28)/B15)-NORMSDIST((I48-$M$28)/B15))</f>
        <v>0</v>
      </c>
      <c r="M48" s="63">
        <f>(NORMSDIST((I48-$M$28)/B15)-NORMSDIST((I48-$N$28)/B15))</f>
        <v>0</v>
      </c>
      <c r="N48" s="63">
        <f>(NORMSDIST((I48-$N$28)/B15)-NORMSDIST((I48-$O$28)/B15))</f>
        <v>0</v>
      </c>
      <c r="O48" s="63">
        <f>(NORMSDIST((I48-$O$28)/B15)-NORMSDIST((I48-$P$28)/B15))</f>
        <v>1.16440490582903e-9</v>
      </c>
      <c r="P48" s="63">
        <f>(NORMSDIST((I48-$P$28)/B15)-NORMSDIST((I48-$Q$28)/B15))</f>
        <v>0.000698531989560935</v>
      </c>
      <c r="Q48" s="63">
        <f>(NORMSDIST((I48-$Q$28)/B15)-NORMSDIST((I48-$R$28)/B15))</f>
        <v>0.337465619791887</v>
      </c>
      <c r="R48" s="63">
        <f>(NORMSDIST((I48-$R$28)/B15)-NORMSDIST((I48-$S$28)/B15))</f>
        <v>0.652705743758833</v>
      </c>
      <c r="S48" s="63">
        <f>(NORMSDIST((I48-$S$28)/B15)-NORMSDIST((I48-$T$28)/B15))</f>
        <v>0.00912996451313492</v>
      </c>
      <c r="T48" s="63"/>
      <c r="U48" s="64">
        <f t="shared" si="1"/>
        <v>0.999999861217821</v>
      </c>
    </row>
    <row r="49" s="14" customFormat="1" ht="9.6" customHeight="1" spans="4:21">
      <c r="D49" s="88"/>
    </row>
    <row r="50" s="14" customFormat="1" ht="18" customHeight="1" spans="4:21">
      <c r="D50" s="89"/>
      <c r="I50" s="90" t="s">
        <v>90</v>
      </c>
      <c r="J50" s="90" t="s">
        <v>89</v>
      </c>
      <c r="K50" s="53">
        <f>K28</f>
        <v>715</v>
      </c>
      <c r="L50" s="53">
        <f t="shared" ref="L50:T50" si="7">L28</f>
        <v>720</v>
      </c>
      <c r="M50" s="53">
        <f t="shared" si="7"/>
        <v>725</v>
      </c>
      <c r="N50" s="53">
        <f t="shared" si="7"/>
        <v>730</v>
      </c>
      <c r="O50" s="53">
        <f t="shared" si="7"/>
        <v>735</v>
      </c>
      <c r="P50" s="53">
        <f t="shared" si="7"/>
        <v>740</v>
      </c>
      <c r="Q50" s="53">
        <f t="shared" si="7"/>
        <v>745</v>
      </c>
      <c r="R50" s="53">
        <f t="shared" si="7"/>
        <v>750</v>
      </c>
      <c r="S50" s="53">
        <f t="shared" si="7"/>
        <v>755</v>
      </c>
      <c r="T50" s="53">
        <f t="shared" si="7"/>
        <v>760</v>
      </c>
      <c r="U50" s="54" t="s">
        <v>96</v>
      </c>
    </row>
    <row r="51" s="14" customFormat="1" ht="18" customHeight="1" spans="4:21">
      <c r="I51" s="91">
        <f t="shared" ref="I51:I70" si="8">D29</f>
        <v>0</v>
      </c>
      <c r="J51" s="56">
        <f t="shared" ref="J51:J70" si="9">C29</f>
        <v>0.247</v>
      </c>
      <c r="K51" s="63">
        <f t="shared" ref="K51:K70" si="10">D29*K29</f>
        <v>0</v>
      </c>
      <c r="L51" s="63">
        <f t="shared" ref="L51:L70" si="11">D29*L29</f>
        <v>0</v>
      </c>
      <c r="M51" s="63">
        <f t="shared" ref="M51:M70" si="12">D29*M29</f>
        <v>0</v>
      </c>
      <c r="N51" s="63">
        <f t="shared" ref="N51:N70" si="13">D29*N29</f>
        <v>0</v>
      </c>
      <c r="O51" s="63">
        <f t="shared" ref="O51:O70" si="14">D29*O29</f>
        <v>0</v>
      </c>
      <c r="P51" s="63">
        <f t="shared" ref="P51:P70" si="15">D29*P29</f>
        <v>0</v>
      </c>
      <c r="Q51" s="63">
        <f t="shared" ref="Q51:Q70" si="16">D29*Q29</f>
        <v>0</v>
      </c>
      <c r="R51" s="63">
        <f t="shared" ref="R51:R70" si="17">D29*R29</f>
        <v>0</v>
      </c>
      <c r="S51" s="63">
        <f t="shared" ref="S51:S70" si="18">S29*D29</f>
        <v>0</v>
      </c>
      <c r="T51" s="63"/>
      <c r="U51" s="64"/>
    </row>
    <row r="52" s="14" customFormat="1" ht="18" customHeight="1" spans="4:21">
      <c r="I52" s="91">
        <f t="shared" si="8"/>
        <v>0</v>
      </c>
      <c r="J52" s="56">
        <f t="shared" si="9"/>
        <v>0.248</v>
      </c>
      <c r="K52" s="63">
        <f t="shared" si="10"/>
        <v>0</v>
      </c>
      <c r="L52" s="63">
        <f t="shared" si="11"/>
        <v>0</v>
      </c>
      <c r="M52" s="63">
        <f t="shared" si="12"/>
        <v>0</v>
      </c>
      <c r="N52" s="63">
        <f t="shared" si="13"/>
        <v>0</v>
      </c>
      <c r="O52" s="63">
        <f t="shared" si="14"/>
        <v>0</v>
      </c>
      <c r="P52" s="63">
        <f t="shared" si="15"/>
        <v>0</v>
      </c>
      <c r="Q52" s="63">
        <f t="shared" si="16"/>
        <v>0</v>
      </c>
      <c r="R52" s="63">
        <f t="shared" si="17"/>
        <v>0</v>
      </c>
      <c r="S52" s="63">
        <f t="shared" si="18"/>
        <v>0</v>
      </c>
      <c r="T52" s="63"/>
      <c r="U52" s="64"/>
    </row>
    <row r="53" s="14" customFormat="1" ht="18" customHeight="1" spans="4:21">
      <c r="I53" s="91">
        <f t="shared" si="8"/>
        <v>0</v>
      </c>
      <c r="J53" s="56">
        <f t="shared" si="9"/>
        <v>0.249</v>
      </c>
      <c r="K53" s="63">
        <f t="shared" si="10"/>
        <v>0</v>
      </c>
      <c r="L53" s="63">
        <f t="shared" si="11"/>
        <v>0</v>
      </c>
      <c r="M53" s="63">
        <f t="shared" si="12"/>
        <v>0</v>
      </c>
      <c r="N53" s="63">
        <f t="shared" si="13"/>
        <v>0</v>
      </c>
      <c r="O53" s="63">
        <f t="shared" si="14"/>
        <v>0</v>
      </c>
      <c r="P53" s="63">
        <f t="shared" si="15"/>
        <v>0</v>
      </c>
      <c r="Q53" s="63">
        <f t="shared" si="16"/>
        <v>0</v>
      </c>
      <c r="R53" s="63">
        <f t="shared" si="17"/>
        <v>0</v>
      </c>
      <c r="S53" s="63">
        <f t="shared" si="18"/>
        <v>0</v>
      </c>
      <c r="T53" s="63"/>
      <c r="U53" s="64"/>
    </row>
    <row r="54" s="14" customFormat="1" ht="18" customHeight="1" spans="4:21">
      <c r="I54" s="91">
        <f t="shared" si="8"/>
        <v>0</v>
      </c>
      <c r="J54" s="56">
        <f t="shared" si="9"/>
        <v>0.25</v>
      </c>
      <c r="K54" s="73">
        <f t="shared" si="10"/>
        <v>0</v>
      </c>
      <c r="L54" s="73">
        <f t="shared" si="11"/>
        <v>0</v>
      </c>
      <c r="M54" s="73">
        <f t="shared" si="12"/>
        <v>0</v>
      </c>
      <c r="N54" s="73">
        <f t="shared" si="13"/>
        <v>0</v>
      </c>
      <c r="O54" s="73">
        <f t="shared" si="14"/>
        <v>0</v>
      </c>
      <c r="P54" s="73">
        <f t="shared" si="15"/>
        <v>0</v>
      </c>
      <c r="Q54" s="73">
        <f t="shared" si="16"/>
        <v>0</v>
      </c>
      <c r="R54" s="73">
        <f t="shared" si="17"/>
        <v>0</v>
      </c>
      <c r="S54" s="73">
        <f t="shared" si="18"/>
        <v>0</v>
      </c>
      <c r="T54" s="63"/>
      <c r="U54" s="64"/>
    </row>
    <row r="55" s="14" customFormat="1" ht="18" customHeight="1" spans="4:21">
      <c r="I55" s="91">
        <f t="shared" si="8"/>
        <v>0</v>
      </c>
      <c r="J55" s="56">
        <f t="shared" si="9"/>
        <v>0.251</v>
      </c>
      <c r="K55" s="63">
        <f t="shared" si="10"/>
        <v>0</v>
      </c>
      <c r="L55" s="63">
        <f t="shared" si="11"/>
        <v>0</v>
      </c>
      <c r="M55" s="63">
        <f t="shared" si="12"/>
        <v>0</v>
      </c>
      <c r="N55" s="63">
        <f t="shared" si="13"/>
        <v>0</v>
      </c>
      <c r="O55" s="63">
        <f t="shared" si="14"/>
        <v>0</v>
      </c>
      <c r="P55" s="63">
        <f t="shared" si="15"/>
        <v>0</v>
      </c>
      <c r="Q55" s="63">
        <f t="shared" si="16"/>
        <v>0</v>
      </c>
      <c r="R55" s="63">
        <f t="shared" si="17"/>
        <v>0</v>
      </c>
      <c r="S55" s="63">
        <f t="shared" si="18"/>
        <v>0</v>
      </c>
      <c r="T55" s="63"/>
      <c r="U55" s="64"/>
    </row>
    <row r="56" s="14" customFormat="1" ht="18" customHeight="1" spans="4:21">
      <c r="I56" s="91">
        <f t="shared" si="8"/>
        <v>0</v>
      </c>
      <c r="J56" s="56">
        <f t="shared" si="9"/>
        <v>0.252</v>
      </c>
      <c r="K56" s="63">
        <f t="shared" si="10"/>
        <v>0</v>
      </c>
      <c r="L56" s="63">
        <f t="shared" si="11"/>
        <v>0</v>
      </c>
      <c r="M56" s="63">
        <f t="shared" si="12"/>
        <v>0</v>
      </c>
      <c r="N56" s="63">
        <f t="shared" si="13"/>
        <v>0</v>
      </c>
      <c r="O56" s="63">
        <f t="shared" si="14"/>
        <v>0</v>
      </c>
      <c r="P56" s="63">
        <f t="shared" si="15"/>
        <v>0</v>
      </c>
      <c r="Q56" s="63">
        <f t="shared" si="16"/>
        <v>0</v>
      </c>
      <c r="R56" s="63">
        <f t="shared" si="17"/>
        <v>0</v>
      </c>
      <c r="S56" s="63">
        <f t="shared" si="18"/>
        <v>0</v>
      </c>
      <c r="T56" s="63"/>
      <c r="U56" s="64"/>
    </row>
    <row r="57" s="14" customFormat="1" ht="18" customHeight="1" spans="4:21">
      <c r="I57" s="91">
        <f t="shared" si="8"/>
        <v>0.0592672413793103</v>
      </c>
      <c r="J57" s="56">
        <f t="shared" si="9"/>
        <v>0.253</v>
      </c>
      <c r="K57" s="63">
        <f t="shared" si="10"/>
        <v>3.41758371620497e-8</v>
      </c>
      <c r="L57" s="63">
        <f t="shared" si="11"/>
        <v>0.0010965216732749</v>
      </c>
      <c r="M57" s="63">
        <f t="shared" si="12"/>
        <v>0.0436827326049306</v>
      </c>
      <c r="N57" s="63">
        <f t="shared" si="13"/>
        <v>0.0144725202758371</v>
      </c>
      <c r="O57" s="63">
        <f t="shared" si="14"/>
        <v>1.54326370791568e-5</v>
      </c>
      <c r="P57" s="63">
        <f t="shared" si="15"/>
        <v>1.23506494841065e-11</v>
      </c>
      <c r="Q57" s="63">
        <f t="shared" si="16"/>
        <v>5.30615306368271e-21</v>
      </c>
      <c r="R57" s="63">
        <f t="shared" si="17"/>
        <v>1.11391420063109e-33</v>
      </c>
      <c r="S57" s="63">
        <f t="shared" si="18"/>
        <v>1.10042857378269e-49</v>
      </c>
      <c r="T57" s="63"/>
      <c r="U57" s="64"/>
    </row>
    <row r="58" s="14" customFormat="1" ht="18" customHeight="1" spans="4:21">
      <c r="I58" s="91">
        <f t="shared" si="8"/>
        <v>0.174568965517241</v>
      </c>
      <c r="J58" s="56">
        <f t="shared" si="9"/>
        <v>0.254</v>
      </c>
      <c r="K58" s="63">
        <f t="shared" si="10"/>
        <v>4.7422423531166e-10</v>
      </c>
      <c r="L58" s="63">
        <f t="shared" si="11"/>
        <v>0.000196078862204181</v>
      </c>
      <c r="M58" s="63">
        <f t="shared" si="12"/>
        <v>0.0679890704698679</v>
      </c>
      <c r="N58" s="63">
        <f t="shared" si="13"/>
        <v>0.105299800858816</v>
      </c>
      <c r="O58" s="63">
        <f t="shared" si="14"/>
        <v>0.0010840034388186</v>
      </c>
      <c r="P58" s="63">
        <f t="shared" si="15"/>
        <v>1.14133101589432e-8</v>
      </c>
      <c r="Q58" s="63">
        <f t="shared" si="16"/>
        <v>6.90582811110272e-17</v>
      </c>
      <c r="R58" s="63">
        <f t="shared" si="17"/>
        <v>2.08856852494776e-28</v>
      </c>
      <c r="S58" s="63">
        <f t="shared" si="18"/>
        <v>3.00236105041381e-43</v>
      </c>
      <c r="T58" s="63"/>
      <c r="U58" s="64"/>
    </row>
    <row r="59" s="14" customFormat="1" ht="18" customHeight="1" spans="4:21">
      <c r="I59" s="91">
        <f t="shared" si="8"/>
        <v>0.264008620689655</v>
      </c>
      <c r="J59" s="56">
        <f t="shared" si="9"/>
        <v>0.255</v>
      </c>
      <c r="K59" s="63">
        <f t="shared" si="10"/>
        <v>1.39836179034592e-12</v>
      </c>
      <c r="L59" s="63">
        <f t="shared" si="11"/>
        <v>7.66856400797066e-6</v>
      </c>
      <c r="M59" s="63">
        <f t="shared" si="12"/>
        <v>0.028240981904678</v>
      </c>
      <c r="N59" s="63">
        <f t="shared" si="13"/>
        <v>0.219292206889689</v>
      </c>
      <c r="O59" s="63">
        <f t="shared" si="14"/>
        <v>0.0164656364661943</v>
      </c>
      <c r="P59" s="63">
        <f t="shared" si="15"/>
        <v>2.12686351160227e-6</v>
      </c>
      <c r="Q59" s="63">
        <f t="shared" si="16"/>
        <v>1.76157783546863e-13</v>
      </c>
      <c r="R59" s="63">
        <f t="shared" si="17"/>
        <v>7.52835715204189e-24</v>
      </c>
      <c r="S59" s="63">
        <f t="shared" si="18"/>
        <v>1.54914233894797e-37</v>
      </c>
      <c r="T59" s="63"/>
      <c r="U59" s="64"/>
    </row>
    <row r="60" s="14" customFormat="1" ht="18" customHeight="1" spans="4:21">
      <c r="I60" s="91">
        <f t="shared" si="8"/>
        <v>0.275862068965517</v>
      </c>
      <c r="J60" s="56">
        <f t="shared" si="9"/>
        <v>0.256</v>
      </c>
      <c r="K60" s="63">
        <f t="shared" si="10"/>
        <v>1.19444684028637e-15</v>
      </c>
      <c r="L60" s="63">
        <f t="shared" si="11"/>
        <v>8.75529782926138e-8</v>
      </c>
      <c r="M60" s="63">
        <f t="shared" si="12"/>
        <v>0.00381043906337454</v>
      </c>
      <c r="N60" s="63">
        <f t="shared" si="13"/>
        <v>0.19410135965689</v>
      </c>
      <c r="O60" s="63">
        <f t="shared" si="14"/>
        <v>0.0778399209394957</v>
      </c>
      <c r="P60" s="63">
        <f t="shared" si="15"/>
        <v>0.000110261632158536</v>
      </c>
      <c r="Q60" s="63">
        <f t="shared" si="16"/>
        <v>1.20618901086503e-10</v>
      </c>
      <c r="R60" s="63">
        <f t="shared" si="17"/>
        <v>7.13106421205639e-20</v>
      </c>
      <c r="S60" s="63">
        <f t="shared" si="18"/>
        <v>2.06490818325536e-32</v>
      </c>
      <c r="T60" s="63"/>
      <c r="U60" s="64"/>
    </row>
    <row r="61" s="14" customFormat="1" ht="18" customHeight="1" spans="4:21">
      <c r="I61" s="91">
        <f t="shared" si="8"/>
        <v>0.181034482758621</v>
      </c>
      <c r="J61" s="56">
        <f t="shared" si="9"/>
        <v>0.257</v>
      </c>
      <c r="K61" s="63">
        <f t="shared" si="10"/>
        <v>0</v>
      </c>
      <c r="L61" s="63">
        <f t="shared" si="11"/>
        <v>2.65541080503451e-10</v>
      </c>
      <c r="M61" s="63">
        <f t="shared" si="12"/>
        <v>0.000144041334848496</v>
      </c>
      <c r="N61" s="63">
        <f t="shared" si="13"/>
        <v>0.0635942438504313</v>
      </c>
      <c r="O61" s="63">
        <f t="shared" si="14"/>
        <v>0.115804284724776</v>
      </c>
      <c r="P61" s="63">
        <f t="shared" si="15"/>
        <v>0.00149189204572263</v>
      </c>
      <c r="Q61" s="63">
        <f t="shared" si="16"/>
        <v>2.05373017383299e-8</v>
      </c>
      <c r="R61" s="63">
        <f t="shared" si="17"/>
        <v>1.6396560266678e-16</v>
      </c>
      <c r="S61" s="63">
        <f t="shared" si="18"/>
        <v>6.56189199291386e-28</v>
      </c>
      <c r="T61" s="63"/>
      <c r="U61" s="64"/>
    </row>
    <row r="62" s="14" customFormat="1" ht="18" customHeight="1" spans="4:21">
      <c r="I62" s="91">
        <f t="shared" si="8"/>
        <v>0.03125</v>
      </c>
      <c r="J62" s="56">
        <f t="shared" si="9"/>
        <v>0.258</v>
      </c>
      <c r="K62" s="63">
        <f t="shared" si="10"/>
        <v>0</v>
      </c>
      <c r="L62" s="63">
        <f t="shared" si="11"/>
        <v>9.01362318117549e-14</v>
      </c>
      <c r="M62" s="63">
        <f t="shared" si="12"/>
        <v>6.25022853150553e-7</v>
      </c>
      <c r="N62" s="63">
        <f t="shared" si="13"/>
        <v>0.00286842672361614</v>
      </c>
      <c r="O62" s="63">
        <f t="shared" si="14"/>
        <v>0.0260748005534315</v>
      </c>
      <c r="P62" s="63">
        <f t="shared" si="15"/>
        <v>0.00230577578177814</v>
      </c>
      <c r="Q62" s="63">
        <f t="shared" si="16"/>
        <v>3.71918191988169e-7</v>
      </c>
      <c r="R62" s="63">
        <f t="shared" si="17"/>
        <v>3.89682131824153e-14</v>
      </c>
      <c r="S62" s="63">
        <f t="shared" si="18"/>
        <v>2.11409147395511e-24</v>
      </c>
      <c r="T62" s="63"/>
      <c r="U62" s="64"/>
    </row>
    <row r="63" s="14" customFormat="1" ht="18" customHeight="1" spans="4:21">
      <c r="I63" s="91">
        <f t="shared" si="8"/>
        <v>0.0140086206896552</v>
      </c>
      <c r="J63" s="56">
        <f t="shared" si="9"/>
        <v>0.259</v>
      </c>
      <c r="K63" s="63">
        <f t="shared" si="10"/>
        <v>0</v>
      </c>
      <c r="L63" s="63">
        <f t="shared" si="11"/>
        <v>3.42159251123702e-17</v>
      </c>
      <c r="M63" s="63">
        <f t="shared" si="12"/>
        <v>3.05457445424705e-9</v>
      </c>
      <c r="N63" s="63">
        <f t="shared" si="13"/>
        <v>0.000160560363138064</v>
      </c>
      <c r="O63" s="63">
        <f t="shared" si="14"/>
        <v>0.0095410054742142</v>
      </c>
      <c r="P63" s="63">
        <f t="shared" si="15"/>
        <v>0.00429980266723827</v>
      </c>
      <c r="Q63" s="63">
        <f t="shared" si="16"/>
        <v>7.24912087404025e-6</v>
      </c>
      <c r="R63" s="63">
        <f t="shared" si="17"/>
        <v>9.61613731731285e-12</v>
      </c>
      <c r="S63" s="63">
        <f t="shared" si="18"/>
        <v>6.92366980810227e-21</v>
      </c>
      <c r="T63" s="63"/>
      <c r="U63" s="64"/>
    </row>
    <row r="64" s="14" customFormat="1" ht="18" customHeight="1" spans="4:21">
      <c r="I64" s="91">
        <f t="shared" si="8"/>
        <v>0</v>
      </c>
      <c r="J64" s="56">
        <f t="shared" si="9"/>
        <v>0.26</v>
      </c>
      <c r="K64" s="63">
        <f t="shared" si="10"/>
        <v>0</v>
      </c>
      <c r="L64" s="63">
        <f t="shared" si="11"/>
        <v>0</v>
      </c>
      <c r="M64" s="63">
        <f t="shared" si="12"/>
        <v>0</v>
      </c>
      <c r="N64" s="63">
        <f t="shared" si="13"/>
        <v>0</v>
      </c>
      <c r="O64" s="63">
        <f t="shared" si="14"/>
        <v>0</v>
      </c>
      <c r="P64" s="63">
        <f t="shared" si="15"/>
        <v>0</v>
      </c>
      <c r="Q64" s="63">
        <f t="shared" si="16"/>
        <v>0</v>
      </c>
      <c r="R64" s="63">
        <f t="shared" si="17"/>
        <v>0</v>
      </c>
      <c r="S64" s="63">
        <f t="shared" si="18"/>
        <v>0</v>
      </c>
      <c r="T64" s="63"/>
      <c r="U64" s="64"/>
    </row>
    <row r="65" s="14" customFormat="1" ht="18" customHeight="1" spans="1:21">
      <c r="I65" s="91">
        <f t="shared" si="8"/>
        <v>0</v>
      </c>
      <c r="J65" s="56">
        <f t="shared" si="9"/>
        <v>0.261</v>
      </c>
      <c r="K65" s="63">
        <f t="shared" si="10"/>
        <v>0</v>
      </c>
      <c r="L65" s="63">
        <f t="shared" si="11"/>
        <v>0</v>
      </c>
      <c r="M65" s="63">
        <f t="shared" si="12"/>
        <v>0</v>
      </c>
      <c r="N65" s="63">
        <f t="shared" si="13"/>
        <v>0</v>
      </c>
      <c r="O65" s="63">
        <f t="shared" si="14"/>
        <v>0</v>
      </c>
      <c r="P65" s="63">
        <f t="shared" si="15"/>
        <v>0</v>
      </c>
      <c r="Q65" s="63">
        <f t="shared" si="16"/>
        <v>0</v>
      </c>
      <c r="R65" s="63">
        <f t="shared" si="17"/>
        <v>0</v>
      </c>
      <c r="S65" s="63">
        <f t="shared" si="18"/>
        <v>0</v>
      </c>
      <c r="T65" s="63"/>
      <c r="U65" s="64"/>
    </row>
    <row r="66" s="14" customFormat="1" ht="18" customHeight="1" spans="1:21">
      <c r="I66" s="91">
        <f t="shared" si="8"/>
        <v>0</v>
      </c>
      <c r="J66" s="56">
        <f t="shared" si="9"/>
        <v>0.262</v>
      </c>
      <c r="K66" s="63">
        <f t="shared" si="10"/>
        <v>0</v>
      </c>
      <c r="L66" s="63">
        <f t="shared" si="11"/>
        <v>0</v>
      </c>
      <c r="M66" s="63">
        <f t="shared" si="12"/>
        <v>0</v>
      </c>
      <c r="N66" s="63">
        <f t="shared" si="13"/>
        <v>0</v>
      </c>
      <c r="O66" s="63">
        <f t="shared" si="14"/>
        <v>0</v>
      </c>
      <c r="P66" s="63">
        <f t="shared" si="15"/>
        <v>0</v>
      </c>
      <c r="Q66" s="63">
        <f t="shared" si="16"/>
        <v>0</v>
      </c>
      <c r="R66" s="63">
        <f t="shared" si="17"/>
        <v>0</v>
      </c>
      <c r="S66" s="63">
        <f t="shared" si="18"/>
        <v>0</v>
      </c>
      <c r="T66" s="63"/>
      <c r="U66" s="64"/>
    </row>
    <row r="67" s="14" customFormat="1" ht="18" customHeight="1" spans="1:21">
      <c r="I67" s="91">
        <f t="shared" si="8"/>
        <v>0</v>
      </c>
      <c r="J67" s="56">
        <f t="shared" si="9"/>
        <v>0.263</v>
      </c>
      <c r="K67" s="63">
        <f t="shared" si="10"/>
        <v>0</v>
      </c>
      <c r="L67" s="63">
        <f t="shared" si="11"/>
        <v>0</v>
      </c>
      <c r="M67" s="63">
        <f t="shared" si="12"/>
        <v>0</v>
      </c>
      <c r="N67" s="63">
        <f t="shared" si="13"/>
        <v>0</v>
      </c>
      <c r="O67" s="63">
        <f t="shared" si="14"/>
        <v>0</v>
      </c>
      <c r="P67" s="63">
        <f t="shared" si="15"/>
        <v>0</v>
      </c>
      <c r="Q67" s="63">
        <f t="shared" si="16"/>
        <v>0</v>
      </c>
      <c r="R67" s="63">
        <f t="shared" si="17"/>
        <v>0</v>
      </c>
      <c r="S67" s="63">
        <f t="shared" si="18"/>
        <v>0</v>
      </c>
      <c r="T67" s="63"/>
      <c r="U67" s="64"/>
    </row>
    <row r="68" s="14" customFormat="1" ht="18" customHeight="1" spans="1:21">
      <c r="I68" s="91">
        <f t="shared" si="8"/>
        <v>0</v>
      </c>
      <c r="J68" s="56">
        <f t="shared" si="9"/>
        <v>0.264</v>
      </c>
      <c r="K68" s="63">
        <f t="shared" si="10"/>
        <v>0</v>
      </c>
      <c r="L68" s="63">
        <f t="shared" si="11"/>
        <v>0</v>
      </c>
      <c r="M68" s="63">
        <f t="shared" si="12"/>
        <v>0</v>
      </c>
      <c r="N68" s="63">
        <f t="shared" si="13"/>
        <v>0</v>
      </c>
      <c r="O68" s="63">
        <f t="shared" si="14"/>
        <v>0</v>
      </c>
      <c r="P68" s="63">
        <f t="shared" si="15"/>
        <v>0</v>
      </c>
      <c r="Q68" s="63">
        <f t="shared" si="16"/>
        <v>0</v>
      </c>
      <c r="R68" s="63">
        <f t="shared" si="17"/>
        <v>0</v>
      </c>
      <c r="S68" s="63">
        <f t="shared" si="18"/>
        <v>0</v>
      </c>
      <c r="T68" s="63"/>
      <c r="U68" s="64"/>
    </row>
    <row r="69" s="14" customFormat="1" ht="18" customHeight="1" spans="1:21">
      <c r="I69" s="91">
        <f t="shared" si="8"/>
        <v>0</v>
      </c>
      <c r="J69" s="56">
        <f t="shared" si="9"/>
        <v>0.265</v>
      </c>
      <c r="K69" s="63">
        <f t="shared" si="10"/>
        <v>0</v>
      </c>
      <c r="L69" s="63">
        <f t="shared" si="11"/>
        <v>0</v>
      </c>
      <c r="M69" s="63">
        <f t="shared" si="12"/>
        <v>0</v>
      </c>
      <c r="N69" s="63">
        <f t="shared" si="13"/>
        <v>0</v>
      </c>
      <c r="O69" s="63">
        <f t="shared" si="14"/>
        <v>0</v>
      </c>
      <c r="P69" s="63">
        <f t="shared" si="15"/>
        <v>0</v>
      </c>
      <c r="Q69" s="63">
        <f t="shared" si="16"/>
        <v>0</v>
      </c>
      <c r="R69" s="63">
        <f t="shared" si="17"/>
        <v>0</v>
      </c>
      <c r="S69" s="63">
        <f t="shared" si="18"/>
        <v>0</v>
      </c>
      <c r="T69" s="63"/>
      <c r="U69" s="64"/>
    </row>
    <row r="70" s="14" customFormat="1" ht="18" customHeight="1" spans="1:21">
      <c r="I70" s="91">
        <f t="shared" si="8"/>
        <v>0</v>
      </c>
      <c r="J70" s="56">
        <f t="shared" si="9"/>
        <v>0.266</v>
      </c>
      <c r="K70" s="63">
        <f t="shared" si="10"/>
        <v>0</v>
      </c>
      <c r="L70" s="63">
        <f t="shared" si="11"/>
        <v>0</v>
      </c>
      <c r="M70" s="63">
        <f t="shared" si="12"/>
        <v>0</v>
      </c>
      <c r="N70" s="63">
        <f t="shared" si="13"/>
        <v>0</v>
      </c>
      <c r="O70" s="63">
        <f t="shared" si="14"/>
        <v>0</v>
      </c>
      <c r="P70" s="63">
        <f t="shared" si="15"/>
        <v>0</v>
      </c>
      <c r="Q70" s="63">
        <f t="shared" si="16"/>
        <v>0</v>
      </c>
      <c r="R70" s="63">
        <f t="shared" si="17"/>
        <v>0</v>
      </c>
      <c r="S70" s="63">
        <f t="shared" si="18"/>
        <v>0</v>
      </c>
      <c r="T70" s="63"/>
      <c r="U70" s="64"/>
    </row>
    <row r="71" s="14" customFormat="1" ht="18" customHeight="1" spans="1:21">
      <c r="I71" s="92" t="s">
        <v>100</v>
      </c>
      <c r="J71" s="93"/>
      <c r="K71" s="94">
        <f t="shared" ref="K71:S71" si="19">SUM(K51:K70)</f>
        <v>3.46514609535985e-8</v>
      </c>
      <c r="L71" s="94">
        <f t="shared" si="19"/>
        <v>0.0013003569180966</v>
      </c>
      <c r="M71" s="94">
        <f t="shared" si="19"/>
        <v>0.143867893455127</v>
      </c>
      <c r="N71" s="94">
        <f t="shared" si="19"/>
        <v>0.599789118618417</v>
      </c>
      <c r="O71" s="94">
        <f t="shared" si="19"/>
        <v>0.246825084234009</v>
      </c>
      <c r="P71" s="94">
        <f t="shared" si="19"/>
        <v>0.00820987041606998</v>
      </c>
      <c r="Q71" s="94">
        <f t="shared" si="19"/>
        <v>7.64169716289468e-6</v>
      </c>
      <c r="R71" s="94">
        <f t="shared" si="19"/>
        <v>9.6552695674161e-12</v>
      </c>
      <c r="S71" s="94">
        <f t="shared" si="19"/>
        <v>6.92578455578608e-21</v>
      </c>
      <c r="T71" s="94"/>
      <c r="U71" s="95">
        <f>SUM(K71:T71)</f>
        <v>0.999999999999999</v>
      </c>
    </row>
    <row r="72" ht="18" customHeight="1" spans="1:21">
      <c r="K72" s="53">
        <f>K50</f>
        <v>715</v>
      </c>
      <c r="L72" s="53">
        <f t="shared" ref="L72:T72" si="20">L50</f>
        <v>720</v>
      </c>
      <c r="M72" s="53">
        <f t="shared" si="20"/>
        <v>725</v>
      </c>
      <c r="N72" s="53">
        <f t="shared" si="20"/>
        <v>730</v>
      </c>
      <c r="O72" s="53">
        <f t="shared" si="20"/>
        <v>735</v>
      </c>
      <c r="P72" s="53">
        <f t="shared" si="20"/>
        <v>740</v>
      </c>
      <c r="Q72" s="53">
        <f t="shared" si="20"/>
        <v>745</v>
      </c>
      <c r="R72" s="53">
        <f t="shared" si="20"/>
        <v>750</v>
      </c>
      <c r="S72" s="53">
        <f t="shared" si="20"/>
        <v>755</v>
      </c>
      <c r="T72" s="53">
        <f t="shared" si="20"/>
        <v>760</v>
      </c>
    </row>
    <row r="73" ht="4.8" customHeight="1" spans="1:21">
      <c r="I73" s="96"/>
    </row>
    <row r="74" ht="4.8" customHeight="1" spans="1:21">
      <c r="I74" s="96"/>
    </row>
    <row r="75" ht="4.8" customHeight="1" spans="1:21">
      <c r="I75" s="96"/>
    </row>
    <row r="76" ht="26.4" customHeight="1" spans="1:21">
      <c r="A76" s="97" t="s">
        <v>101</v>
      </c>
      <c r="B76" s="98" t="s">
        <v>89</v>
      </c>
      <c r="C76" s="98" t="str">
        <f>C9</f>
        <v>芜湖</v>
      </c>
      <c r="D76" s="98" t="str">
        <f t="shared" ref="D76:O76" si="21">D9</f>
        <v>厂家2</v>
      </c>
      <c r="E76" s="98" t="str">
        <f t="shared" si="21"/>
        <v>厂家3</v>
      </c>
      <c r="F76" s="98" t="str">
        <f t="shared" si="21"/>
        <v>厂家4</v>
      </c>
      <c r="G76" s="98" t="str">
        <f t="shared" si="21"/>
        <v>厂家5</v>
      </c>
      <c r="H76" s="98" t="str">
        <f t="shared" si="21"/>
        <v>厂家6</v>
      </c>
      <c r="I76" s="98" t="str">
        <f t="shared" si="21"/>
        <v>厂家7</v>
      </c>
      <c r="J76" s="98" t="str">
        <f t="shared" si="21"/>
        <v>厂家8</v>
      </c>
      <c r="K76" s="98" t="str">
        <f t="shared" si="21"/>
        <v>厂家9</v>
      </c>
      <c r="L76" s="98" t="str">
        <f t="shared" si="21"/>
        <v>厂家10</v>
      </c>
      <c r="M76" s="98" t="str">
        <f t="shared" si="21"/>
        <v>厂家11</v>
      </c>
      <c r="N76" s="98" t="str">
        <f t="shared" si="21"/>
        <v>厂家12</v>
      </c>
      <c r="O76" s="98" t="str">
        <f t="shared" si="21"/>
        <v>厂家13</v>
      </c>
    </row>
    <row r="77" ht="17.4" customHeight="1" spans="1:21">
      <c r="A77" s="97"/>
      <c r="B77" s="99">
        <f>C29</f>
        <v>0.247</v>
      </c>
      <c r="C77" s="100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</row>
    <row r="78" ht="17.4" customHeight="1" spans="1:21">
      <c r="A78" s="97"/>
      <c r="B78" s="99">
        <f t="shared" ref="B78:B96" si="22">C30</f>
        <v>0.248</v>
      </c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</row>
    <row r="79" ht="17.4" customHeight="1" spans="1:21">
      <c r="A79" s="97"/>
      <c r="B79" s="99">
        <f t="shared" si="22"/>
        <v>0.249</v>
      </c>
      <c r="C79" s="100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</row>
    <row r="80" ht="17.4" customHeight="1" spans="1:21">
      <c r="A80" s="97"/>
      <c r="B80" s="99">
        <f t="shared" si="22"/>
        <v>0.25</v>
      </c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</row>
    <row r="81" ht="17.4" customHeight="1" spans="1:15">
      <c r="A81" s="97"/>
      <c r="B81" s="99">
        <f t="shared" si="22"/>
        <v>0.251</v>
      </c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</row>
    <row r="82" ht="17.4" customHeight="1" spans="1:15">
      <c r="A82" s="97"/>
      <c r="B82" s="99">
        <f t="shared" si="22"/>
        <v>0.252</v>
      </c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</row>
    <row r="83" ht="17.4" customHeight="1" spans="1:15">
      <c r="A83" s="97"/>
      <c r="B83" s="99">
        <f t="shared" si="22"/>
        <v>0.253</v>
      </c>
      <c r="C83" s="100">
        <v>0.0592672413793103</v>
      </c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</row>
    <row r="84" ht="17.4" customHeight="1" spans="1:15">
      <c r="A84" s="97"/>
      <c r="B84" s="99">
        <f t="shared" si="22"/>
        <v>0.254</v>
      </c>
      <c r="C84" s="100">
        <v>0.174568965517241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</row>
    <row r="85" ht="17.4" customHeight="1" spans="1:15">
      <c r="A85" s="97"/>
      <c r="B85" s="99">
        <f t="shared" si="22"/>
        <v>0.255</v>
      </c>
      <c r="C85" s="100">
        <v>0.264008620689655</v>
      </c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</row>
    <row r="86" ht="17.4" customHeight="1" spans="1:15">
      <c r="A86" s="97"/>
      <c r="B86" s="99">
        <f t="shared" si="22"/>
        <v>0.256</v>
      </c>
      <c r="C86" s="100">
        <v>0.275862068965517</v>
      </c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</row>
    <row r="87" ht="17.4" customHeight="1" spans="1:15">
      <c r="A87" s="97"/>
      <c r="B87" s="99">
        <f t="shared" si="22"/>
        <v>0.257</v>
      </c>
      <c r="C87" s="100">
        <v>0.181034482758621</v>
      </c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</row>
    <row r="88" ht="17.4" customHeight="1" spans="1:15">
      <c r="A88" s="97"/>
      <c r="B88" s="99">
        <f t="shared" si="22"/>
        <v>0.258</v>
      </c>
      <c r="C88" s="100">
        <v>0.03125</v>
      </c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</row>
    <row r="89" ht="17.4" customHeight="1" spans="1:15">
      <c r="A89" s="97"/>
      <c r="B89" s="99">
        <f t="shared" si="22"/>
        <v>0.259</v>
      </c>
      <c r="C89" s="100">
        <v>0.0140086206896552</v>
      </c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  <c r="O89" s="100"/>
    </row>
    <row r="90" ht="17.4" customHeight="1" spans="1:15">
      <c r="A90" s="97"/>
      <c r="B90" s="99">
        <f t="shared" si="22"/>
        <v>0.26</v>
      </c>
      <c r="C90" s="100"/>
      <c r="D90" s="100"/>
      <c r="E90" s="100"/>
      <c r="F90" s="100"/>
      <c r="G90" s="100"/>
      <c r="H90" s="100"/>
      <c r="I90" s="100"/>
      <c r="J90" s="100"/>
      <c r="K90" s="100"/>
      <c r="L90" s="100"/>
      <c r="M90" s="100"/>
      <c r="N90" s="100"/>
      <c r="O90" s="100"/>
    </row>
    <row r="91" ht="17.4" customHeight="1" spans="1:15">
      <c r="A91" s="97"/>
      <c r="B91" s="99">
        <f t="shared" si="22"/>
        <v>0.261</v>
      </c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</row>
    <row r="92" ht="17.4" customHeight="1" spans="1:15">
      <c r="A92" s="97"/>
      <c r="B92" s="99">
        <f t="shared" si="22"/>
        <v>0.262</v>
      </c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</row>
    <row r="93" ht="17.4" customHeight="1" spans="1:15">
      <c r="A93" s="97"/>
      <c r="B93" s="99">
        <f t="shared" si="22"/>
        <v>0.263</v>
      </c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</row>
    <row r="94" ht="17.4" customHeight="1" spans="1:15">
      <c r="A94" s="97"/>
      <c r="B94" s="99">
        <f t="shared" si="22"/>
        <v>0.264</v>
      </c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</row>
    <row r="95" ht="17.4" customHeight="1" spans="1:15">
      <c r="A95" s="97"/>
      <c r="B95" s="99">
        <f t="shared" si="22"/>
        <v>0.265</v>
      </c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</row>
    <row r="96" ht="17.4" customHeight="1" spans="1:15">
      <c r="A96" s="97"/>
      <c r="B96" s="99">
        <f t="shared" si="22"/>
        <v>0.266</v>
      </c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</row>
  </sheetData>
  <sheetProtection formatCells="0" formatColumns="0" formatRows="0" insertRows="0" insertColumns="0" insertHyperlinks="0" deleteColumns="0" deleteRows="0" sort="0" autoFilter="0" pivotTables="0"/>
  <mergeCells count="23">
    <mergeCell ref="A1:F1"/>
    <mergeCell ref="G1:I1"/>
    <mergeCell ref="L1:O1"/>
    <mergeCell ref="Q10:W10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{6ad497a3-f6f2-4f78-968e-4c23cc68dfd7}</x14:id>
        </ext>
      </extLst>
    </cfRule>
  </conditionalFormatting>
  <conditionalFormatting sqref="D3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{22c4e2ca-f2c4-4022-a64e-07a4fdd44374}</x14:id>
        </ext>
      </extLst>
    </cfRule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{ac154b5f-9410-432c-b7c6-1c08bfd50e35}</x14:id>
        </ext>
      </extLst>
    </cfRule>
  </conditionalFormatting>
  <conditionalFormatting sqref="D33:D44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{446589c8-2876-432b-be8a-5bc759520697}</x14:id>
        </ext>
      </extLst>
    </cfRule>
  </conditionalFormatting>
  <conditionalFormatting sqref="D45:D48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{de3e54fb-3c03-4aaf-a9d1-6e5ab7b73e96}</x14:id>
        </ext>
      </extLst>
    </cfRule>
    <cfRule type="dataBar" priority="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{a94d9dae-4d71-4472-924f-d0edd2abc488}</x14:id>
        </ext>
      </extLst>
    </cfRule>
  </conditionalFormatting>
  <conditionalFormatting sqref="D49:D50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{a7fba407-a411-4ce1-abc6-4ca8267d739e}</x14:id>
        </ext>
      </extLst>
    </cfRule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{13c1a385-1fa3-4e49-826f-f24570f28643}</x14:id>
        </ext>
      </extLst>
    </cfRule>
  </conditionalFormatting>
  <conditionalFormatting sqref="D29:D32 D45:D48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{282922da-2bc5-4e9f-9890-a4c477658727}</x14:id>
        </ext>
      </extLst>
    </cfRule>
  </conditionalFormatting>
  <conditionalFormatting sqref="K29:R4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{ad32ce51-fdda-42ba-8b04-2ef40df1e003}</x14:id>
        </ext>
      </extLst>
    </cfRule>
  </conditionalFormatting>
  <conditionalFormatting sqref="K29:T48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{4c0c3b25-dded-4efc-b56c-df7bc797a026}</x14:id>
        </ext>
      </extLst>
    </cfRule>
  </conditionalFormatting>
  <conditionalFormatting sqref="K29:S48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{474e1718-2423-45b7-ae4e-fd3fb3873cca}</x14:id>
        </ext>
      </extLst>
    </cfRule>
  </conditionalFormatting>
  <conditionalFormatting sqref="M29:O30 O35 N31:O34 M31:M48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{1cb32b6f-9e3d-44c4-b3d8-43027653c4c1}</x14:id>
        </ext>
      </extLst>
    </cfRule>
    <cfRule type="colorScale" priority="20">
      <colorScale>
        <cfvo type="percent" val="0"/>
        <cfvo type="percent" val="0"/>
        <color theme="0"/>
        <color theme="0"/>
      </colorScale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{ff9aed43-9f74-420c-a5a7-719a08a87ccd}</x14:id>
        </ext>
      </extLst>
    </cfRule>
    <cfRule type="dataBar" priority="2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{b885d5b7-d1e8-49e8-8af9-ae54cd15fe63}</x14:id>
        </ext>
      </extLst>
    </cfRule>
    <cfRule type="dataBar" priority="2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{4ce439d4-5383-46c1-a2c1-5337276c0fe8}</x14:id>
        </ext>
      </extLst>
    </cfRule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{7cecbab4-fdc1-4f9c-ad14-9ffee0fec7a7}</x14:id>
        </ext>
      </extLst>
    </cfRule>
  </conditionalFormatting>
  <conditionalFormatting sqref="P29:R35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{21986c55-88d0-49bb-a429-578ac829a603}</x14:id>
        </ext>
      </extLst>
    </cfRule>
    <cfRule type="colorScale" priority="13">
      <colorScale>
        <cfvo type="percent" val="0"/>
        <cfvo type="percent" val="0"/>
        <color theme="0"/>
        <color theme="0"/>
      </colorScale>
    </cfRule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{58f240bd-fbfc-4491-a922-7b1f84d19120}</x14:id>
        </ext>
      </extLst>
    </cfRule>
    <cfRule type="dataBar" priority="15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{edb02a2b-2652-4b2e-9804-ab12ab4707c5}</x14:id>
        </ext>
      </extLst>
    </cfRule>
    <cfRule type="dataBar" priority="1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{873ed29c-8f95-42c5-a800-33c7fa68d9e1}</x14:id>
        </ext>
      </extLst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{9ae1b717-9339-4567-8b24-1f2061a6819e}</x14:id>
        </ext>
      </extLst>
    </cfRule>
  </conditionalFormatting>
  <conditionalFormatting sqref="S29:T48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{57ab12e9-e98f-49ee-b02a-6fa5c2ab9051}</x14:id>
        </ext>
      </extLst>
    </cfRule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{8a7d7b4f-10bd-4749-a9c7-8e595d95f355}</x14:id>
        </ext>
      </extLst>
    </cfRule>
    <cfRule type="colorScale" priority="34">
      <colorScale>
        <cfvo type="percent" val="0"/>
        <cfvo type="percent" val="0"/>
        <color theme="0"/>
        <color theme="0"/>
      </colorScale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{2c6132b8-d614-4255-9f67-9f1acbeba078}</x14:id>
        </ext>
      </extLst>
    </cfRule>
    <cfRule type="dataBar" priority="3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{95892e3f-bfe9-4dad-8e8a-035e874743e0}</x14:id>
        </ext>
      </extLst>
    </cfRule>
    <cfRule type="dataBar" priority="37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{0c0d14d6-582e-48b8-9aeb-fd1b3bf23543}</x14:id>
        </ext>
      </extLst>
    </cfRule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{f71eda48-1b28-4764-b4bf-274a50841540}</x14:id>
        </ext>
      </extLst>
    </cfRule>
  </conditionalFormatting>
  <conditionalFormatting sqref="P36:R48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{ff208a2c-fd9c-4781-ba33-106452a800cd}</x14:id>
        </ext>
      </extLst>
    </cfRule>
    <cfRule type="colorScale" priority="26">
      <colorScale>
        <cfvo type="percent" val="0"/>
        <cfvo type="percent" val="0"/>
        <color theme="0"/>
        <color theme="0"/>
      </colorScale>
    </cfRule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{df5c18a8-5325-46c5-9c0c-8ab2f1498e2a}</x14:id>
        </ext>
      </extLst>
    </cfRule>
    <cfRule type="dataBar" priority="2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{a80faa6a-b6b5-4d02-9315-42f98118d55d}</x14:id>
        </ext>
      </extLst>
    </cfRule>
    <cfRule type="dataBar" priority="29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{dbf45511-98be-4c39-9c75-25c62cc0c93f}</x14:id>
        </ext>
      </extLst>
    </cfRule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{5022cbfd-3d74-477a-9794-d87ae186773d}</x14:id>
        </ext>
      </extLst>
    </cfRule>
  </conditionalFormatting>
  <conditionalFormatting sqref="C77:O9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{3d748fd9-313b-4730-8232-c90701fb8fec}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d497a3-f6f2-4f78-968e-4c23cc68dfd7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22c4e2ca-f2c4-4022-a64e-07a4fdd443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c154b5f-9410-432c-b7c6-1c08bfd50e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446589c8-2876-432b-be8a-5bc759520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de3e54fb-3c03-4aaf-a9d1-6e5ab7b73e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94d9dae-4d71-4472-924f-d0edd2abc48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a7fba407-a411-4ce1-abc6-4ca8267d739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3c1a385-1fa3-4e49-826f-f24570f2864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282922da-2bc5-4e9f-9890-a4c47765872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ad32ce51-fdda-42ba-8b04-2ef40df1e0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4c0c3b25-dded-4efc-b56c-df7bc797a0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K29:T48</xm:sqref>
        </x14:conditionalFormatting>
        <x14:conditionalFormatting xmlns:xm="http://schemas.microsoft.com/office/excel/2006/main">
          <x14:cfRule type="dataBar" id="{474e1718-2423-45b7-ae4e-fd3fb3873c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K29:S48</xm:sqref>
        </x14:conditionalFormatting>
        <x14:conditionalFormatting xmlns:xm="http://schemas.microsoft.com/office/excel/2006/main">
          <x14:cfRule type="dataBar" id="{1cb32b6f-9e3d-44c4-b3d8-43027653c4c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f9aed43-9f74-420c-a5a7-719a08a87ccd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b885d5b7-d1e8-49e8-8af9-ae54cd15fe6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ce439d4-5383-46c1-a2c1-5337276c0fe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7cecbab4-fdc1-4f9c-ad14-9ffee0fec7a7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21986c55-88d0-49bb-a429-578ac829a6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58f240bd-fbfc-4491-a922-7b1f84d1912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edb02a2b-2652-4b2e-9804-ab12ab4707c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873ed29c-8f95-42c5-a800-33c7fa68d9e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9ae1b717-9339-4567-8b24-1f2061a6819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57ab12e9-e98f-49ee-b02a-6fa5c2ab90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8a7d7b4f-10bd-4749-a9c7-8e595d95f35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2c6132b8-d614-4255-9f67-9f1acbeba07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95892e3f-bfe9-4dad-8e8a-035e874743e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0c0d14d6-582e-48b8-9aeb-fd1b3bf2354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f71eda48-1b28-4764-b4bf-274a5084154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S29:T48</xm:sqref>
        </x14:conditionalFormatting>
        <x14:conditionalFormatting xmlns:xm="http://schemas.microsoft.com/office/excel/2006/main">
          <x14:cfRule type="dataBar" id="{ff208a2c-fd9c-4781-ba33-106452a800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df5c18a8-5325-46c5-9c0c-8ab2f1498e2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a80faa6a-b6b5-4d02-9315-42f98118d55d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dbf45511-98be-4c39-9c75-25c62cc0c93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5022cbfd-3d74-477a-9794-d87ae186773d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3d748fd9-313b-4730-8232-c90701fb8f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C77:O96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>
    <tabColor theme="8" tint="-0.249977111117893"/>
  </sheetPr>
  <dimension ref="A1:Y96"/>
  <sheetViews>
    <sheetView showGridLines="0" zoomScale="70" zoomScaleNormal="70" workbookViewId="0">
      <selection activeCell="C39" sqref="C39:O40"/>
    </sheetView>
  </sheetViews>
  <sheetFormatPr defaultColWidth="8.44642857142857" defaultRowHeight="13.6"/>
  <cols>
    <col min="1" max="17" width="10.5535714285714" style="17" customWidth="1"/>
    <col min="18" max="18" width="10.5535714285714" style="17" hidden="1" customWidth="1"/>
    <col min="19" max="19" width="10.5535714285714" style="17" customWidth="1"/>
    <col min="20" max="16384" width="8.44642857142857" style="17"/>
  </cols>
  <sheetData>
    <row r="1" s="13" customFormat="1" ht="40.8" customHeight="1" spans="1:25">
      <c r="A1" s="18" t="s">
        <v>151</v>
      </c>
      <c r="B1" s="18"/>
      <c r="C1" s="18"/>
      <c r="D1" s="18"/>
      <c r="E1" s="18"/>
      <c r="F1" s="18"/>
      <c r="G1" s="19" t="s">
        <v>152</v>
      </c>
      <c r="H1" s="19"/>
      <c r="I1" s="19"/>
      <c r="J1" s="19">
        <v>459.2</v>
      </c>
      <c r="K1" s="20" t="s">
        <v>2</v>
      </c>
      <c r="L1" s="20" t="s">
        <v>3</v>
      </c>
      <c r="M1" s="20"/>
      <c r="N1" s="20"/>
      <c r="O1" s="20"/>
      <c r="Q1" s="21"/>
      <c r="R1" s="21"/>
      <c r="S1" s="21"/>
    </row>
    <row r="2" ht="1.95" customHeight="1" spans="1:25">
      <c r="H2" s="22"/>
      <c r="P2" s="13"/>
      <c r="Q2" s="21"/>
      <c r="R2" s="21"/>
      <c r="S2" s="21"/>
    </row>
    <row r="3" s="14" customFormat="1" ht="21.9" customHeight="1" spans="1:25">
      <c r="A3" s="23" t="s">
        <v>4</v>
      </c>
      <c r="B3" s="23">
        <v>0</v>
      </c>
      <c r="C3" s="24">
        <v>0.26</v>
      </c>
      <c r="D3" s="11" t="s">
        <v>153</v>
      </c>
      <c r="E3" s="11" t="s">
        <v>116</v>
      </c>
      <c r="F3" s="11" t="s">
        <v>46</v>
      </c>
      <c r="G3" s="11" t="s">
        <v>5</v>
      </c>
      <c r="H3" s="11" t="s">
        <v>6</v>
      </c>
      <c r="I3" s="11" t="s">
        <v>7</v>
      </c>
      <c r="J3" s="11" t="s">
        <v>8</v>
      </c>
      <c r="K3" s="11" t="s">
        <v>9</v>
      </c>
      <c r="L3" s="11" t="s">
        <v>10</v>
      </c>
      <c r="M3" s="11" t="s">
        <v>11</v>
      </c>
      <c r="N3" s="11" t="s">
        <v>12</v>
      </c>
      <c r="O3" s="11" t="s">
        <v>13</v>
      </c>
      <c r="P3" s="25"/>
      <c r="Q3" s="26"/>
      <c r="R3" s="26"/>
      <c r="S3" s="26"/>
      <c r="T3" s="27"/>
      <c r="U3" s="27"/>
      <c r="V3" s="27"/>
      <c r="W3" s="27"/>
      <c r="X3" s="27"/>
      <c r="Y3" s="27"/>
    </row>
    <row r="4" s="14" customFormat="1" ht="21.9" customHeight="1" spans="1:25">
      <c r="A4" s="23"/>
      <c r="B4" s="23"/>
      <c r="C4" s="24">
        <v>0</v>
      </c>
      <c r="D4" s="12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25"/>
      <c r="Q4" s="26"/>
      <c r="R4" s="26"/>
      <c r="S4" s="26"/>
      <c r="T4" s="27"/>
      <c r="U4" s="27"/>
      <c r="V4" s="27"/>
      <c r="W4" s="27"/>
      <c r="X4" s="27"/>
      <c r="Y4" s="27"/>
    </row>
    <row r="5" ht="1.95" customHeight="1" spans="1:25">
      <c r="P5" s="13"/>
      <c r="Q5" s="21"/>
      <c r="R5" s="21"/>
      <c r="S5" s="21"/>
    </row>
    <row r="6" s="14" customFormat="1" ht="24.6" customHeight="1" spans="1:25">
      <c r="A6" s="23" t="s">
        <v>15</v>
      </c>
      <c r="B6" s="23">
        <v>0</v>
      </c>
      <c r="C6" s="28" t="s">
        <v>18</v>
      </c>
      <c r="D6" s="29" t="s">
        <v>154</v>
      </c>
      <c r="E6" s="29" t="s">
        <v>155</v>
      </c>
      <c r="F6" s="29" t="s">
        <v>156</v>
      </c>
      <c r="G6" s="29" t="s">
        <v>122</v>
      </c>
      <c r="H6" s="29" t="s">
        <v>123</v>
      </c>
      <c r="I6" s="29" t="s">
        <v>124</v>
      </c>
      <c r="J6" s="29" t="s">
        <v>22</v>
      </c>
      <c r="K6" s="29" t="s">
        <v>23</v>
      </c>
      <c r="L6" s="29" t="s">
        <v>24</v>
      </c>
      <c r="M6" s="29" t="s">
        <v>25</v>
      </c>
      <c r="N6" s="29" t="s">
        <v>26</v>
      </c>
      <c r="O6" s="29" t="s">
        <v>27</v>
      </c>
      <c r="P6" s="110" t="s">
        <v>157</v>
      </c>
      <c r="Q6" s="26"/>
      <c r="R6" s="26"/>
      <c r="S6" s="26"/>
      <c r="T6" s="27"/>
      <c r="U6" s="27"/>
      <c r="V6" s="27"/>
      <c r="W6" s="27"/>
      <c r="X6" s="27"/>
      <c r="Y6" s="27"/>
    </row>
    <row r="7" s="14" customFormat="1" ht="24.6" customHeight="1" spans="1:25">
      <c r="A7" s="23"/>
      <c r="B7" s="23"/>
      <c r="C7" s="24">
        <v>0</v>
      </c>
      <c r="D7" s="11">
        <v>2.5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25"/>
      <c r="Q7" s="26"/>
      <c r="R7" s="26"/>
      <c r="S7" s="26"/>
      <c r="T7" s="27"/>
      <c r="U7" s="27"/>
      <c r="V7" s="27"/>
      <c r="W7" s="27"/>
      <c r="X7" s="27"/>
      <c r="Y7" s="27"/>
    </row>
    <row r="8" ht="1.95" customHeight="1" spans="1:25">
      <c r="P8" s="13"/>
      <c r="Q8" s="21"/>
      <c r="R8" s="21"/>
      <c r="S8" s="21"/>
    </row>
    <row r="9" s="14" customFormat="1" ht="22.2" customHeight="1" spans="1:25">
      <c r="A9" s="23" t="s">
        <v>29</v>
      </c>
      <c r="B9" s="23">
        <v>0</v>
      </c>
      <c r="C9" s="24" t="s">
        <v>125</v>
      </c>
      <c r="D9" s="11" t="s">
        <v>126</v>
      </c>
      <c r="E9" s="11" t="s">
        <v>127</v>
      </c>
      <c r="F9" s="11" t="s">
        <v>144</v>
      </c>
      <c r="G9" s="11" t="s">
        <v>145</v>
      </c>
      <c r="H9" s="11" t="s">
        <v>146</v>
      </c>
      <c r="I9" s="11" t="s">
        <v>128</v>
      </c>
      <c r="J9" s="11" t="s">
        <v>129</v>
      </c>
      <c r="K9" s="11" t="s">
        <v>130</v>
      </c>
      <c r="L9" s="11" t="s">
        <v>131</v>
      </c>
      <c r="M9" s="11" t="s">
        <v>132</v>
      </c>
      <c r="N9" s="11" t="s">
        <v>40</v>
      </c>
      <c r="O9" s="11" t="s">
        <v>41</v>
      </c>
      <c r="P9" s="30"/>
      <c r="Q9" s="27"/>
      <c r="R9" s="27"/>
      <c r="S9" s="27"/>
      <c r="T9" s="27"/>
      <c r="U9" s="27"/>
      <c r="V9" s="27"/>
      <c r="W9" s="27"/>
      <c r="X9" s="27"/>
      <c r="Y9" s="27"/>
    </row>
    <row r="10" s="14" customFormat="1" ht="22.2" customHeight="1" spans="1:25">
      <c r="A10" s="23"/>
      <c r="B10" s="23"/>
      <c r="C10" s="24">
        <v>0</v>
      </c>
      <c r="D10" s="11">
        <v>0</v>
      </c>
      <c r="E10" s="11">
        <v>0</v>
      </c>
      <c r="F10" s="31"/>
      <c r="G10" s="31"/>
      <c r="H10" s="31"/>
      <c r="I10" s="31"/>
      <c r="J10" s="31"/>
      <c r="K10" s="32"/>
      <c r="L10" s="31"/>
      <c r="M10" s="31"/>
      <c r="N10" s="31"/>
      <c r="O10" s="31"/>
      <c r="P10" s="25"/>
      <c r="Q10" s="33"/>
      <c r="R10" s="33"/>
      <c r="S10" s="33"/>
      <c r="T10" s="33"/>
      <c r="U10" s="33"/>
      <c r="V10" s="27"/>
      <c r="W10" s="27"/>
      <c r="X10" s="27"/>
      <c r="Y10" s="27"/>
    </row>
    <row r="11" ht="1.95" customHeight="1" spans="1:25">
      <c r="P11" s="13"/>
      <c r="Q11" s="21"/>
      <c r="R11" s="21"/>
      <c r="S11" s="21"/>
    </row>
    <row r="12" s="14" customFormat="1" ht="25.2" customHeight="1" spans="1:25">
      <c r="A12" s="23" t="s">
        <v>43</v>
      </c>
      <c r="B12" s="23">
        <v>0</v>
      </c>
      <c r="C12" s="24" t="s">
        <v>115</v>
      </c>
      <c r="D12" s="34" t="s">
        <v>153</v>
      </c>
      <c r="E12" s="34" t="s">
        <v>116</v>
      </c>
      <c r="F12" s="11" t="s">
        <v>46</v>
      </c>
      <c r="G12" s="11" t="s">
        <v>5</v>
      </c>
      <c r="H12" s="11" t="s">
        <v>6</v>
      </c>
      <c r="I12" s="11" t="s">
        <v>7</v>
      </c>
      <c r="J12" s="11" t="s">
        <v>8</v>
      </c>
      <c r="K12" s="11" t="s">
        <v>9</v>
      </c>
      <c r="L12" s="11" t="s">
        <v>10</v>
      </c>
      <c r="M12" s="11" t="s">
        <v>11</v>
      </c>
      <c r="N12" s="11" t="s">
        <v>12</v>
      </c>
      <c r="O12" s="11" t="s">
        <v>13</v>
      </c>
      <c r="P12" s="35"/>
      <c r="Q12" s="26"/>
      <c r="R12" s="26"/>
      <c r="S12" s="26"/>
      <c r="T12" s="27"/>
      <c r="U12" s="27"/>
      <c r="V12" s="27"/>
      <c r="W12" s="27"/>
      <c r="X12" s="27"/>
      <c r="Y12" s="27"/>
    </row>
    <row r="13" s="14" customFormat="1" ht="21.9" customHeight="1" spans="1:25">
      <c r="A13" s="23"/>
      <c r="B13" s="23"/>
      <c r="C13" s="24">
        <v>0</v>
      </c>
      <c r="D13" s="34"/>
      <c r="E13" s="34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25"/>
      <c r="Q13" s="26"/>
      <c r="R13" s="26"/>
      <c r="S13" s="26"/>
      <c r="T13" s="27"/>
      <c r="U13" s="27"/>
      <c r="V13" s="27"/>
      <c r="W13" s="27"/>
      <c r="X13" s="27"/>
      <c r="Y13" s="27"/>
    </row>
    <row r="14" s="14" customFormat="1" ht="21.9" customHeight="1" spans="1:25">
      <c r="A14" s="23" t="s">
        <v>47</v>
      </c>
      <c r="B14" s="23">
        <v>38184</v>
      </c>
      <c r="C14" s="24">
        <v>38184</v>
      </c>
      <c r="D14" s="34"/>
      <c r="E14" s="34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25"/>
      <c r="Q14" s="26"/>
      <c r="R14" s="26"/>
      <c r="S14" s="26"/>
      <c r="T14" s="27"/>
      <c r="U14" s="27"/>
      <c r="V14" s="27"/>
      <c r="W14" s="27"/>
      <c r="X14" s="27"/>
      <c r="Y14" s="27"/>
    </row>
    <row r="15" s="14" customFormat="1" ht="21.9" customHeight="1" spans="1:25">
      <c r="A15" s="23" t="s">
        <v>48</v>
      </c>
      <c r="B15" s="23">
        <v>1</v>
      </c>
      <c r="C15" s="24">
        <v>1</v>
      </c>
      <c r="D15" s="34"/>
      <c r="E15" s="34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25"/>
      <c r="Q15" s="26"/>
      <c r="R15" s="26"/>
      <c r="S15" s="26"/>
      <c r="T15" s="27"/>
      <c r="U15" s="27"/>
      <c r="V15" s="27"/>
      <c r="W15" s="27"/>
      <c r="X15" s="27"/>
      <c r="Y15" s="27"/>
    </row>
    <row r="16" ht="1.95" customHeight="1" spans="1:25">
      <c r="P16" s="13"/>
      <c r="Q16" s="21"/>
      <c r="R16" s="21"/>
      <c r="S16" s="21"/>
    </row>
    <row r="17" s="14" customFormat="1" ht="36" customHeight="1" spans="1:25">
      <c r="A17" s="23" t="s">
        <v>49</v>
      </c>
      <c r="B17" s="36">
        <v>-2.2</v>
      </c>
      <c r="C17" s="37" t="s">
        <v>50</v>
      </c>
      <c r="D17" s="37" t="s">
        <v>51</v>
      </c>
      <c r="E17" s="38" t="s">
        <v>52</v>
      </c>
      <c r="F17" s="37" t="s">
        <v>53</v>
      </c>
      <c r="G17" s="37" t="s">
        <v>54</v>
      </c>
      <c r="H17" s="37" t="s">
        <v>55</v>
      </c>
      <c r="I17" s="37" t="s">
        <v>56</v>
      </c>
      <c r="J17" s="37" t="s">
        <v>57</v>
      </c>
      <c r="K17" s="37" t="s">
        <v>9</v>
      </c>
      <c r="L17" s="37" t="s">
        <v>10</v>
      </c>
      <c r="M17" s="37" t="s">
        <v>11</v>
      </c>
      <c r="N17" s="37" t="s">
        <v>12</v>
      </c>
      <c r="O17" s="37" t="s">
        <v>13</v>
      </c>
      <c r="P17" s="25"/>
      <c r="Q17" s="26"/>
      <c r="R17" s="26"/>
      <c r="S17" s="27"/>
      <c r="T17" s="27"/>
      <c r="U17" s="27"/>
      <c r="V17" s="27"/>
      <c r="W17" s="27"/>
      <c r="X17" s="27"/>
      <c r="Y17" s="27"/>
    </row>
    <row r="18" s="14" customFormat="1" ht="21.9" customHeight="1" spans="1:25">
      <c r="A18" s="23"/>
      <c r="B18" s="39"/>
      <c r="C18" s="11">
        <v>0</v>
      </c>
      <c r="D18" s="11">
        <v>-0.2</v>
      </c>
      <c r="E18" s="24">
        <v>-2.2</v>
      </c>
      <c r="F18" s="11">
        <v>-2.8</v>
      </c>
      <c r="G18" s="11">
        <v>0.2</v>
      </c>
      <c r="H18" s="11">
        <v>0.15</v>
      </c>
      <c r="I18" s="11">
        <v>-1.4</v>
      </c>
      <c r="J18" s="11">
        <v>-1.8</v>
      </c>
      <c r="K18" s="11"/>
      <c r="L18" s="11"/>
      <c r="M18" s="11"/>
      <c r="N18" s="11"/>
      <c r="O18" s="11"/>
      <c r="P18" s="25"/>
      <c r="Q18" s="26"/>
      <c r="R18" s="26"/>
      <c r="S18" s="27"/>
      <c r="T18" s="27"/>
      <c r="U18" s="27"/>
      <c r="V18" s="27"/>
      <c r="W18" s="27"/>
      <c r="X18" s="27"/>
      <c r="Y18" s="27"/>
    </row>
    <row r="19" ht="2.1" customHeight="1" spans="1:25">
      <c r="P19" s="13"/>
      <c r="Q19" s="21"/>
      <c r="R19" s="21"/>
      <c r="S19" s="21"/>
    </row>
    <row r="20" s="14" customFormat="1" ht="34.8" customHeight="1" spans="1:25">
      <c r="A20" s="23" t="s">
        <v>58</v>
      </c>
      <c r="B20" s="23">
        <v>1.5</v>
      </c>
      <c r="C20" s="29" t="s">
        <v>59</v>
      </c>
      <c r="D20" s="29" t="s">
        <v>60</v>
      </c>
      <c r="E20" s="29" t="s">
        <v>61</v>
      </c>
      <c r="F20" s="29" t="s">
        <v>62</v>
      </c>
      <c r="G20" s="46" t="s">
        <v>63</v>
      </c>
      <c r="H20" s="29" t="s">
        <v>64</v>
      </c>
      <c r="I20" s="29" t="s">
        <v>65</v>
      </c>
      <c r="J20" s="11" t="s">
        <v>158</v>
      </c>
      <c r="K20" s="11" t="s">
        <v>66</v>
      </c>
      <c r="L20" s="11" t="s">
        <v>67</v>
      </c>
      <c r="M20" s="11" t="s">
        <v>68</v>
      </c>
      <c r="N20" s="11" t="s">
        <v>69</v>
      </c>
      <c r="O20" s="11" t="s">
        <v>70</v>
      </c>
      <c r="P20" s="30"/>
      <c r="Q20" s="26"/>
      <c r="R20" s="26"/>
      <c r="S20" s="26"/>
      <c r="T20" s="27"/>
      <c r="U20" s="27"/>
      <c r="V20" s="27"/>
      <c r="W20" s="27"/>
      <c r="X20" s="27"/>
      <c r="Y20" s="27"/>
    </row>
    <row r="21" s="14" customFormat="1" ht="21.6" customHeight="1" spans="1:25">
      <c r="A21" s="23"/>
      <c r="B21" s="23"/>
      <c r="C21" s="11">
        <v>0</v>
      </c>
      <c r="D21" s="11">
        <v>0.4</v>
      </c>
      <c r="E21" s="11">
        <v>0.9</v>
      </c>
      <c r="F21" s="11">
        <v>1.2</v>
      </c>
      <c r="G21" s="104">
        <v>1.5</v>
      </c>
      <c r="H21" s="11">
        <v>0.2</v>
      </c>
      <c r="I21" s="11">
        <v>0.5</v>
      </c>
      <c r="J21" s="11"/>
      <c r="K21" s="11"/>
      <c r="L21" s="11"/>
      <c r="M21" s="11"/>
      <c r="N21" s="11"/>
      <c r="O21" s="11"/>
      <c r="P21" s="41"/>
      <c r="Q21" s="42"/>
      <c r="R21" s="42"/>
      <c r="S21" s="42"/>
      <c r="T21" s="43"/>
      <c r="U21" s="27"/>
      <c r="V21" s="27"/>
      <c r="W21" s="27"/>
      <c r="X21" s="27"/>
      <c r="Y21" s="27"/>
    </row>
    <row r="22" ht="2.1" customHeight="1" spans="1:25">
      <c r="P22" s="13"/>
      <c r="Q22" s="21"/>
      <c r="R22" s="21"/>
      <c r="S22" s="21"/>
    </row>
    <row r="23" s="14" customFormat="1" ht="21.6" hidden="1" customHeight="1" spans="1:25">
      <c r="A23" s="23" t="s">
        <v>105</v>
      </c>
      <c r="B23" s="23">
        <v>0</v>
      </c>
      <c r="C23" s="28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30"/>
      <c r="Q23" s="26"/>
      <c r="R23" s="26"/>
      <c r="S23" s="26"/>
      <c r="T23" s="27"/>
      <c r="U23" s="27"/>
      <c r="V23" s="27"/>
      <c r="W23" s="27"/>
    </row>
    <row r="24" s="14" customFormat="1" ht="21.6" hidden="1" customHeight="1" spans="1:25">
      <c r="A24" s="23"/>
      <c r="B24" s="23"/>
      <c r="C24" s="24"/>
      <c r="D24" s="11"/>
      <c r="E24" s="11"/>
      <c r="F24" s="11"/>
      <c r="G24" s="40"/>
      <c r="H24" s="40"/>
      <c r="I24" s="11"/>
      <c r="J24" s="11"/>
      <c r="K24" s="11"/>
      <c r="L24" s="11"/>
      <c r="M24" s="11"/>
      <c r="N24" s="11"/>
      <c r="O24" s="11"/>
      <c r="P24" s="44"/>
      <c r="Q24" s="45"/>
      <c r="R24" s="45"/>
      <c r="S24" s="45"/>
      <c r="T24" s="27"/>
      <c r="U24" s="27"/>
      <c r="V24" s="27"/>
      <c r="W24" s="27"/>
    </row>
    <row r="25" ht="2.1" hidden="1" customHeight="1" spans="1:25">
      <c r="P25" s="13"/>
      <c r="Q25" s="21"/>
      <c r="R25" s="21"/>
      <c r="S25" s="21"/>
    </row>
    <row r="26" s="14" customFormat="1" ht="21.6" customHeight="1" spans="1:25">
      <c r="A26" s="23" t="s">
        <v>73</v>
      </c>
      <c r="B26" s="23">
        <v>-4</v>
      </c>
      <c r="C26" s="29" t="s">
        <v>75</v>
      </c>
      <c r="D26" s="111" t="s">
        <v>74</v>
      </c>
      <c r="E26" s="29" t="s">
        <v>159</v>
      </c>
      <c r="F26" s="29" t="s">
        <v>160</v>
      </c>
      <c r="G26" s="29" t="s">
        <v>77</v>
      </c>
      <c r="H26" s="29" t="s">
        <v>78</v>
      </c>
      <c r="I26" s="29" t="s">
        <v>79</v>
      </c>
      <c r="J26" s="29" t="s">
        <v>80</v>
      </c>
      <c r="K26" s="29" t="s">
        <v>81</v>
      </c>
      <c r="L26" s="29" t="s">
        <v>82</v>
      </c>
      <c r="M26" s="29" t="s">
        <v>83</v>
      </c>
      <c r="N26" s="29" t="s">
        <v>84</v>
      </c>
      <c r="O26" s="29" t="s">
        <v>85</v>
      </c>
      <c r="P26" s="47"/>
      <c r="Q26" s="26"/>
      <c r="R26" s="26"/>
      <c r="S26" s="26"/>
      <c r="T26" s="27"/>
      <c r="U26" s="27"/>
      <c r="V26" s="27"/>
      <c r="W26" s="27"/>
      <c r="X26" s="27"/>
      <c r="Y26" s="27"/>
    </row>
    <row r="27" s="14" customFormat="1" ht="21.6" customHeight="1" spans="1:25">
      <c r="A27" s="23"/>
      <c r="B27" s="23"/>
      <c r="C27" s="49">
        <v>-2.23</v>
      </c>
      <c r="D27" s="112">
        <v>-4</v>
      </c>
      <c r="E27" s="27"/>
      <c r="F27" s="49"/>
      <c r="G27" s="50"/>
      <c r="H27" s="50"/>
      <c r="I27" s="49"/>
      <c r="J27" s="49"/>
      <c r="K27" s="49"/>
      <c r="L27" s="49"/>
      <c r="M27" s="49"/>
      <c r="N27" s="49"/>
      <c r="O27" s="49"/>
      <c r="P27" s="44"/>
      <c r="Q27" s="45"/>
      <c r="R27" s="45"/>
      <c r="S27" s="45"/>
      <c r="T27" s="27"/>
      <c r="U27" s="27"/>
      <c r="V27" s="27"/>
      <c r="W27" s="27"/>
      <c r="X27" s="27"/>
      <c r="Y27" s="27"/>
    </row>
    <row r="28" s="15" customFormat="1" ht="22.2" customHeight="1" spans="1:25">
      <c r="A28" s="51" t="s">
        <v>87</v>
      </c>
      <c r="B28" s="51" t="s">
        <v>88</v>
      </c>
      <c r="C28" s="51" t="s">
        <v>89</v>
      </c>
      <c r="D28" s="51" t="s">
        <v>90</v>
      </c>
      <c r="E28" s="51">
        <v>33081</v>
      </c>
      <c r="F28" s="51" t="s">
        <v>91</v>
      </c>
      <c r="G28" s="51" t="s">
        <v>92</v>
      </c>
      <c r="H28" s="51" t="s">
        <v>93</v>
      </c>
      <c r="I28" s="51" t="s">
        <v>94</v>
      </c>
      <c r="J28" s="52" t="s">
        <v>95</v>
      </c>
      <c r="K28" s="53">
        <v>440</v>
      </c>
      <c r="L28" s="53">
        <v>445</v>
      </c>
      <c r="M28" s="53">
        <v>450</v>
      </c>
      <c r="N28" s="53">
        <v>455</v>
      </c>
      <c r="O28" s="53">
        <v>460</v>
      </c>
      <c r="P28" s="53">
        <v>465</v>
      </c>
      <c r="Q28" s="53">
        <v>470</v>
      </c>
      <c r="R28" s="53">
        <v>475</v>
      </c>
      <c r="S28" s="54" t="s">
        <v>96</v>
      </c>
    </row>
    <row r="29" s="14" customFormat="1" ht="18" customHeight="1" spans="1:25">
      <c r="A29" s="55" t="s">
        <v>161</v>
      </c>
      <c r="B29" s="55" t="s">
        <v>98</v>
      </c>
      <c r="C29" s="56">
        <v>0.253</v>
      </c>
      <c r="D29" s="57"/>
      <c r="E29" s="58">
        <v>38184</v>
      </c>
      <c r="F29" s="59">
        <f t="shared" ref="F29:F48" si="0">C29*E29/1000</f>
        <v>9.660552</v>
      </c>
      <c r="G29" s="59">
        <f>F29*48</f>
        <v>463.706496</v>
      </c>
      <c r="H29" s="60">
        <f>I29/G29</f>
        <v>0.96425731276894</v>
      </c>
      <c r="I29" s="61">
        <f>G29*(H30+0.15%)</f>
        <v>447.132379746461</v>
      </c>
      <c r="J29" s="61"/>
      <c r="K29" s="62">
        <f>(NORMSDIST((I29-$K$28)/B15)-NORMSDIST((I29-$L$28)/B15))</f>
        <v>0.0164878205081592</v>
      </c>
      <c r="L29" s="62">
        <f>(NORMSDIST((I29-$L$28)/B15)-NORMSDIST((I29-$M$28)/B15))</f>
        <v>0.981444321478932</v>
      </c>
      <c r="M29" s="63">
        <f>(NORMSDIST((I29-$M$28)/B15)-NORMSDIST((I29-$N$28)/B15))</f>
        <v>0.00206785801241326</v>
      </c>
      <c r="N29" s="63">
        <f>(NORMSDIST((I29-$N$28)/B15)-NORMSDIST((I29-$O$28)/B15))</f>
        <v>1.80725386688822e-15</v>
      </c>
      <c r="O29" s="63">
        <f>(NORMSDIST((I29-$O$28)/B15)-NORMSDIST((I29-$P$28)/B15))</f>
        <v>3.42398287486631e-38</v>
      </c>
      <c r="P29" s="63">
        <f>(NORMSDIST((I29-$P$28)/B15)-NORMSDIST((I29-$Q$28)/B15))</f>
        <v>1.05398476047185e-71</v>
      </c>
      <c r="Q29" s="63">
        <f>(NORMSDIST((I29-$Q$28)/B15)-NORMSDIST((I29-$R$28)/B15))</f>
        <v>4.88065301328621e-116</v>
      </c>
      <c r="R29" s="63"/>
      <c r="S29" s="64">
        <f t="shared" ref="S29:S48" si="1">SUM(K29:R29)</f>
        <v>0.999999999999507</v>
      </c>
    </row>
    <row r="30" s="14" customFormat="1" ht="18" customHeight="1" spans="1:25">
      <c r="A30" s="65"/>
      <c r="B30" s="65"/>
      <c r="C30" s="56">
        <f t="shared" ref="C30:C48" si="2">C29+0.1%</f>
        <v>0.254</v>
      </c>
      <c r="D30" s="66"/>
      <c r="E30" s="58">
        <v>38184</v>
      </c>
      <c r="F30" s="59">
        <f t="shared" si="0"/>
        <v>9.698736</v>
      </c>
      <c r="G30" s="59">
        <f t="shared" ref="G30:G37" si="3">F30*48</f>
        <v>465.539328</v>
      </c>
      <c r="H30" s="60">
        <f t="shared" ref="H30:H48" si="4">I30/G30</f>
        <v>0.96275731276894</v>
      </c>
      <c r="I30" s="61">
        <f t="shared" ref="I30:I35" si="5">G30*(H31+0.15%)</f>
        <v>448.201392413538</v>
      </c>
      <c r="J30" s="61"/>
      <c r="K30" s="62">
        <f>(NORMSDIST((I30-$K$28)/B15)-NORMSDIST((I30-$L$28)/B15))</f>
        <v>0.00068382568701586</v>
      </c>
      <c r="L30" s="62">
        <f>(NORMSDIST((I30-$L$28)/B15)-NORMSDIST((I30-$M$28)/B15))</f>
        <v>0.963275786088407</v>
      </c>
      <c r="M30" s="63">
        <f>(NORMSDIST((I30-$M$28)/B15)-NORMSDIST((I30-$N$28)/B15))</f>
        <v>0.0360403882192949</v>
      </c>
      <c r="N30" s="63">
        <f>(NORMSDIST((I30-$N$28)/B15)-NORMSDIST((I30-$O$28)/B15))</f>
        <v>5.28175563641643e-12</v>
      </c>
      <c r="O30" s="63">
        <f>(NORMSDIST((I30-$O$28)/B15)-NORMSDIST((I30-$P$28)/B15))</f>
        <v>1.98411614268529e-32</v>
      </c>
      <c r="P30" s="63">
        <f>(NORMSDIST((I30-$P$28)/B15)-NORMSDIST((I30-$Q$28)/B15))</f>
        <v>1.24920217758807e-63</v>
      </c>
      <c r="Q30" s="63">
        <f>(NORMSDIST((I30-$Q$28)/B15)-NORMSDIST((I30-$R$28)/B15))</f>
        <v>1.19591343151707e-105</v>
      </c>
      <c r="R30" s="63"/>
      <c r="S30" s="64">
        <f t="shared" si="1"/>
        <v>1</v>
      </c>
    </row>
    <row r="31" s="14" customFormat="1" ht="18" customHeight="1" spans="1:25">
      <c r="A31" s="65"/>
      <c r="B31" s="65"/>
      <c r="C31" s="56">
        <f t="shared" si="2"/>
        <v>0.255</v>
      </c>
      <c r="D31" s="67"/>
      <c r="E31" s="58">
        <v>38184</v>
      </c>
      <c r="F31" s="59">
        <f t="shared" si="0"/>
        <v>9.73692</v>
      </c>
      <c r="G31" s="59">
        <f t="shared" si="3"/>
        <v>467.37216</v>
      </c>
      <c r="H31" s="60">
        <f t="shared" si="4"/>
        <v>0.96125731276894</v>
      </c>
      <c r="I31" s="61">
        <f t="shared" si="5"/>
        <v>449.264906584615</v>
      </c>
      <c r="J31" s="68"/>
      <c r="K31" s="62">
        <f>(NORMSDIST((I31-$K$28)/B15)-NORMSDIST((I31-$L$28)/B15))</f>
        <v>9.99929280087741e-6</v>
      </c>
      <c r="L31" s="62">
        <f>(NORMSDIST((I31-$L$28)/B15)-NORMSDIST((I31-$M$28)/B15))</f>
        <v>0.768848698597853</v>
      </c>
      <c r="M31" s="63">
        <f>(NORMSDIST((I31-$M$28)/B15)-NORMSDIST((I31-$N$28)/B15))</f>
        <v>0.231141297236415</v>
      </c>
      <c r="N31" s="69">
        <f>(NORMSDIST((I31-$N$28)/B15)-NORMSDIST((I31-$O$28)/B15))</f>
        <v>4.87293078291658e-9</v>
      </c>
      <c r="O31" s="69">
        <f>(NORMSDIST((I31-$O$28)/B15)-NORMSDIST((I31-$P$28)/B15))</f>
        <v>3.48242468164994e-27</v>
      </c>
      <c r="P31" s="63">
        <f>(NORMSDIST((I31-$P$28)/B15)-NORMSDIST((I31-$Q$28)/B15))</f>
        <v>4.34641739991698e-56</v>
      </c>
      <c r="Q31" s="63">
        <f>(NORMSDIST((I31-$Q$28)/B15)-NORMSDIST((I31-$R$28)/B15))</f>
        <v>8.35650945735531e-96</v>
      </c>
      <c r="R31" s="63"/>
      <c r="S31" s="64">
        <f t="shared" si="1"/>
        <v>1</v>
      </c>
    </row>
    <row r="32" s="16" customFormat="1" ht="18" customHeight="1" spans="1:25">
      <c r="A32" s="65"/>
      <c r="B32" s="65"/>
      <c r="C32" s="56">
        <f t="shared" si="2"/>
        <v>0.256</v>
      </c>
      <c r="D32" s="67"/>
      <c r="E32" s="58">
        <v>38184</v>
      </c>
      <c r="F32" s="70">
        <f t="shared" si="0"/>
        <v>9.775104</v>
      </c>
      <c r="G32" s="59">
        <f t="shared" si="3"/>
        <v>469.204992</v>
      </c>
      <c r="H32" s="71">
        <f t="shared" si="4"/>
        <v>0.95975731276894</v>
      </c>
      <c r="I32" s="61">
        <f t="shared" si="5"/>
        <v>450.322922259692</v>
      </c>
      <c r="J32" s="72"/>
      <c r="K32" s="73">
        <f>(NORMSDIST((I32-$K$28)/B15)-NORMSDIST((I32-$L$28)/B15))</f>
        <v>5.10566960931769e-8</v>
      </c>
      <c r="L32" s="73">
        <f>(NORMSDIST((I32-$L$28)/B15)-NORMSDIST((I32-$M$28)/B15))</f>
        <v>0.373377007888452</v>
      </c>
      <c r="M32" s="73">
        <f>(NORMSDIST((I32-$M$28)/B15)-NORMSDIST((I32-$N$28)/B15))</f>
        <v>0.626621486095041</v>
      </c>
      <c r="N32" s="73">
        <f>(NORMSDIST((I32-$N$28)/B15)-NORMSDIST((I32-$O$28)/B15))</f>
        <v>1.45495981098926e-6</v>
      </c>
      <c r="O32" s="73">
        <f>(NORMSDIST((I32-$O$28)/B15)-NORMSDIST((I32-$P$28)/B15))</f>
        <v>1.88673782881654e-22</v>
      </c>
      <c r="P32" s="73">
        <f>(NORMSDIST((I32-$P$28)/B15)-NORMSDIST((I32-$Q$28)/B15))</f>
        <v>4.52016771793321e-49</v>
      </c>
      <c r="Q32" s="73">
        <f>(NORMSDIST((I32-$Q$28)/B15)-NORMSDIST((I32-$R$28)/B15))</f>
        <v>1.69496927233796e-86</v>
      </c>
      <c r="R32" s="73"/>
      <c r="S32" s="64">
        <f t="shared" si="1"/>
        <v>1</v>
      </c>
    </row>
    <row r="33" s="14" customFormat="1" ht="18" customHeight="1" spans="1:19">
      <c r="A33" s="65"/>
      <c r="B33" s="65"/>
      <c r="C33" s="56">
        <f t="shared" si="2"/>
        <v>0.257</v>
      </c>
      <c r="D33" s="74"/>
      <c r="E33" s="58">
        <v>38184</v>
      </c>
      <c r="F33" s="59">
        <f t="shared" si="0"/>
        <v>9.813288</v>
      </c>
      <c r="G33" s="59">
        <f t="shared" si="3"/>
        <v>471.037824</v>
      </c>
      <c r="H33" s="60">
        <f t="shared" si="4"/>
        <v>0.95825731276894</v>
      </c>
      <c r="I33" s="61">
        <f t="shared" si="5"/>
        <v>451.375439438769</v>
      </c>
      <c r="J33" s="72"/>
      <c r="K33" s="62">
        <f>(NORMSDIST((I33-$K$28)/B15)-NORMSDIST((I33-$L$28)/B15))</f>
        <v>9.12195874391841e-11</v>
      </c>
      <c r="L33" s="62">
        <f>(NORMSDIST((I33-$L$28)/B15)-NORMSDIST((I33-$M$28)/B15))</f>
        <v>0.0844976244385686</v>
      </c>
      <c r="M33" s="63">
        <f>(NORMSDIST((I33-$M$28)/B15)-NORMSDIST((I33-$N$28)/B15))</f>
        <v>0.915357648875253</v>
      </c>
      <c r="N33" s="63">
        <f>(NORMSDIST((I33-$N$28)/B15)-NORMSDIST((I33-$O$28)/B15))</f>
        <v>0.000144726594958991</v>
      </c>
      <c r="O33" s="63">
        <f>(NORMSDIST((I33-$O$28)/B15)-NORMSDIST((I33-$P$28)/B15))</f>
        <v>3.21696129779161e-18</v>
      </c>
      <c r="P33" s="63">
        <f>(NORMSDIST((I33-$P$28)/B15)-NORMSDIST((I33-$Q$28)/B15))</f>
        <v>1.4306367671839e-42</v>
      </c>
      <c r="Q33" s="63">
        <f>(NORMSDIST((I33-$Q$28)/B15)-NORMSDIST((I33-$R$28)/B15))</f>
        <v>1.01576498344332e-77</v>
      </c>
      <c r="R33" s="63"/>
      <c r="S33" s="64">
        <f t="shared" si="1"/>
        <v>1</v>
      </c>
    </row>
    <row r="34" s="14" customFormat="1" ht="18" customHeight="1" spans="1:19">
      <c r="A34" s="65"/>
      <c r="B34" s="65"/>
      <c r="C34" s="56">
        <f t="shared" si="2"/>
        <v>0.258</v>
      </c>
      <c r="D34" s="76"/>
      <c r="E34" s="58">
        <v>38184</v>
      </c>
      <c r="F34" s="59">
        <f t="shared" si="0"/>
        <v>9.851472</v>
      </c>
      <c r="G34" s="59">
        <f t="shared" si="3"/>
        <v>472.870656</v>
      </c>
      <c r="H34" s="60">
        <f t="shared" si="4"/>
        <v>0.95675731276894</v>
      </c>
      <c r="I34" s="61">
        <f t="shared" si="5"/>
        <v>452.422458121846</v>
      </c>
      <c r="J34" s="75"/>
      <c r="K34" s="62">
        <f>(NORMSDIST((I34-$K$28)/B15)-NORMSDIST((I34-$L$28)/B15))</f>
        <v>5.75095526755831e-14</v>
      </c>
      <c r="L34" s="62">
        <f>(NORMSDIST((I34-$L$28)/B15)-NORMSDIST((I34-$M$28)/B15))</f>
        <v>0.00770795124415791</v>
      </c>
      <c r="M34" s="63">
        <f>(NORMSDIST((I34-$M$28)/B15)-NORMSDIST((I34-$N$28)/B15))</f>
        <v>0.987316757593283</v>
      </c>
      <c r="N34" s="63">
        <f>(NORMSDIST((I34-$N$28)/B15)-NORMSDIST((I34-$O$28)/B15))</f>
        <v>0.00497529116248438</v>
      </c>
      <c r="O34" s="63">
        <f>(NORMSDIST((I34-$O$28)/B15)-NORMSDIST((I34-$P$28)/B15))</f>
        <v>1.76081682299249e-14</v>
      </c>
      <c r="P34" s="63">
        <f>(NORMSDIST((I34-$P$28)/B15)-NORMSDIST((I34-$Q$28)/B15))</f>
        <v>1.4031331764421e-36</v>
      </c>
      <c r="Q34" s="63">
        <f>(NORMSDIST((I34-$Q$28)/B15)-NORMSDIST((I34-$R$28)/B15))</f>
        <v>1.83053963488542e-69</v>
      </c>
      <c r="R34" s="63"/>
      <c r="S34" s="64">
        <f t="shared" si="1"/>
        <v>1</v>
      </c>
    </row>
    <row r="35" s="14" customFormat="1" ht="18" customHeight="1" spans="1:19">
      <c r="A35" s="65"/>
      <c r="B35" s="65"/>
      <c r="C35" s="56">
        <f t="shared" si="2"/>
        <v>0.259</v>
      </c>
      <c r="D35" s="76"/>
      <c r="E35" s="58">
        <v>38184</v>
      </c>
      <c r="F35" s="59">
        <f t="shared" si="0"/>
        <v>9.889656</v>
      </c>
      <c r="G35" s="59">
        <f t="shared" si="3"/>
        <v>474.703488</v>
      </c>
      <c r="H35" s="60">
        <f t="shared" si="4"/>
        <v>0.955257312768941</v>
      </c>
      <c r="I35" s="61">
        <f t="shared" si="5"/>
        <v>453.463978308923</v>
      </c>
      <c r="J35" s="77"/>
      <c r="K35" s="62">
        <f>(NORMSDIST((I35-$K$28)/B15)-NORMSDIST((I35-$L$28)/B15))</f>
        <v>0</v>
      </c>
      <c r="L35" s="62">
        <f>(NORMSDIST((I35-$L$28)/B15)-NORMSDIST((I35-$M$28)/B15))</f>
        <v>0.000266124713546922</v>
      </c>
      <c r="M35" s="63">
        <f>(NORMSDIST((I35-$M$28)/B15)-NORMSDIST((I35-$N$28)/B15))</f>
        <v>0.93746734503802</v>
      </c>
      <c r="N35" s="63">
        <f>(NORMSDIST((I35-$N$28)/B15)-NORMSDIST((I35-$O$28)/B15))</f>
        <v>0.0622665302168452</v>
      </c>
      <c r="O35" s="63">
        <f>(NORMSDIST((I35-$O$28)/B15)-NORMSDIST((I35-$P$28)/B15))</f>
        <v>3.15883784471985e-11</v>
      </c>
      <c r="P35" s="63">
        <f>(NORMSDIST((I35-$P$28)/B15)-NORMSDIST((I35-$Q$28)/B15))</f>
        <v>4.34249280993028e-31</v>
      </c>
      <c r="Q35" s="63">
        <f>(NORMSDIST((I35-$Q$28)/B15)-NORMSDIST((I35-$R$28)/B15))</f>
        <v>1.00962609599512e-61</v>
      </c>
      <c r="R35" s="63"/>
      <c r="S35" s="64">
        <f t="shared" si="1"/>
        <v>1</v>
      </c>
    </row>
    <row r="36" s="16" customFormat="1" ht="18" customHeight="1" spans="1:19">
      <c r="A36" s="65"/>
      <c r="B36" s="65"/>
      <c r="C36" s="78">
        <f t="shared" si="2"/>
        <v>0.26</v>
      </c>
      <c r="D36" s="76">
        <v>0.0774693055489119</v>
      </c>
      <c r="E36" s="79">
        <v>38184</v>
      </c>
      <c r="F36" s="80">
        <f t="shared" si="0"/>
        <v>9.92784</v>
      </c>
      <c r="G36" s="80">
        <f t="shared" si="3"/>
        <v>476.53632</v>
      </c>
      <c r="H36" s="81">
        <f t="shared" si="4"/>
        <v>0.953757312768941</v>
      </c>
      <c r="I36" s="82">
        <v>454.5</v>
      </c>
      <c r="J36" s="82" t="s">
        <v>99</v>
      </c>
      <c r="K36" s="83">
        <f>(NORMSDIST((I36-$K$28)/B15)-NORMSDIST((I36-$L$28)/B15))</f>
        <v>0</v>
      </c>
      <c r="L36" s="83">
        <f>(NORMSDIST((I36-$L$28)/B15)-NORMSDIST((I36-$M$28)/B15))</f>
        <v>3.39767312473871e-6</v>
      </c>
      <c r="M36" s="84">
        <f>(NORMSDIST((I36-$M$28)/B15)-NORMSDIST((I36-$N$28)/B15))</f>
        <v>0.691459063600888</v>
      </c>
      <c r="N36" s="84">
        <f>(NORMSDIST((I36-$N$28)/B15)-NORMSDIST((I36-$O$28)/B15))</f>
        <v>0.308537519736424</v>
      </c>
      <c r="O36" s="84">
        <f>(NORMSDIST((I36-$O$28)/B15)-NORMSDIST((I36-$P$28)/B15))</f>
        <v>1.89895624658877e-8</v>
      </c>
      <c r="P36" s="84">
        <f>(NORMSDIST((I36-$P$28)/B15)-NORMSDIST((I36-$Q$28)/B15))</f>
        <v>4.31900631780923e-26</v>
      </c>
      <c r="Q36" s="84">
        <f>(NORMSDIST((I36-$Q$28)/B15)-NORMSDIST((I36-$R$28)/B15))</f>
        <v>1.73446079179387e-54</v>
      </c>
      <c r="R36" s="84"/>
      <c r="S36" s="85">
        <f t="shared" si="1"/>
        <v>1</v>
      </c>
    </row>
    <row r="37" s="14" customFormat="1" ht="18" customHeight="1" spans="1:19">
      <c r="A37" s="65"/>
      <c r="B37" s="65"/>
      <c r="C37" s="56">
        <f t="shared" si="2"/>
        <v>0.261</v>
      </c>
      <c r="D37" s="76">
        <v>0.263945094894464</v>
      </c>
      <c r="E37" s="58">
        <v>38184</v>
      </c>
      <c r="F37" s="59">
        <f t="shared" si="0"/>
        <v>9.966024</v>
      </c>
      <c r="G37" s="59">
        <f t="shared" si="3"/>
        <v>478.369152</v>
      </c>
      <c r="H37" s="60">
        <f t="shared" si="4"/>
        <v>0.952257312768941</v>
      </c>
      <c r="I37" s="61">
        <f>G37*(H36-0.15%)</f>
        <v>455.530523195077</v>
      </c>
      <c r="J37" s="75"/>
      <c r="K37" s="62">
        <f>(NORMSDIST((I37-$K$28)/B15)-NORMSDIST((I37-$L$28)/B15))</f>
        <v>0</v>
      </c>
      <c r="L37" s="62">
        <f>(NORMSDIST((I37-$L$28)/B15)-NORMSDIST((I37-$M$28)/B15))</f>
        <v>1.59638537944318e-8</v>
      </c>
      <c r="M37" s="63">
        <f>(NORMSDIST((I37-$M$28)/B15)-NORMSDIST((I37-$N$28)/B15))</f>
        <v>0.297874599738828</v>
      </c>
      <c r="N37" s="63">
        <f>(NORMSDIST((I37-$N$28)/B15)-NORMSDIST((I37-$O$28)/B15))</f>
        <v>0.702121463739248</v>
      </c>
      <c r="O37" s="63">
        <f>(NORMSDIST((I37-$O$28)/B15)-NORMSDIST((I37-$P$28)/B15))</f>
        <v>3.92055806963736e-6</v>
      </c>
      <c r="P37" s="63">
        <f>(NORMSDIST((I37-$P$28)/B15)-NORMSDIST((I37-$Q$28)/B15))</f>
        <v>1.40624418116583e-21</v>
      </c>
      <c r="Q37" s="63">
        <f>(NORMSDIST((I37-$Q$28)/B15)-NORMSDIST((I37-$R$28)/B15))</f>
        <v>9.44517894590774e-48</v>
      </c>
      <c r="R37" s="63"/>
      <c r="S37" s="64">
        <f t="shared" si="1"/>
        <v>1</v>
      </c>
    </row>
    <row r="38" s="14" customFormat="1" ht="18" customHeight="1" spans="1:19">
      <c r="A38" s="65"/>
      <c r="B38" s="65"/>
      <c r="C38" s="56">
        <f t="shared" si="2"/>
        <v>0.262</v>
      </c>
      <c r="D38" s="76">
        <v>0.392800050363027</v>
      </c>
      <c r="E38" s="58">
        <v>38184</v>
      </c>
      <c r="F38" s="59">
        <f t="shared" si="0"/>
        <v>10.004208</v>
      </c>
      <c r="G38" s="59">
        <f t="shared" ref="G38:G48" si="6">F38*48</f>
        <v>480.201984</v>
      </c>
      <c r="H38" s="60">
        <f t="shared" si="4"/>
        <v>0.950757312768941</v>
      </c>
      <c r="I38" s="61">
        <f t="shared" ref="I38:I48" si="7">G38*(H37-0.15%)</f>
        <v>456.555547894154</v>
      </c>
      <c r="J38" s="61"/>
      <c r="K38" s="62">
        <f>(NORMSDIST((I38-$K$28)/B15)-NORMSDIST((I38-$L$28)/B15))</f>
        <v>0</v>
      </c>
      <c r="L38" s="62">
        <f>(NORMSDIST((I38-$L$28)/B15)-NORMSDIST((I38-$M$28)/B15))</f>
        <v>2.77189382558163e-11</v>
      </c>
      <c r="M38" s="63">
        <f>(NORMSDIST((I38-$M$28)/B15)-NORMSDIST((I38-$N$28)/B15))</f>
        <v>0.0599078186201826</v>
      </c>
      <c r="N38" s="63">
        <f>(NORMSDIST((I38-$N$28)/B15)-NORMSDIST((I38-$O$28)/B15))</f>
        <v>0.939806072350622</v>
      </c>
      <c r="O38" s="63">
        <f>(NORMSDIST((I38-$O$28)/B15)-NORMSDIST((I38-$P$28)/B15))</f>
        <v>0.000286109001476201</v>
      </c>
      <c r="P38" s="63">
        <f>(NORMSDIST((I38-$P$28)/B15)-NORMSDIST((I38-$Q$28)/B15))</f>
        <v>1.52737387198453e-17</v>
      </c>
      <c r="Q38" s="63">
        <f>(NORMSDIST((I38-$Q$28)/B15)-NORMSDIST((I38-$R$28)/B15))</f>
        <v>1.65927313253357e-41</v>
      </c>
      <c r="R38" s="63"/>
      <c r="S38" s="64">
        <f t="shared" si="1"/>
        <v>1</v>
      </c>
    </row>
    <row r="39" s="14" customFormat="1" ht="18" customHeight="1" spans="1:19">
      <c r="A39" s="65"/>
      <c r="B39" s="65"/>
      <c r="C39" s="56">
        <f t="shared" si="2"/>
        <v>0.263</v>
      </c>
      <c r="D39" s="76">
        <v>0.224587026016574</v>
      </c>
      <c r="E39" s="58">
        <v>38184</v>
      </c>
      <c r="F39" s="59">
        <f t="shared" si="0"/>
        <v>10.042392</v>
      </c>
      <c r="G39" s="59">
        <f t="shared" si="6"/>
        <v>482.034816</v>
      </c>
      <c r="H39" s="60">
        <f t="shared" si="4"/>
        <v>0.949257312768941</v>
      </c>
      <c r="I39" s="61">
        <f t="shared" si="7"/>
        <v>457.575074097231</v>
      </c>
      <c r="J39" s="61"/>
      <c r="K39" s="62">
        <f>(NORMSDIST((I39-$K$28)/B15)-NORMSDIST((I39-$L$28)/B15))</f>
        <v>0</v>
      </c>
      <c r="L39" s="62">
        <f>(NORMSDIST((I39-$L$28)/B15)-NORMSDIST((I39-$M$28)/B15))</f>
        <v>1.79856129989275e-14</v>
      </c>
      <c r="M39" s="63">
        <f>(NORMSDIST((I39-$M$28)/B15)-NORMSDIST((I39-$N$28)/B15))</f>
        <v>0.00501093071645375</v>
      </c>
      <c r="N39" s="63">
        <f>(NORMSDIST((I39-$N$28)/B15)-NORMSDIST((I39-$O$28)/B15))</f>
        <v>0.987333313515731</v>
      </c>
      <c r="O39" s="63">
        <f>(NORMSDIST((I39-$O$28)/B15)-NORMSDIST((I39-$P$28)/B15))</f>
        <v>0.00765575576774087</v>
      </c>
      <c r="P39" s="63">
        <f>(NORMSDIST((I39-$P$28)/B15)-NORMSDIST((I39-$Q$28)/B15))</f>
        <v>5.64215343644802e-14</v>
      </c>
      <c r="Q39" s="63">
        <f>(NORMSDIST((I39-$Q$28)/B15)-NORMSDIST((I39-$R$28)/B15))</f>
        <v>9.57018445419687e-36</v>
      </c>
      <c r="R39" s="63"/>
      <c r="S39" s="64">
        <f t="shared" si="1"/>
        <v>1</v>
      </c>
    </row>
    <row r="40" s="14" customFormat="1" ht="18" customHeight="1" spans="1:19">
      <c r="A40" s="65"/>
      <c r="B40" s="65"/>
      <c r="C40" s="56">
        <f t="shared" si="2"/>
        <v>0.264</v>
      </c>
      <c r="D40" s="76">
        <v>0.0411985231770231</v>
      </c>
      <c r="E40" s="58">
        <v>38184</v>
      </c>
      <c r="F40" s="59">
        <f t="shared" si="0"/>
        <v>10.080576</v>
      </c>
      <c r="G40" s="59">
        <f t="shared" si="6"/>
        <v>483.867648</v>
      </c>
      <c r="H40" s="60">
        <f t="shared" si="4"/>
        <v>0.947757312768941</v>
      </c>
      <c r="I40" s="61">
        <f t="shared" si="7"/>
        <v>458.589101804308</v>
      </c>
      <c r="J40" s="61"/>
      <c r="K40" s="62">
        <f>(NORMSDIST((I40-$K$28)/B15)-NORMSDIST((I40-$L$28)/B15))</f>
        <v>0</v>
      </c>
      <c r="L40" s="62">
        <f>(NORMSDIST((I40-$L$28)/B15)-NORMSDIST((I40-$M$28)/B15))</f>
        <v>0</v>
      </c>
      <c r="M40" s="63">
        <f>(NORMSDIST((I40-$M$28)/B15)-NORMSDIST((I40-$N$28)/B15))</f>
        <v>0.000165909625703065</v>
      </c>
      <c r="N40" s="63">
        <f>(NORMSDIST((I40-$N$28)/B15)-NORMSDIST((I40-$O$28)/B15))</f>
        <v>0.920696773235608</v>
      </c>
      <c r="O40" s="63">
        <f>(NORMSDIST((I40-$O$28)/B15)-NORMSDIST((I40-$P$28)/B15))</f>
        <v>0.0791373170663567</v>
      </c>
      <c r="P40" s="63">
        <f>(NORMSDIST((I40-$P$28)/B15)-NORMSDIST((I40-$Q$28)/B15))</f>
        <v>7.23323893946189e-11</v>
      </c>
      <c r="Q40" s="63">
        <f>(NORMSDIST((I40-$Q$28)/B15)-NORMSDIST((I40-$R$28)/B15))</f>
        <v>1.84450090869416e-30</v>
      </c>
      <c r="R40" s="63"/>
      <c r="S40" s="64">
        <f t="shared" si="1"/>
        <v>1</v>
      </c>
    </row>
    <row r="41" s="14" customFormat="1" ht="18" customHeight="1" spans="1:19">
      <c r="A41" s="65"/>
      <c r="B41" s="65"/>
      <c r="C41" s="56">
        <f t="shared" si="2"/>
        <v>0.265</v>
      </c>
      <c r="D41" s="76">
        <v>0</v>
      </c>
      <c r="E41" s="58">
        <v>38184</v>
      </c>
      <c r="F41" s="59">
        <f t="shared" si="0"/>
        <v>10.11876</v>
      </c>
      <c r="G41" s="59">
        <f t="shared" si="6"/>
        <v>485.70048</v>
      </c>
      <c r="H41" s="60">
        <f t="shared" si="4"/>
        <v>0.946257312768941</v>
      </c>
      <c r="I41" s="61">
        <f t="shared" si="7"/>
        <v>459.597631015385</v>
      </c>
      <c r="J41" s="61"/>
      <c r="K41" s="62">
        <f>(NORMSDIST((I41-$K$28)/B15)-NORMSDIST((I41-$L$28)/B15))</f>
        <v>0</v>
      </c>
      <c r="L41" s="62">
        <f>(NORMSDIST((I41-$L$28)/B15)-NORMSDIST((I41-$M$28)/B15))</f>
        <v>0</v>
      </c>
      <c r="M41" s="63">
        <f>(NORMSDIST((I41-$M$28)/B15)-NORMSDIST((I41-$N$28)/B15))</f>
        <v>2.13660957526507e-6</v>
      </c>
      <c r="N41" s="63">
        <f>(NORMSDIST((I41-$N$28)/B15)-NORMSDIST((I41-$O$28)/B15))</f>
        <v>0.656291617259574</v>
      </c>
      <c r="O41" s="63">
        <f>(NORMSDIST((I41-$O$28)/B15)-NORMSDIST((I41-$P$28)/B15))</f>
        <v>0.343706213247605</v>
      </c>
      <c r="P41" s="63">
        <f>(NORMSDIST((I41-$P$28)/B15)-NORMSDIST((I41-$Q$28)/B15))</f>
        <v>3.28832451599624e-8</v>
      </c>
      <c r="Q41" s="63">
        <f>(NORMSDIST((I41-$Q$28)/B15)-NORMSDIST((I41-$R$28)/B15))</f>
        <v>1.20922298621992e-25</v>
      </c>
      <c r="R41" s="63"/>
      <c r="S41" s="64">
        <f t="shared" si="1"/>
        <v>1</v>
      </c>
    </row>
    <row r="42" s="14" customFormat="1" ht="18" customHeight="1" spans="1:19">
      <c r="A42" s="65"/>
      <c r="B42" s="65"/>
      <c r="C42" s="56">
        <f t="shared" si="2"/>
        <v>0.266</v>
      </c>
      <c r="D42" s="76">
        <v>0</v>
      </c>
      <c r="E42" s="58">
        <v>38184</v>
      </c>
      <c r="F42" s="59">
        <f t="shared" si="0"/>
        <v>10.156944</v>
      </c>
      <c r="G42" s="59">
        <f t="shared" si="6"/>
        <v>487.533312</v>
      </c>
      <c r="H42" s="60">
        <f t="shared" si="4"/>
        <v>0.944757312768941</v>
      </c>
      <c r="I42" s="61">
        <f t="shared" si="7"/>
        <v>460.600661730462</v>
      </c>
      <c r="J42" s="61"/>
      <c r="K42" s="62">
        <f>(NORMSDIST((I42-$K$28)/B15)-NORMSDIST((I42-$L$28)/B15))</f>
        <v>0</v>
      </c>
      <c r="L42" s="62">
        <f>(NORMSDIST((I42-$L$28)/B15)-NORMSDIST((I42-$M$28)/B15))</f>
        <v>0</v>
      </c>
      <c r="M42" s="63">
        <f>(NORMSDIST((I42-$M$28)/B15)-NORMSDIST((I42-$N$28)/B15))</f>
        <v>1.06767537033647e-8</v>
      </c>
      <c r="N42" s="63">
        <f>(NORMSDIST((I42-$N$28)/B15)-NORMSDIST((I42-$O$28)/B15))</f>
        <v>0.274032645987713</v>
      </c>
      <c r="O42" s="63">
        <f>(NORMSDIST((I42-$O$28)/B15)-NORMSDIST((I42-$P$28)/B15))</f>
        <v>0.725961914262382</v>
      </c>
      <c r="P42" s="63">
        <f>(NORMSDIST((I42-$P$28)/B15)-NORMSDIST((I42-$Q$28)/B15))</f>
        <v>5.42907315125393e-6</v>
      </c>
      <c r="Q42" s="63">
        <f>(NORMSDIST((I42-$Q$28)/B15)-NORMSDIST((I42-$R$28)/B15))</f>
        <v>2.7453648194304e-21</v>
      </c>
      <c r="R42" s="63"/>
      <c r="S42" s="64">
        <f t="shared" si="1"/>
        <v>1</v>
      </c>
    </row>
    <row r="43" s="14" customFormat="1" ht="18" customHeight="1" spans="1:19">
      <c r="A43" s="65"/>
      <c r="B43" s="65"/>
      <c r="C43" s="56">
        <f t="shared" si="2"/>
        <v>0.267</v>
      </c>
      <c r="D43" s="76">
        <v>0</v>
      </c>
      <c r="E43" s="58">
        <v>38184</v>
      </c>
      <c r="F43" s="59">
        <f t="shared" si="0"/>
        <v>10.195128</v>
      </c>
      <c r="G43" s="59">
        <f t="shared" si="6"/>
        <v>489.366144</v>
      </c>
      <c r="H43" s="60">
        <f t="shared" si="4"/>
        <v>0.943257312768941</v>
      </c>
      <c r="I43" s="61">
        <f t="shared" si="7"/>
        <v>461.598193949539</v>
      </c>
      <c r="J43" s="61"/>
      <c r="K43" s="62">
        <f>(NORMSDIST((I43-$K$28)/B15)-NORMSDIST((I43-$L$28)/B15))</f>
        <v>0</v>
      </c>
      <c r="L43" s="62">
        <f>(NORMSDIST((I43-$L$28)/B15)-NORMSDIST((I43-$M$28)/B15))</f>
        <v>0</v>
      </c>
      <c r="M43" s="63">
        <f>(NORMSDIST((I43-$M$28)/B15)-NORMSDIST((I43-$N$28)/B15))</f>
        <v>2.0809798328969e-11</v>
      </c>
      <c r="N43" s="63">
        <f>(NORMSDIST((I43-$N$28)/B15)-NORMSDIST((I43-$O$28)/B15))</f>
        <v>0.05499990991613</v>
      </c>
      <c r="O43" s="63">
        <f>(NORMSDIST((I43-$O$28)/B15)-NORMSDIST((I43-$P$28)/B15))</f>
        <v>0.944665379427373</v>
      </c>
      <c r="P43" s="63">
        <f>(NORMSDIST((I43-$P$28)/B15)-NORMSDIST((I43-$Q$28)/B15))</f>
        <v>0.000334710635686742</v>
      </c>
      <c r="Q43" s="63">
        <f>(NORMSDIST((I43-$Q$28)/B15)-NORMSDIST((I43-$R$28)/B15))</f>
        <v>2.198317853066e-17</v>
      </c>
      <c r="R43" s="63"/>
      <c r="S43" s="64">
        <f t="shared" si="1"/>
        <v>1</v>
      </c>
    </row>
    <row r="44" s="14" customFormat="1" ht="18" hidden="1" customHeight="1" spans="1:19">
      <c r="A44" s="65"/>
      <c r="B44" s="65"/>
      <c r="C44" s="56">
        <f t="shared" si="2"/>
        <v>0.268</v>
      </c>
      <c r="D44" s="76"/>
      <c r="E44" s="58">
        <v>38184</v>
      </c>
      <c r="F44" s="59">
        <f t="shared" si="0"/>
        <v>10.233312</v>
      </c>
      <c r="G44" s="59">
        <f t="shared" si="6"/>
        <v>491.198976</v>
      </c>
      <c r="H44" s="60">
        <f t="shared" si="4"/>
        <v>0.941757312768941</v>
      </c>
      <c r="I44" s="61">
        <f t="shared" si="7"/>
        <v>462.590227672616</v>
      </c>
      <c r="J44" s="61"/>
      <c r="K44" s="62">
        <f>(NORMSDIST((I44-$K$28)/B15)-NORMSDIST((I44-$L$28)/B15))</f>
        <v>0</v>
      </c>
      <c r="L44" s="62">
        <f>(NORMSDIST((I44-$L$28)/B15)-NORMSDIST((I44-$M$28)/B15))</f>
        <v>0</v>
      </c>
      <c r="M44" s="63">
        <f>(NORMSDIST((I44-$M$28)/B15)-NORMSDIST((I44-$N$28)/B15))</f>
        <v>1.59872115546023e-14</v>
      </c>
      <c r="N44" s="63">
        <f>(NORMSDIST((I44-$N$28)/B15)-NORMSDIST((I44-$O$28)/B15))</f>
        <v>0.00479562376265708</v>
      </c>
      <c r="O44" s="63">
        <f>(NORMSDIST((I44-$O$28)/B15)-NORMSDIST((I44-$P$28)/B15))</f>
        <v>0.987223137148617</v>
      </c>
      <c r="P44" s="63">
        <f>(NORMSDIST((I44-$P$28)/B15)-NORMSDIST((I44-$Q$28)/B15))</f>
        <v>0.00798123908864672</v>
      </c>
      <c r="Q44" s="63">
        <f>(NORMSDIST((I44-$Q$28)/B15)-NORMSDIST((I44-$R$28)/B15))</f>
        <v>6.32582121630556e-14</v>
      </c>
      <c r="R44" s="63"/>
      <c r="S44" s="64">
        <f t="shared" si="1"/>
        <v>1</v>
      </c>
    </row>
    <row r="45" s="14" customFormat="1" ht="18" hidden="1" customHeight="1" spans="1:19">
      <c r="A45" s="65"/>
      <c r="B45" s="65"/>
      <c r="C45" s="56">
        <f t="shared" si="2"/>
        <v>0.269</v>
      </c>
      <c r="D45" s="87"/>
      <c r="E45" s="58">
        <v>38184</v>
      </c>
      <c r="F45" s="59">
        <f t="shared" si="0"/>
        <v>10.271496</v>
      </c>
      <c r="G45" s="59">
        <f t="shared" si="6"/>
        <v>493.031808</v>
      </c>
      <c r="H45" s="60">
        <f t="shared" si="4"/>
        <v>0.940257312768941</v>
      </c>
      <c r="I45" s="61">
        <f t="shared" si="7"/>
        <v>463.576762899693</v>
      </c>
      <c r="J45" s="61"/>
      <c r="K45" s="62">
        <f>(NORMSDIST((I45-$K$28)/B15)-NORMSDIST((I45-$L$28)/B15))</f>
        <v>0</v>
      </c>
      <c r="L45" s="62">
        <f>(NORMSDIST((I45-$L$28)/B15)-NORMSDIST((I45-$M$28)/B15))</f>
        <v>0</v>
      </c>
      <c r="M45" s="63">
        <f>(NORMSDIST((I45-$M$28)/B15)-NORMSDIST((I45-$N$28)/B15))</f>
        <v>0</v>
      </c>
      <c r="N45" s="63">
        <f>(NORMSDIST((I45-$N$28)/B15)-NORMSDIST((I45-$O$28)/B15))</f>
        <v>0.000173937718298434</v>
      </c>
      <c r="O45" s="63">
        <f>(NORMSDIST((I45-$O$28)/B15)-NORMSDIST((I45-$P$28)/B15))</f>
        <v>0.922492345291141</v>
      </c>
      <c r="P45" s="63">
        <f>(NORMSDIST((I45-$P$28)/B15)-NORMSDIST((I45-$Q$28)/B15))</f>
        <v>0.0773337169238578</v>
      </c>
      <c r="Q45" s="63">
        <f>(NORMSDIST((I45-$Q$28)/B15)-NORMSDIST((I45-$R$28)/B15))</f>
        <v>6.67032260841221e-11</v>
      </c>
      <c r="R45" s="63"/>
      <c r="S45" s="64">
        <f t="shared" si="1"/>
        <v>1</v>
      </c>
    </row>
    <row r="46" s="14" customFormat="1" ht="18" hidden="1" customHeight="1" spans="1:19">
      <c r="A46" s="65"/>
      <c r="B46" s="65"/>
      <c r="C46" s="56">
        <f t="shared" si="2"/>
        <v>0.27</v>
      </c>
      <c r="D46" s="87"/>
      <c r="E46" s="58">
        <v>38184</v>
      </c>
      <c r="F46" s="59">
        <f t="shared" si="0"/>
        <v>10.30968</v>
      </c>
      <c r="G46" s="59">
        <f t="shared" si="6"/>
        <v>494.86464</v>
      </c>
      <c r="H46" s="60">
        <f t="shared" si="4"/>
        <v>0.938757312768941</v>
      </c>
      <c r="I46" s="61">
        <f t="shared" si="7"/>
        <v>464.55779963077</v>
      </c>
      <c r="J46" s="61"/>
      <c r="K46" s="62">
        <f>(NORMSDIST((I46-$K$28)/B15)-NORMSDIST((I46-$L$28)/B15))</f>
        <v>0</v>
      </c>
      <c r="L46" s="62">
        <f>(NORMSDIST((I46-$L$28)/B15)-NORMSDIST((I46-$M$28)/B15))</f>
        <v>0</v>
      </c>
      <c r="M46" s="63">
        <f>(NORMSDIST((I46-$M$28)/B15)-NORMSDIST((I46-$N$28)/B15))</f>
        <v>0</v>
      </c>
      <c r="N46" s="63">
        <f>(NORMSDIST((I46-$N$28)/B15)-NORMSDIST((I46-$O$28)/B15))</f>
        <v>2.58461579361047e-6</v>
      </c>
      <c r="O46" s="63">
        <f>(NORMSDIST((I46-$O$28)/B15)-NORMSDIST((I46-$P$28)/B15))</f>
        <v>0.670825305927398</v>
      </c>
      <c r="P46" s="63">
        <f>(NORMSDIST((I46-$P$28)/B15)-NORMSDIST((I46-$Q$28)/B15))</f>
        <v>0.329172083143592</v>
      </c>
      <c r="Q46" s="63">
        <f>(NORMSDIST((I46-$Q$28)/B15)-NORMSDIST((I46-$R$28)/B15))</f>
        <v>2.63132161241289e-8</v>
      </c>
      <c r="R46" s="63"/>
      <c r="S46" s="64">
        <f t="shared" si="1"/>
        <v>1</v>
      </c>
    </row>
    <row r="47" s="14" customFormat="1" ht="18" hidden="1" customHeight="1" spans="1:19">
      <c r="A47" s="65"/>
      <c r="B47" s="65"/>
      <c r="C47" s="56">
        <f t="shared" si="2"/>
        <v>0.271</v>
      </c>
      <c r="D47" s="87"/>
      <c r="E47" s="58">
        <v>38184</v>
      </c>
      <c r="F47" s="59">
        <f t="shared" si="0"/>
        <v>10.347864</v>
      </c>
      <c r="G47" s="59">
        <f t="shared" si="6"/>
        <v>496.697472</v>
      </c>
      <c r="H47" s="60">
        <f t="shared" si="4"/>
        <v>0.937257312768941</v>
      </c>
      <c r="I47" s="61">
        <f t="shared" si="7"/>
        <v>465.533337865847</v>
      </c>
      <c r="J47" s="61"/>
      <c r="K47" s="62">
        <f>(NORMSDIST((I47-$K$28)/B15)-NORMSDIST((I47-$L$28)/B15))</f>
        <v>0</v>
      </c>
      <c r="L47" s="62">
        <f>(NORMSDIST((I47-$L$28)/B15)-NORMSDIST((I47-$M$28)/B15))</f>
        <v>0</v>
      </c>
      <c r="M47" s="63">
        <f>(NORMSDIST((I47-$M$28)/B15)-NORMSDIST((I47-$N$28)/B15))</f>
        <v>0</v>
      </c>
      <c r="N47" s="63">
        <f>(NORMSDIST((I47-$N$28)/B15)-NORMSDIST((I47-$O$28)/B15))</f>
        <v>1.57096706754345e-8</v>
      </c>
      <c r="O47" s="63">
        <f>(NORMSDIST((I47-$O$28)/B15)-NORMSDIST((I47-$P$28)/B15))</f>
        <v>0.296899844402218</v>
      </c>
      <c r="P47" s="63">
        <f>(NORMSDIST((I47-$P$28)/B15)-NORMSDIST((I47-$Q$28)/B15))</f>
        <v>0.703096167415383</v>
      </c>
      <c r="Q47" s="63">
        <f>(NORMSDIST((I47-$Q$28)/B15)-NORMSDIST((I47-$R$28)/B15))</f>
        <v>3.97247272832663e-6</v>
      </c>
      <c r="R47" s="63"/>
      <c r="S47" s="64">
        <f t="shared" si="1"/>
        <v>1</v>
      </c>
    </row>
    <row r="48" s="14" customFormat="1" ht="18" hidden="1" customHeight="1" spans="1:19">
      <c r="A48" s="65"/>
      <c r="B48" s="65"/>
      <c r="C48" s="56">
        <f t="shared" si="2"/>
        <v>0.272</v>
      </c>
      <c r="D48" s="87"/>
      <c r="E48" s="58">
        <v>38184</v>
      </c>
      <c r="F48" s="59">
        <f t="shared" si="0"/>
        <v>10.386048</v>
      </c>
      <c r="G48" s="59">
        <f t="shared" si="6"/>
        <v>498.530304</v>
      </c>
      <c r="H48" s="60">
        <f t="shared" si="4"/>
        <v>0.935757312768941</v>
      </c>
      <c r="I48" s="61">
        <f t="shared" si="7"/>
        <v>466.503377604923</v>
      </c>
      <c r="J48" s="61"/>
      <c r="K48" s="62">
        <f>(NORMSDIST((I48-$K$28)/B15)-NORMSDIST((I48-$L$28)/B15))</f>
        <v>0</v>
      </c>
      <c r="L48" s="62">
        <f>(NORMSDIST((I48-$L$28)/B15)-NORMSDIST((I48-$M$28)/B15))</f>
        <v>0</v>
      </c>
      <c r="M48" s="63">
        <f>(NORMSDIST((I48-$M$28)/B15)-NORMSDIST((I48-$N$28)/B15))</f>
        <v>0</v>
      </c>
      <c r="N48" s="63">
        <f>(NORMSDIST((I48-$N$28)/B15)-NORMSDIST((I48-$O$28)/B15))</f>
        <v>3.92681442917819e-11</v>
      </c>
      <c r="O48" s="63">
        <f>(NORMSDIST((I48-$O$28)/B15)-NORMSDIST((I48-$P$28)/B15))</f>
        <v>0.0663708490937275</v>
      </c>
      <c r="P48" s="63">
        <f>(NORMSDIST((I48-$P$28)/B15)-NORMSDIST((I48-$Q$28)/B15))</f>
        <v>0.933393556724832</v>
      </c>
      <c r="Q48" s="63">
        <f>(NORMSDIST((I48-$Q$28)/B15)-NORMSDIST((I48-$R$28)/B15))</f>
        <v>0.000235594142171952</v>
      </c>
      <c r="R48" s="63"/>
      <c r="S48" s="64">
        <f t="shared" si="1"/>
        <v>1</v>
      </c>
    </row>
    <row r="49" s="14" customFormat="1" ht="9.6" customHeight="1" spans="4:19">
      <c r="D49" s="88"/>
    </row>
    <row r="50" s="14" customFormat="1" ht="18" customHeight="1" spans="4:19">
      <c r="D50" s="89"/>
      <c r="I50" s="90" t="s">
        <v>90</v>
      </c>
      <c r="J50" s="90" t="s">
        <v>89</v>
      </c>
      <c r="K50" s="53">
        <f>K28</f>
        <v>440</v>
      </c>
      <c r="L50" s="53">
        <f t="shared" ref="L50:R50" si="8">L28</f>
        <v>445</v>
      </c>
      <c r="M50" s="53">
        <f t="shared" si="8"/>
        <v>450</v>
      </c>
      <c r="N50" s="53">
        <f t="shared" si="8"/>
        <v>455</v>
      </c>
      <c r="O50" s="53">
        <f t="shared" si="8"/>
        <v>460</v>
      </c>
      <c r="P50" s="53">
        <f t="shared" si="8"/>
        <v>465</v>
      </c>
      <c r="Q50" s="53">
        <f t="shared" si="8"/>
        <v>470</v>
      </c>
      <c r="R50" s="53">
        <f t="shared" si="8"/>
        <v>475</v>
      </c>
      <c r="S50" s="54" t="s">
        <v>96</v>
      </c>
    </row>
    <row r="51" s="14" customFormat="1" ht="18" customHeight="1" spans="4:19">
      <c r="I51" s="91">
        <f t="shared" ref="I51:I70" si="9">D29</f>
        <v>0</v>
      </c>
      <c r="J51" s="56">
        <f t="shared" ref="J51:J70" si="10">C29</f>
        <v>0.253</v>
      </c>
      <c r="K51" s="63">
        <f t="shared" ref="K51:K70" si="11">D29*K29</f>
        <v>0</v>
      </c>
      <c r="L51" s="63">
        <f t="shared" ref="L51:L70" si="12">D29*L29</f>
        <v>0</v>
      </c>
      <c r="M51" s="63">
        <f t="shared" ref="M51:M70" si="13">D29*M29</f>
        <v>0</v>
      </c>
      <c r="N51" s="63">
        <f t="shared" ref="N51:N70" si="14">D29*N29</f>
        <v>0</v>
      </c>
      <c r="O51" s="63">
        <f t="shared" ref="O51:O70" si="15">D29*O29</f>
        <v>0</v>
      </c>
      <c r="P51" s="63">
        <f t="shared" ref="P51:P70" si="16">D29*P29</f>
        <v>0</v>
      </c>
      <c r="Q51" s="63">
        <f t="shared" ref="Q51:Q70" si="17">D29*Q29</f>
        <v>0</v>
      </c>
      <c r="R51" s="63"/>
      <c r="S51" s="64"/>
    </row>
    <row r="52" s="14" customFormat="1" ht="18" customHeight="1" spans="4:19">
      <c r="I52" s="91">
        <f t="shared" si="9"/>
        <v>0</v>
      </c>
      <c r="J52" s="56">
        <f t="shared" si="10"/>
        <v>0.254</v>
      </c>
      <c r="K52" s="63">
        <f t="shared" si="11"/>
        <v>0</v>
      </c>
      <c r="L52" s="63">
        <f t="shared" si="12"/>
        <v>0</v>
      </c>
      <c r="M52" s="63">
        <f t="shared" si="13"/>
        <v>0</v>
      </c>
      <c r="N52" s="63">
        <f t="shared" si="14"/>
        <v>0</v>
      </c>
      <c r="O52" s="63">
        <f t="shared" si="15"/>
        <v>0</v>
      </c>
      <c r="P52" s="63">
        <f t="shared" si="16"/>
        <v>0</v>
      </c>
      <c r="Q52" s="63">
        <f t="shared" si="17"/>
        <v>0</v>
      </c>
      <c r="R52" s="63"/>
      <c r="S52" s="64"/>
    </row>
    <row r="53" s="14" customFormat="1" ht="18" customHeight="1" spans="4:19">
      <c r="I53" s="91">
        <f t="shared" si="9"/>
        <v>0</v>
      </c>
      <c r="J53" s="56">
        <f t="shared" si="10"/>
        <v>0.255</v>
      </c>
      <c r="K53" s="63">
        <f t="shared" si="11"/>
        <v>0</v>
      </c>
      <c r="L53" s="63">
        <f t="shared" si="12"/>
        <v>0</v>
      </c>
      <c r="M53" s="63">
        <f t="shared" si="13"/>
        <v>0</v>
      </c>
      <c r="N53" s="63">
        <f t="shared" si="14"/>
        <v>0</v>
      </c>
      <c r="O53" s="63">
        <f t="shared" si="15"/>
        <v>0</v>
      </c>
      <c r="P53" s="63">
        <f t="shared" si="16"/>
        <v>0</v>
      </c>
      <c r="Q53" s="63">
        <f t="shared" si="17"/>
        <v>0</v>
      </c>
      <c r="R53" s="63"/>
      <c r="S53" s="64"/>
    </row>
    <row r="54" s="14" customFormat="1" ht="18" customHeight="1" spans="4:19">
      <c r="I54" s="91">
        <f t="shared" si="9"/>
        <v>0</v>
      </c>
      <c r="J54" s="56">
        <f t="shared" si="10"/>
        <v>0.256</v>
      </c>
      <c r="K54" s="73">
        <f t="shared" si="11"/>
        <v>0</v>
      </c>
      <c r="L54" s="73">
        <f t="shared" si="12"/>
        <v>0</v>
      </c>
      <c r="M54" s="73">
        <f t="shared" si="13"/>
        <v>0</v>
      </c>
      <c r="N54" s="73">
        <f t="shared" si="14"/>
        <v>0</v>
      </c>
      <c r="O54" s="73">
        <f t="shared" si="15"/>
        <v>0</v>
      </c>
      <c r="P54" s="73">
        <f t="shared" si="16"/>
        <v>0</v>
      </c>
      <c r="Q54" s="73">
        <f t="shared" si="17"/>
        <v>0</v>
      </c>
      <c r="R54" s="73"/>
      <c r="S54" s="64"/>
    </row>
    <row r="55" s="14" customFormat="1" ht="18" customHeight="1" spans="4:19">
      <c r="I55" s="91">
        <f t="shared" si="9"/>
        <v>0</v>
      </c>
      <c r="J55" s="56">
        <f t="shared" si="10"/>
        <v>0.257</v>
      </c>
      <c r="K55" s="63">
        <f t="shared" si="11"/>
        <v>0</v>
      </c>
      <c r="L55" s="63">
        <f t="shared" si="12"/>
        <v>0</v>
      </c>
      <c r="M55" s="63">
        <f t="shared" si="13"/>
        <v>0</v>
      </c>
      <c r="N55" s="63">
        <f t="shared" si="14"/>
        <v>0</v>
      </c>
      <c r="O55" s="63">
        <f t="shared" si="15"/>
        <v>0</v>
      </c>
      <c r="P55" s="63">
        <f t="shared" si="16"/>
        <v>0</v>
      </c>
      <c r="Q55" s="63">
        <f t="shared" si="17"/>
        <v>0</v>
      </c>
      <c r="R55" s="63"/>
      <c r="S55" s="64"/>
    </row>
    <row r="56" s="14" customFormat="1" ht="18" customHeight="1" spans="4:19">
      <c r="I56" s="91">
        <f t="shared" si="9"/>
        <v>0</v>
      </c>
      <c r="J56" s="56">
        <f t="shared" si="10"/>
        <v>0.258</v>
      </c>
      <c r="K56" s="63">
        <f t="shared" si="11"/>
        <v>0</v>
      </c>
      <c r="L56" s="63">
        <f t="shared" si="12"/>
        <v>0</v>
      </c>
      <c r="M56" s="63">
        <f t="shared" si="13"/>
        <v>0</v>
      </c>
      <c r="N56" s="63">
        <f t="shared" si="14"/>
        <v>0</v>
      </c>
      <c r="O56" s="63">
        <f t="shared" si="15"/>
        <v>0</v>
      </c>
      <c r="P56" s="63">
        <f t="shared" si="16"/>
        <v>0</v>
      </c>
      <c r="Q56" s="63">
        <f t="shared" si="17"/>
        <v>0</v>
      </c>
      <c r="R56" s="63"/>
      <c r="S56" s="64"/>
    </row>
    <row r="57" s="14" customFormat="1" ht="18" customHeight="1" spans="4:19">
      <c r="I57" s="91">
        <f t="shared" si="9"/>
        <v>0</v>
      </c>
      <c r="J57" s="56">
        <f t="shared" si="10"/>
        <v>0.259</v>
      </c>
      <c r="K57" s="63">
        <f t="shared" si="11"/>
        <v>0</v>
      </c>
      <c r="L57" s="63">
        <f t="shared" si="12"/>
        <v>0</v>
      </c>
      <c r="M57" s="63">
        <f t="shared" si="13"/>
        <v>0</v>
      </c>
      <c r="N57" s="63">
        <f t="shared" si="14"/>
        <v>0</v>
      </c>
      <c r="O57" s="63">
        <f t="shared" si="15"/>
        <v>0</v>
      </c>
      <c r="P57" s="63">
        <f t="shared" si="16"/>
        <v>0</v>
      </c>
      <c r="Q57" s="63">
        <f t="shared" si="17"/>
        <v>0</v>
      </c>
      <c r="R57" s="63"/>
      <c r="S57" s="64"/>
    </row>
    <row r="58" s="14" customFormat="1" ht="18" customHeight="1" spans="4:19">
      <c r="I58" s="91">
        <f t="shared" si="9"/>
        <v>0.0774693055489119</v>
      </c>
      <c r="J58" s="56">
        <f t="shared" si="10"/>
        <v>0.26</v>
      </c>
      <c r="K58" s="63">
        <f t="shared" si="11"/>
        <v>0</v>
      </c>
      <c r="L58" s="63">
        <f t="shared" si="12"/>
        <v>2.63215377455709e-7</v>
      </c>
      <c r="M58" s="63">
        <f t="shared" si="13"/>
        <v>0.0535668534726617</v>
      </c>
      <c r="N58" s="63">
        <f t="shared" si="14"/>
        <v>0.0239021873897645</v>
      </c>
      <c r="O58" s="63">
        <f t="shared" si="15"/>
        <v>1.47110821691e-9</v>
      </c>
      <c r="P58" s="63">
        <f t="shared" si="16"/>
        <v>3.34590420102044e-27</v>
      </c>
      <c r="Q58" s="63">
        <f t="shared" si="17"/>
        <v>1.34367473042087e-55</v>
      </c>
      <c r="R58" s="63"/>
      <c r="S58" s="64"/>
    </row>
    <row r="59" s="14" customFormat="1" ht="18" customHeight="1" spans="4:19">
      <c r="I59" s="91">
        <f t="shared" si="9"/>
        <v>0.263945094894464</v>
      </c>
      <c r="J59" s="56">
        <f t="shared" si="10"/>
        <v>0.261</v>
      </c>
      <c r="K59" s="63">
        <f t="shared" si="11"/>
        <v>0</v>
      </c>
      <c r="L59" s="63">
        <f t="shared" si="12"/>
        <v>4.21358090465264e-9</v>
      </c>
      <c r="M59" s="63">
        <f t="shared" si="13"/>
        <v>0.0786225394947156</v>
      </c>
      <c r="N59" s="63">
        <f t="shared" si="14"/>
        <v>0.185321516374096</v>
      </c>
      <c r="O59" s="63">
        <f t="shared" si="15"/>
        <v>1.03481207172969e-6</v>
      </c>
      <c r="P59" s="63">
        <f t="shared" si="16"/>
        <v>3.71171253842603e-22</v>
      </c>
      <c r="Q59" s="63">
        <f t="shared" si="17"/>
        <v>2.49300865317281e-48</v>
      </c>
      <c r="R59" s="63"/>
      <c r="S59" s="64"/>
    </row>
    <row r="60" s="14" customFormat="1" ht="18" customHeight="1" spans="4:19">
      <c r="I60" s="91">
        <f t="shared" si="9"/>
        <v>0.392800050363027</v>
      </c>
      <c r="J60" s="56">
        <f t="shared" si="10"/>
        <v>0.262</v>
      </c>
      <c r="K60" s="63">
        <f t="shared" si="11"/>
        <v>0</v>
      </c>
      <c r="L60" s="63">
        <f t="shared" si="12"/>
        <v>1.08880003428943e-11</v>
      </c>
      <c r="M60" s="63">
        <f t="shared" si="13"/>
        <v>0.0235317941711468</v>
      </c>
      <c r="N60" s="63">
        <f t="shared" si="14"/>
        <v>0.369155872550803</v>
      </c>
      <c r="O60" s="63">
        <f t="shared" si="15"/>
        <v>0.000112383630189167</v>
      </c>
      <c r="P60" s="63">
        <f t="shared" si="16"/>
        <v>5.99952533838696e-18</v>
      </c>
      <c r="Q60" s="63">
        <f t="shared" si="17"/>
        <v>6.51762570025203e-42</v>
      </c>
      <c r="R60" s="63"/>
      <c r="S60" s="64"/>
    </row>
    <row r="61" s="14" customFormat="1" ht="18" customHeight="1" spans="4:19">
      <c r="I61" s="91">
        <f t="shared" si="9"/>
        <v>0.224587026016574</v>
      </c>
      <c r="J61" s="56">
        <f t="shared" si="10"/>
        <v>0.263</v>
      </c>
      <c r="K61" s="63">
        <f t="shared" si="11"/>
        <v>0</v>
      </c>
      <c r="L61" s="63">
        <f t="shared" si="12"/>
        <v>4.03933533451417e-15</v>
      </c>
      <c r="M61" s="63">
        <f t="shared" si="13"/>
        <v>0.00112539002718345</v>
      </c>
      <c r="N61" s="63">
        <f t="shared" si="14"/>
        <v>0.221742252569588</v>
      </c>
      <c r="O61" s="63">
        <f t="shared" si="15"/>
        <v>0.00171938341978615</v>
      </c>
      <c r="P61" s="63">
        <f t="shared" si="16"/>
        <v>1.26715446062105e-14</v>
      </c>
      <c r="Q61" s="63">
        <f t="shared" si="17"/>
        <v>2.14933926499812e-36</v>
      </c>
      <c r="R61" s="63"/>
      <c r="S61" s="64"/>
    </row>
    <row r="62" s="14" customFormat="1" ht="18" hidden="1" customHeight="1" spans="4:19">
      <c r="I62" s="91">
        <f t="shared" si="9"/>
        <v>0.0411985231770231</v>
      </c>
      <c r="J62" s="56">
        <f t="shared" si="10"/>
        <v>0.264</v>
      </c>
      <c r="K62" s="63">
        <f t="shared" si="11"/>
        <v>0</v>
      </c>
      <c r="L62" s="63">
        <f t="shared" si="12"/>
        <v>0</v>
      </c>
      <c r="M62" s="63">
        <f t="shared" si="13"/>
        <v>6.83523155981893e-6</v>
      </c>
      <c r="N62" s="63">
        <f t="shared" si="14"/>
        <v>0.0379313473511576</v>
      </c>
      <c r="O62" s="63">
        <f t="shared" si="15"/>
        <v>0.00326034059132572</v>
      </c>
      <c r="P62" s="63">
        <f t="shared" si="16"/>
        <v>2.97998762092367e-12</v>
      </c>
      <c r="Q62" s="63">
        <f t="shared" si="17"/>
        <v>7.59907134368765e-32</v>
      </c>
      <c r="R62" s="63">
        <f t="shared" ref="R62:R70" si="18">D40*R40</f>
        <v>0</v>
      </c>
      <c r="S62" s="64"/>
    </row>
    <row r="63" s="14" customFormat="1" ht="18" hidden="1" customHeight="1" spans="4:19">
      <c r="I63" s="91">
        <f t="shared" si="9"/>
        <v>0</v>
      </c>
      <c r="J63" s="56">
        <f t="shared" si="10"/>
        <v>0.265</v>
      </c>
      <c r="K63" s="63">
        <f t="shared" si="11"/>
        <v>0</v>
      </c>
      <c r="L63" s="63">
        <f t="shared" si="12"/>
        <v>0</v>
      </c>
      <c r="M63" s="63">
        <f t="shared" si="13"/>
        <v>0</v>
      </c>
      <c r="N63" s="63">
        <f t="shared" si="14"/>
        <v>0</v>
      </c>
      <c r="O63" s="63">
        <f t="shared" si="15"/>
        <v>0</v>
      </c>
      <c r="P63" s="63">
        <f t="shared" si="16"/>
        <v>0</v>
      </c>
      <c r="Q63" s="63">
        <f t="shared" si="17"/>
        <v>0</v>
      </c>
      <c r="R63" s="63">
        <f t="shared" si="18"/>
        <v>0</v>
      </c>
      <c r="S63" s="64"/>
    </row>
    <row r="64" s="14" customFormat="1" ht="18" hidden="1" customHeight="1" spans="4:19">
      <c r="I64" s="91">
        <f t="shared" si="9"/>
        <v>0</v>
      </c>
      <c r="J64" s="56">
        <f t="shared" si="10"/>
        <v>0.266</v>
      </c>
      <c r="K64" s="63">
        <f t="shared" si="11"/>
        <v>0</v>
      </c>
      <c r="L64" s="63">
        <f t="shared" si="12"/>
        <v>0</v>
      </c>
      <c r="M64" s="63">
        <f t="shared" si="13"/>
        <v>0</v>
      </c>
      <c r="N64" s="63">
        <f t="shared" si="14"/>
        <v>0</v>
      </c>
      <c r="O64" s="63">
        <f t="shared" si="15"/>
        <v>0</v>
      </c>
      <c r="P64" s="63">
        <f t="shared" si="16"/>
        <v>0</v>
      </c>
      <c r="Q64" s="63">
        <f t="shared" si="17"/>
        <v>0</v>
      </c>
      <c r="R64" s="63">
        <f t="shared" si="18"/>
        <v>0</v>
      </c>
      <c r="S64" s="64"/>
    </row>
    <row r="65" s="14" customFormat="1" ht="18" hidden="1" customHeight="1" spans="1:19">
      <c r="I65" s="91">
        <f t="shared" si="9"/>
        <v>0</v>
      </c>
      <c r="J65" s="56">
        <f t="shared" si="10"/>
        <v>0.267</v>
      </c>
      <c r="K65" s="63">
        <f t="shared" si="11"/>
        <v>0</v>
      </c>
      <c r="L65" s="63">
        <f t="shared" si="12"/>
        <v>0</v>
      </c>
      <c r="M65" s="63">
        <f t="shared" si="13"/>
        <v>0</v>
      </c>
      <c r="N65" s="63">
        <f t="shared" si="14"/>
        <v>0</v>
      </c>
      <c r="O65" s="63">
        <f t="shared" si="15"/>
        <v>0</v>
      </c>
      <c r="P65" s="63">
        <f t="shared" si="16"/>
        <v>0</v>
      </c>
      <c r="Q65" s="63">
        <f t="shared" si="17"/>
        <v>0</v>
      </c>
      <c r="R65" s="63">
        <f t="shared" si="18"/>
        <v>0</v>
      </c>
      <c r="S65" s="64"/>
    </row>
    <row r="66" s="14" customFormat="1" ht="18" hidden="1" customHeight="1" spans="1:19">
      <c r="I66" s="91">
        <f t="shared" si="9"/>
        <v>0</v>
      </c>
      <c r="J66" s="56">
        <f t="shared" si="10"/>
        <v>0.268</v>
      </c>
      <c r="K66" s="63">
        <f t="shared" si="11"/>
        <v>0</v>
      </c>
      <c r="L66" s="63">
        <f t="shared" si="12"/>
        <v>0</v>
      </c>
      <c r="M66" s="63">
        <f t="shared" si="13"/>
        <v>0</v>
      </c>
      <c r="N66" s="63">
        <f t="shared" si="14"/>
        <v>0</v>
      </c>
      <c r="O66" s="63">
        <f t="shared" si="15"/>
        <v>0</v>
      </c>
      <c r="P66" s="63">
        <f t="shared" si="16"/>
        <v>0</v>
      </c>
      <c r="Q66" s="63">
        <f t="shared" si="17"/>
        <v>0</v>
      </c>
      <c r="R66" s="63">
        <f t="shared" si="18"/>
        <v>0</v>
      </c>
      <c r="S66" s="64"/>
    </row>
    <row r="67" s="14" customFormat="1" ht="18" hidden="1" customHeight="1" spans="1:19">
      <c r="I67" s="91">
        <f t="shared" si="9"/>
        <v>0</v>
      </c>
      <c r="J67" s="56">
        <f t="shared" si="10"/>
        <v>0.269</v>
      </c>
      <c r="K67" s="63">
        <f t="shared" si="11"/>
        <v>0</v>
      </c>
      <c r="L67" s="63">
        <f t="shared" si="12"/>
        <v>0</v>
      </c>
      <c r="M67" s="63">
        <f t="shared" si="13"/>
        <v>0</v>
      </c>
      <c r="N67" s="63">
        <f t="shared" si="14"/>
        <v>0</v>
      </c>
      <c r="O67" s="63">
        <f t="shared" si="15"/>
        <v>0</v>
      </c>
      <c r="P67" s="63">
        <f t="shared" si="16"/>
        <v>0</v>
      </c>
      <c r="Q67" s="63">
        <f t="shared" si="17"/>
        <v>0</v>
      </c>
      <c r="R67" s="63">
        <f t="shared" si="18"/>
        <v>0</v>
      </c>
      <c r="S67" s="64"/>
    </row>
    <row r="68" s="14" customFormat="1" ht="18" hidden="1" customHeight="1" spans="1:19">
      <c r="I68" s="91">
        <f t="shared" si="9"/>
        <v>0</v>
      </c>
      <c r="J68" s="56">
        <f t="shared" si="10"/>
        <v>0.27</v>
      </c>
      <c r="K68" s="63">
        <f t="shared" si="11"/>
        <v>0</v>
      </c>
      <c r="L68" s="63">
        <f t="shared" si="12"/>
        <v>0</v>
      </c>
      <c r="M68" s="63">
        <f t="shared" si="13"/>
        <v>0</v>
      </c>
      <c r="N68" s="63">
        <f t="shared" si="14"/>
        <v>0</v>
      </c>
      <c r="O68" s="63">
        <f t="shared" si="15"/>
        <v>0</v>
      </c>
      <c r="P68" s="63">
        <f t="shared" si="16"/>
        <v>0</v>
      </c>
      <c r="Q68" s="63">
        <f t="shared" si="17"/>
        <v>0</v>
      </c>
      <c r="R68" s="63">
        <f t="shared" si="18"/>
        <v>0</v>
      </c>
      <c r="S68" s="64"/>
    </row>
    <row r="69" s="14" customFormat="1" ht="18" hidden="1" customHeight="1" spans="1:19">
      <c r="I69" s="91">
        <f t="shared" si="9"/>
        <v>0</v>
      </c>
      <c r="J69" s="56">
        <f t="shared" si="10"/>
        <v>0.271</v>
      </c>
      <c r="K69" s="63">
        <f t="shared" si="11"/>
        <v>0</v>
      </c>
      <c r="L69" s="63">
        <f t="shared" si="12"/>
        <v>0</v>
      </c>
      <c r="M69" s="63">
        <f t="shared" si="13"/>
        <v>0</v>
      </c>
      <c r="N69" s="63">
        <f t="shared" si="14"/>
        <v>0</v>
      </c>
      <c r="O69" s="63">
        <f t="shared" si="15"/>
        <v>0</v>
      </c>
      <c r="P69" s="63">
        <f t="shared" si="16"/>
        <v>0</v>
      </c>
      <c r="Q69" s="63">
        <f t="shared" si="17"/>
        <v>0</v>
      </c>
      <c r="R69" s="63">
        <f t="shared" si="18"/>
        <v>0</v>
      </c>
      <c r="S69" s="64"/>
    </row>
    <row r="70" s="14" customFormat="1" ht="18" hidden="1" customHeight="1" spans="1:19">
      <c r="I70" s="91">
        <f t="shared" si="9"/>
        <v>0</v>
      </c>
      <c r="J70" s="56">
        <f t="shared" si="10"/>
        <v>0.272</v>
      </c>
      <c r="K70" s="63">
        <f t="shared" si="11"/>
        <v>0</v>
      </c>
      <c r="L70" s="63">
        <f t="shared" si="12"/>
        <v>0</v>
      </c>
      <c r="M70" s="63">
        <f t="shared" si="13"/>
        <v>0</v>
      </c>
      <c r="N70" s="63">
        <f t="shared" si="14"/>
        <v>0</v>
      </c>
      <c r="O70" s="63">
        <f t="shared" si="15"/>
        <v>0</v>
      </c>
      <c r="P70" s="63">
        <f t="shared" si="16"/>
        <v>0</v>
      </c>
      <c r="Q70" s="63">
        <f t="shared" si="17"/>
        <v>0</v>
      </c>
      <c r="R70" s="63">
        <f t="shared" si="18"/>
        <v>0</v>
      </c>
      <c r="S70" s="64"/>
    </row>
    <row r="71" s="14" customFormat="1" ht="18" customHeight="1" spans="1:19">
      <c r="I71" s="92" t="s">
        <v>100</v>
      </c>
      <c r="J71" s="93"/>
      <c r="K71" s="94">
        <f t="shared" ref="K71:Q71" si="19">SUM(K51:K70)</f>
        <v>0</v>
      </c>
      <c r="L71" s="94">
        <f t="shared" si="19"/>
        <v>2.6743985040004e-7</v>
      </c>
      <c r="M71" s="94">
        <f t="shared" si="19"/>
        <v>0.156853412397267</v>
      </c>
      <c r="N71" s="94">
        <f t="shared" si="19"/>
        <v>0.838053176235409</v>
      </c>
      <c r="O71" s="94">
        <f t="shared" si="19"/>
        <v>0.00509314392448099</v>
      </c>
      <c r="P71" s="94">
        <f t="shared" si="19"/>
        <v>2.99266516542639e-12</v>
      </c>
      <c r="Q71" s="94">
        <f t="shared" si="19"/>
        <v>7.59928627826591e-32</v>
      </c>
      <c r="R71" s="94"/>
      <c r="S71" s="95">
        <f>SUM(K71:R71)</f>
        <v>1</v>
      </c>
    </row>
    <row r="72" ht="18" customHeight="1" spans="1:19">
      <c r="K72" s="53">
        <f>K50</f>
        <v>440</v>
      </c>
      <c r="L72" s="53">
        <f t="shared" ref="L72:R72" si="20">L50</f>
        <v>445</v>
      </c>
      <c r="M72" s="53">
        <f t="shared" si="20"/>
        <v>450</v>
      </c>
      <c r="N72" s="53">
        <f t="shared" si="20"/>
        <v>455</v>
      </c>
      <c r="O72" s="53">
        <f t="shared" si="20"/>
        <v>460</v>
      </c>
      <c r="P72" s="53">
        <f t="shared" si="20"/>
        <v>465</v>
      </c>
      <c r="Q72" s="53">
        <f t="shared" si="20"/>
        <v>470</v>
      </c>
      <c r="R72" s="53">
        <f t="shared" si="20"/>
        <v>475</v>
      </c>
    </row>
    <row r="73" ht="4.8" customHeight="1" spans="1:19">
      <c r="I73" s="96"/>
    </row>
    <row r="74" ht="4.8" customHeight="1" spans="1:19">
      <c r="I74" s="96"/>
    </row>
    <row r="75" ht="4.8" customHeight="1" spans="1:19">
      <c r="I75" s="96"/>
    </row>
    <row r="76" ht="26.4" customHeight="1" spans="1:19">
      <c r="A76" s="97" t="s">
        <v>101</v>
      </c>
      <c r="B76" s="98" t="s">
        <v>89</v>
      </c>
      <c r="C76" s="98" t="str">
        <f>C9</f>
        <v>芜湖（80mg）</v>
      </c>
      <c r="D76" s="98" t="str">
        <f t="shared" ref="D76:O76" si="21">D9</f>
        <v>芜湖（105mg）</v>
      </c>
      <c r="E76" s="98" t="str">
        <f t="shared" si="21"/>
        <v>芜湖（125mg）</v>
      </c>
      <c r="F76" s="98" t="str">
        <f t="shared" si="21"/>
        <v>厂家3</v>
      </c>
      <c r="G76" s="98" t="str">
        <f t="shared" si="21"/>
        <v>厂家4</v>
      </c>
      <c r="H76" s="98" t="str">
        <f t="shared" si="21"/>
        <v>厂家5</v>
      </c>
      <c r="I76" s="98" t="str">
        <f t="shared" si="21"/>
        <v>厂家6</v>
      </c>
      <c r="J76" s="98" t="str">
        <f t="shared" si="21"/>
        <v>厂家7</v>
      </c>
      <c r="K76" s="98" t="str">
        <f t="shared" si="21"/>
        <v>厂家8</v>
      </c>
      <c r="L76" s="98" t="str">
        <f t="shared" si="21"/>
        <v>厂家9</v>
      </c>
      <c r="M76" s="98" t="str">
        <f t="shared" si="21"/>
        <v>厂家10</v>
      </c>
      <c r="N76" s="98" t="str">
        <f t="shared" si="21"/>
        <v>厂家11</v>
      </c>
      <c r="O76" s="98" t="str">
        <f t="shared" si="21"/>
        <v>厂家12</v>
      </c>
    </row>
    <row r="77" ht="17.4" customHeight="1" spans="1:19">
      <c r="A77" s="97"/>
      <c r="B77" s="99">
        <f>C29</f>
        <v>0.253</v>
      </c>
      <c r="C77" s="100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</row>
    <row r="78" ht="17.4" customHeight="1" spans="1:19">
      <c r="A78" s="97"/>
      <c r="B78" s="99">
        <f t="shared" ref="B78:B96" si="22">C30</f>
        <v>0.254</v>
      </c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</row>
    <row r="79" ht="17.4" customHeight="1" spans="1:19">
      <c r="A79" s="97"/>
      <c r="B79" s="99">
        <f t="shared" si="22"/>
        <v>0.255</v>
      </c>
      <c r="C79" s="100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</row>
    <row r="80" ht="17.4" customHeight="1" spans="1:19">
      <c r="A80" s="97"/>
      <c r="B80" s="99">
        <f t="shared" si="22"/>
        <v>0.256</v>
      </c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</row>
    <row r="81" ht="17.4" customHeight="1" spans="1:15">
      <c r="A81" s="97"/>
      <c r="B81" s="99">
        <f t="shared" si="22"/>
        <v>0.257</v>
      </c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</row>
    <row r="82" ht="17.4" customHeight="1" spans="1:15">
      <c r="A82" s="97"/>
      <c r="B82" s="99">
        <f t="shared" si="22"/>
        <v>0.258</v>
      </c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</row>
    <row r="83" ht="17.4" customHeight="1" spans="1:15">
      <c r="A83" s="97"/>
      <c r="B83" s="99">
        <f t="shared" si="22"/>
        <v>0.259</v>
      </c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</row>
    <row r="84" ht="17.4" customHeight="1" spans="1:15">
      <c r="A84" s="97"/>
      <c r="B84" s="99">
        <f t="shared" si="22"/>
        <v>0.26</v>
      </c>
      <c r="C84" s="100">
        <v>0.0341140293136703</v>
      </c>
      <c r="D84" s="100"/>
      <c r="E84" s="101"/>
      <c r="F84" s="100"/>
      <c r="G84" s="100"/>
      <c r="H84" s="100"/>
      <c r="I84" s="100"/>
      <c r="J84" s="100"/>
      <c r="K84" s="100"/>
      <c r="L84" s="100"/>
      <c r="M84" s="100"/>
      <c r="N84" s="100"/>
      <c r="O84" s="100"/>
    </row>
    <row r="85" ht="17.4" customHeight="1" spans="1:15">
      <c r="A85" s="97"/>
      <c r="B85" s="99">
        <f t="shared" si="22"/>
        <v>0.261</v>
      </c>
      <c r="C85" s="100">
        <v>0.0586334878828709</v>
      </c>
      <c r="D85" s="100"/>
      <c r="E85" s="101"/>
      <c r="F85" s="100"/>
      <c r="G85" s="100"/>
      <c r="H85" s="100"/>
      <c r="I85" s="100"/>
      <c r="J85" s="100"/>
      <c r="K85" s="100"/>
      <c r="L85" s="100"/>
      <c r="M85" s="100"/>
      <c r="N85" s="100"/>
      <c r="O85" s="100"/>
    </row>
    <row r="86" ht="17.4" customHeight="1" spans="1:15">
      <c r="A86" s="97"/>
      <c r="B86" s="99">
        <f t="shared" si="22"/>
        <v>0.262</v>
      </c>
      <c r="C86" s="100">
        <v>0.0841203302499458</v>
      </c>
      <c r="D86" s="100"/>
      <c r="E86" s="101"/>
      <c r="F86" s="100"/>
      <c r="G86" s="100"/>
      <c r="H86" s="100"/>
      <c r="I86" s="100"/>
      <c r="J86" s="100"/>
      <c r="K86" s="100"/>
      <c r="L86" s="100"/>
      <c r="M86" s="100"/>
      <c r="N86" s="100"/>
      <c r="O86" s="100"/>
    </row>
    <row r="87" ht="17.4" customHeight="1" spans="1:15">
      <c r="A87" s="97"/>
      <c r="B87" s="99">
        <f t="shared" si="22"/>
        <v>0.263</v>
      </c>
      <c r="C87" s="100">
        <v>0.231516943533095</v>
      </c>
      <c r="D87" s="100"/>
      <c r="E87" s="101"/>
      <c r="F87" s="100"/>
      <c r="G87" s="100"/>
      <c r="H87" s="100"/>
      <c r="I87" s="100"/>
      <c r="J87" s="100"/>
      <c r="K87" s="100"/>
      <c r="L87" s="100"/>
      <c r="M87" s="100"/>
      <c r="N87" s="100"/>
      <c r="O87" s="100"/>
    </row>
    <row r="88" ht="17.4" customHeight="1" spans="1:15">
      <c r="A88" s="97"/>
      <c r="B88" s="99">
        <f t="shared" si="22"/>
        <v>0.264</v>
      </c>
      <c r="C88" s="100">
        <v>0.320133020125304</v>
      </c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</row>
    <row r="89" ht="17.4" customHeight="1" spans="1:15">
      <c r="A89" s="97"/>
      <c r="B89" s="99">
        <f t="shared" si="22"/>
        <v>0.265</v>
      </c>
      <c r="C89" s="100">
        <v>0.22052468114755</v>
      </c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  <c r="O89" s="100"/>
    </row>
    <row r="90" ht="17.4" customHeight="1" spans="1:15">
      <c r="A90" s="97"/>
      <c r="B90" s="99">
        <f t="shared" si="22"/>
        <v>0.266</v>
      </c>
      <c r="C90" s="100">
        <v>0.0509575077475633</v>
      </c>
      <c r="D90" s="100"/>
      <c r="E90" s="100"/>
      <c r="F90" s="100"/>
      <c r="G90" s="100"/>
      <c r="H90" s="100"/>
      <c r="I90" s="100"/>
      <c r="J90" s="100"/>
      <c r="K90" s="100"/>
      <c r="L90" s="100"/>
      <c r="M90" s="100"/>
      <c r="N90" s="100"/>
      <c r="O90" s="100"/>
    </row>
    <row r="91" ht="17.4" customHeight="1" spans="1:15">
      <c r="A91" s="97"/>
      <c r="B91" s="99">
        <f t="shared" si="22"/>
        <v>0.267</v>
      </c>
      <c r="C91" s="100">
        <v>0</v>
      </c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</row>
    <row r="92" ht="17.4" customHeight="1" spans="1:15">
      <c r="A92" s="97"/>
      <c r="B92" s="99">
        <f t="shared" si="22"/>
        <v>0.268</v>
      </c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</row>
    <row r="93" ht="17.4" customHeight="1" spans="1:15">
      <c r="A93" s="97"/>
      <c r="B93" s="99">
        <f t="shared" si="22"/>
        <v>0.269</v>
      </c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</row>
    <row r="94" ht="17.4" customHeight="1" spans="1:15">
      <c r="A94" s="97"/>
      <c r="B94" s="99">
        <f t="shared" si="22"/>
        <v>0.27</v>
      </c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</row>
    <row r="95" ht="17.4" customHeight="1" spans="1:15">
      <c r="A95" s="97"/>
      <c r="B95" s="99">
        <f t="shared" si="22"/>
        <v>0.271</v>
      </c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</row>
    <row r="96" ht="17.4" customHeight="1" spans="1:15">
      <c r="A96" s="97"/>
      <c r="B96" s="99">
        <f t="shared" si="22"/>
        <v>0.272</v>
      </c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</row>
  </sheetData>
  <sheetProtection formatCells="0" formatColumns="0" formatRows="0" insertRows="0" insertColumns="0" insertHyperlinks="0" deleteColumns="0" deleteRows="0" sort="0" autoFilter="0" pivotTables="0"/>
  <mergeCells count="23">
    <mergeCell ref="A1:F1"/>
    <mergeCell ref="G1:I1"/>
    <mergeCell ref="L1:O1"/>
    <mergeCell ref="Q10:U10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{d9bf2be2-789a-418c-b7a2-a424cdcf6b07}</x14:id>
        </ext>
      </extLst>
    </cfRule>
  </conditionalFormatting>
  <conditionalFormatting sqref="D30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{c6d4eb52-66fd-4f80-a44f-045075ef5371}</x14:id>
        </ext>
      </extLst>
    </cfRule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{aa899f48-141f-46e6-b63e-27ee72ae67de}</x14:id>
        </ext>
      </extLst>
    </cfRule>
  </conditionalFormatting>
  <conditionalFormatting sqref="D33:D44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{42547cd2-29ef-46af-bcac-e45252231245}</x14:id>
        </ext>
      </extLst>
    </cfRule>
  </conditionalFormatting>
  <conditionalFormatting sqref="D45:D4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{fbab7719-5f81-498a-9e17-49418f02ab54}</x14:id>
        </ext>
      </extLst>
    </cfRule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{eef47e15-0308-4776-b7fa-9ee23fbcc689}</x14:id>
        </ext>
      </extLst>
    </cfRule>
  </conditionalFormatting>
  <conditionalFormatting sqref="D49:D5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{0deeac19-b2ca-4156-8bbe-2687d99b289a}</x14:id>
        </ext>
      </extLst>
    </cfRule>
    <cfRule type="dataBar" priority="1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{47d1c53e-9d47-4193-90a9-2808be073644}</x14:id>
        </ext>
      </extLst>
    </cfRule>
  </conditionalFormatting>
  <conditionalFormatting sqref="D29:D32 D45:D48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{cc446cf5-f4fb-47fd-87b6-16f0fe79a590}</x14:id>
        </ext>
      </extLst>
    </cfRule>
  </conditionalFormatting>
  <conditionalFormatting sqref="K29:R48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{b310de55-4bc0-439b-a8dc-9a020e5c1aa9}</x14:id>
        </ext>
      </extLst>
    </cfRule>
  </conditionalFormatting>
  <conditionalFormatting sqref="K29:Q39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{cf0ae1bc-b9d4-469c-86e3-2d3535b0e4b2}</x14:id>
        </ext>
      </extLst>
    </cfRule>
  </conditionalFormatting>
  <conditionalFormatting sqref="M29:O30 O35 N31:O34 M31:M4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{e946efcf-a647-4559-bdbe-71a852b0a03a}</x14:id>
        </ext>
      </extLst>
    </cfRule>
    <cfRule type="colorScale" priority="22">
      <colorScale>
        <cfvo type="percent" val="0"/>
        <cfvo type="percent" val="0"/>
        <color theme="0"/>
        <color theme="0"/>
      </colorScale>
    </cfRule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{69c6a2f4-ab44-4f5f-b8d0-93b106aa564b}</x14:id>
        </ext>
      </extLst>
    </cfRule>
    <cfRule type="dataBar" priority="24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{20ac2dfc-d29a-4125-baf2-e5d61f8010f4}</x14:id>
        </ext>
      </extLst>
    </cfRule>
    <cfRule type="dataBar" priority="25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{d7d98332-efea-46e8-a3c6-a8395b8131f6}</x14:id>
        </ext>
      </extLst>
    </cfRule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{613e3bfa-16eb-4c0b-b8fc-74f286e7d6fb}</x14:id>
        </ext>
      </extLst>
    </cfRule>
  </conditionalFormatting>
  <conditionalFormatting sqref="P29:R35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{a8c6abcd-58ef-451b-a7cf-dc8ba48f0f56}</x14:id>
        </ext>
      </extLst>
    </cfRule>
    <cfRule type="colorScale" priority="15">
      <colorScale>
        <cfvo type="percent" val="0"/>
        <cfvo type="percent" val="0"/>
        <color theme="0"/>
        <color theme="0"/>
      </colorScale>
    </cfRule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{ccaf58db-482b-4cb2-8d2d-e823f8957f20}</x14:id>
        </ext>
      </extLst>
    </cfRule>
    <cfRule type="dataBar" priority="17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{66245837-7c0a-45a3-8cfc-5fc1c1f4da09}</x14:id>
        </ext>
      </extLst>
    </cfRule>
    <cfRule type="dataBar" priority="1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{e5c92dd4-5436-47c8-8845-253d3aaad1e4}</x14:id>
        </ext>
      </extLst>
    </cfRule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{7301a511-0045-4ed4-9e4a-cbd2501f2fae}</x14:id>
        </ext>
      </extLst>
    </cfRule>
  </conditionalFormatting>
  <conditionalFormatting sqref="P36:R48">
    <cfRule type="dataBar" priority="2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{b9e3c07c-d926-4365-9a6d-3b6e761d6fb4}</x14:id>
        </ext>
      </extLst>
    </cfRule>
    <cfRule type="colorScale" priority="28">
      <colorScale>
        <cfvo type="percent" val="0"/>
        <cfvo type="percent" val="0"/>
        <color theme="0"/>
        <color theme="0"/>
      </colorScale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{808e03f5-566e-4d5b-9683-2cb0176383e3}</x14:id>
        </ext>
      </extLst>
    </cfRule>
    <cfRule type="dataBar" priority="30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{38cb279c-a468-47bf-a7bb-d1b8bb22ec74}</x14:id>
        </ext>
      </extLst>
    </cfRule>
    <cfRule type="dataBar" priority="3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{bc5b8cd2-a112-4c9b-827b-bf52414568e6}</x14:id>
        </ext>
      </extLst>
    </cfRule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{d8492b31-b486-4af8-9f31-8360c82ef401}</x14:id>
        </ext>
      </extLst>
    </cfRule>
  </conditionalFormatting>
  <conditionalFormatting sqref="C77:O83 C93:O96 F84:O92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{140e7b79-9899-4af8-b9fb-0d714ddcf8ed}</x14:id>
        </ext>
      </extLst>
    </cfRule>
  </conditionalFormatting>
  <conditionalFormatting sqref="C84:E9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{2577ca8f-db8b-465d-b0a9-730978971f72}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bf2be2-789a-418c-b7a2-a424cdcf6b07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c6d4eb52-66fd-4f80-a44f-045075ef53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a899f48-141f-46e6-b63e-27ee72ae67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42547cd2-29ef-46af-bcac-e452522312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fbab7719-5f81-498a-9e17-49418f02a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f47e15-0308-4776-b7fa-9ee23fbcc689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0deeac19-b2ca-4156-8bbe-2687d99b28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7d1c53e-9d47-4193-90a9-2808be07364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cc446cf5-f4fb-47fd-87b6-16f0fe79a59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b310de55-4bc0-439b-a8dc-9a020e5c1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cf0ae1bc-b9d4-469c-86e3-2d3535b0e4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K29:Q39</xm:sqref>
        </x14:conditionalFormatting>
        <x14:conditionalFormatting xmlns:xm="http://schemas.microsoft.com/office/excel/2006/main">
          <x14:cfRule type="dataBar" id="{e946efcf-a647-4559-bdbe-71a852b0a03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69c6a2f4-ab44-4f5f-b8d0-93b106aa564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0ac2dfc-d29a-4125-baf2-e5d61f8010f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d7d98332-efea-46e8-a3c6-a8395b8131f6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613e3bfa-16eb-4c0b-b8fc-74f286e7d6f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a8c6abcd-58ef-451b-a7cf-dc8ba48f0f5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ccaf58db-482b-4cb2-8d2d-e823f8957f2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66245837-7c0a-45a3-8cfc-5fc1c1f4da09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e5c92dd4-5436-47c8-8845-253d3aaad1e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7301a511-0045-4ed4-9e4a-cbd2501f2fa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b9e3c07c-d926-4365-9a6d-3b6e761d6fb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808e03f5-566e-4d5b-9683-2cb0176383e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38cb279c-a468-47bf-a7bb-d1b8bb22ec7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bc5b8cd2-a112-4c9b-827b-bf52414568e6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d8492b31-b486-4af8-9f31-8360c82ef40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140e7b79-9899-4af8-b9fb-0d714ddcf8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C77:O83 C93:O96 F84:O92</xm:sqref>
        </x14:conditionalFormatting>
        <x14:conditionalFormatting xmlns:xm="http://schemas.microsoft.com/office/excel/2006/main">
          <x14:cfRule type="dataBar" id="{2577ca8f-db8b-465d-b0a9-730978971f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C84:E92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>
    <tabColor rgb="FF7030A0"/>
  </sheetPr>
  <dimension ref="A1:Y96"/>
  <sheetViews>
    <sheetView showGridLines="0" zoomScale="70" zoomScaleNormal="70" workbookViewId="0">
      <selection activeCell="C84" sqref="C84:C91"/>
    </sheetView>
  </sheetViews>
  <sheetFormatPr defaultColWidth="8.44642857142857" defaultRowHeight="13.6"/>
  <cols>
    <col min="1" max="17" width="10.5535714285714" style="17" customWidth="1"/>
    <col min="18" max="18" width="10.5535714285714" style="17" hidden="1" customWidth="1"/>
    <col min="19" max="19" width="10.5535714285714" style="17" customWidth="1"/>
    <col min="20" max="16384" width="8.44642857142857" style="17"/>
  </cols>
  <sheetData>
    <row r="1" s="13" customFormat="1" ht="40.8" customHeight="1" spans="1:25">
      <c r="A1" s="18" t="s">
        <v>162</v>
      </c>
      <c r="B1" s="18"/>
      <c r="C1" s="18"/>
      <c r="D1" s="18"/>
      <c r="E1" s="18"/>
      <c r="F1" s="18"/>
      <c r="G1" s="19" t="s">
        <v>152</v>
      </c>
      <c r="H1" s="19"/>
      <c r="I1" s="19"/>
      <c r="J1" s="103">
        <v>456.82</v>
      </c>
      <c r="K1" s="20" t="s">
        <v>2</v>
      </c>
      <c r="L1" s="20" t="s">
        <v>3</v>
      </c>
      <c r="M1" s="20"/>
      <c r="N1" s="20"/>
      <c r="O1" s="20"/>
      <c r="Q1" s="21"/>
      <c r="R1" s="21"/>
      <c r="S1" s="21"/>
    </row>
    <row r="2" ht="1.95" customHeight="1" spans="1:25">
      <c r="H2" s="22"/>
      <c r="P2" s="13"/>
      <c r="Q2" s="21"/>
      <c r="R2" s="21"/>
      <c r="S2" s="21"/>
    </row>
    <row r="3" s="14" customFormat="1" ht="21.9" customHeight="1" spans="1:25">
      <c r="A3" s="23" t="s">
        <v>4</v>
      </c>
      <c r="B3" s="23">
        <v>0</v>
      </c>
      <c r="C3" s="104">
        <v>0.26</v>
      </c>
      <c r="D3" s="11" t="s">
        <v>153</v>
      </c>
      <c r="E3" s="11" t="s">
        <v>116</v>
      </c>
      <c r="F3" s="11" t="s">
        <v>46</v>
      </c>
      <c r="G3" s="11" t="s">
        <v>5</v>
      </c>
      <c r="H3" s="11" t="s">
        <v>6</v>
      </c>
      <c r="I3" s="11" t="s">
        <v>7</v>
      </c>
      <c r="J3" s="11" t="s">
        <v>8</v>
      </c>
      <c r="K3" s="11" t="s">
        <v>9</v>
      </c>
      <c r="L3" s="11" t="s">
        <v>10</v>
      </c>
      <c r="M3" s="11" t="s">
        <v>11</v>
      </c>
      <c r="N3" s="11" t="s">
        <v>12</v>
      </c>
      <c r="O3" s="11" t="s">
        <v>13</v>
      </c>
      <c r="P3" s="25"/>
      <c r="Q3" s="26"/>
      <c r="R3" s="26"/>
      <c r="S3" s="26"/>
      <c r="T3" s="27"/>
      <c r="U3" s="27"/>
      <c r="V3" s="27"/>
      <c r="W3" s="27"/>
      <c r="X3" s="27"/>
      <c r="Y3" s="27"/>
    </row>
    <row r="4" s="14" customFormat="1" ht="21.9" customHeight="1" spans="1:25">
      <c r="A4" s="23"/>
      <c r="B4" s="23"/>
      <c r="C4" s="104">
        <v>0</v>
      </c>
      <c r="D4" s="12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25"/>
      <c r="Q4" s="26"/>
      <c r="R4" s="26"/>
      <c r="S4" s="26"/>
      <c r="T4" s="27"/>
      <c r="U4" s="27"/>
      <c r="V4" s="27"/>
      <c r="W4" s="27"/>
      <c r="X4" s="27"/>
      <c r="Y4" s="27"/>
    </row>
    <row r="5" ht="1.95" customHeight="1" spans="1:25">
      <c r="P5" s="13"/>
      <c r="Q5" s="21"/>
      <c r="R5" s="21"/>
      <c r="S5" s="21"/>
    </row>
    <row r="6" s="14" customFormat="1" ht="24.6" customHeight="1" spans="1:25">
      <c r="A6" s="23" t="s">
        <v>15</v>
      </c>
      <c r="B6" s="23">
        <v>-4.8</v>
      </c>
      <c r="C6" s="29" t="s">
        <v>163</v>
      </c>
      <c r="D6" s="29" t="s">
        <v>164</v>
      </c>
      <c r="E6" s="46" t="s">
        <v>165</v>
      </c>
      <c r="F6" s="29" t="s">
        <v>156</v>
      </c>
      <c r="G6" s="29" t="s">
        <v>122</v>
      </c>
      <c r="H6" s="29" t="s">
        <v>123</v>
      </c>
      <c r="I6" s="29" t="s">
        <v>124</v>
      </c>
      <c r="J6" s="29" t="s">
        <v>22</v>
      </c>
      <c r="K6" s="29" t="s">
        <v>23</v>
      </c>
      <c r="L6" s="29" t="s">
        <v>24</v>
      </c>
      <c r="M6" s="29" t="s">
        <v>25</v>
      </c>
      <c r="N6" s="29" t="s">
        <v>26</v>
      </c>
      <c r="O6" s="29" t="s">
        <v>27</v>
      </c>
      <c r="P6" s="25"/>
      <c r="Q6" s="26"/>
      <c r="R6" s="26"/>
      <c r="S6" s="26"/>
      <c r="T6" s="27"/>
      <c r="U6" s="27"/>
      <c r="V6" s="27"/>
      <c r="W6" s="27"/>
      <c r="X6" s="27"/>
      <c r="Y6" s="27"/>
    </row>
    <row r="7" s="14" customFormat="1" ht="24.6" customHeight="1" spans="1:25">
      <c r="A7" s="23"/>
      <c r="B7" s="23"/>
      <c r="C7" s="11">
        <v>0</v>
      </c>
      <c r="D7" s="11">
        <v>-5.8</v>
      </c>
      <c r="E7" s="104">
        <v>-4.8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25"/>
      <c r="Q7" s="26"/>
      <c r="R7" s="26"/>
      <c r="S7" s="26"/>
      <c r="T7" s="27"/>
      <c r="U7" s="27"/>
      <c r="V7" s="27"/>
      <c r="W7" s="27"/>
      <c r="X7" s="27"/>
      <c r="Y7" s="27"/>
    </row>
    <row r="8" ht="1.95" customHeight="1" spans="1:25">
      <c r="P8" s="13"/>
      <c r="Q8" s="21"/>
      <c r="R8" s="21"/>
      <c r="S8" s="21"/>
    </row>
    <row r="9" s="14" customFormat="1" ht="22.2" customHeight="1" spans="1:25">
      <c r="A9" s="23" t="s">
        <v>29</v>
      </c>
      <c r="B9" s="23">
        <v>2</v>
      </c>
      <c r="C9" s="11" t="s">
        <v>125</v>
      </c>
      <c r="D9" s="11" t="s">
        <v>126</v>
      </c>
      <c r="E9" s="11" t="s">
        <v>127</v>
      </c>
      <c r="F9" s="104" t="s">
        <v>32</v>
      </c>
      <c r="G9" s="11" t="s">
        <v>145</v>
      </c>
      <c r="H9" s="11" t="s">
        <v>146</v>
      </c>
      <c r="I9" s="11" t="s">
        <v>128</v>
      </c>
      <c r="J9" s="11" t="s">
        <v>129</v>
      </c>
      <c r="K9" s="11" t="s">
        <v>130</v>
      </c>
      <c r="L9" s="11" t="s">
        <v>131</v>
      </c>
      <c r="M9" s="11" t="s">
        <v>132</v>
      </c>
      <c r="N9" s="11" t="s">
        <v>40</v>
      </c>
      <c r="O9" s="11" t="s">
        <v>41</v>
      </c>
      <c r="P9" s="30"/>
      <c r="Q9" s="27"/>
      <c r="R9" s="27"/>
      <c r="S9" s="27"/>
      <c r="T9" s="27"/>
      <c r="U9" s="27"/>
      <c r="V9" s="27"/>
      <c r="W9" s="27"/>
      <c r="X9" s="27"/>
      <c r="Y9" s="27"/>
    </row>
    <row r="10" s="14" customFormat="1" ht="22.2" customHeight="1" spans="1:25">
      <c r="A10" s="23"/>
      <c r="B10" s="23"/>
      <c r="C10" s="11">
        <v>0</v>
      </c>
      <c r="D10" s="11">
        <v>0</v>
      </c>
      <c r="E10" s="11">
        <v>0</v>
      </c>
      <c r="F10" s="105">
        <v>2</v>
      </c>
      <c r="G10" s="31"/>
      <c r="H10" s="31"/>
      <c r="I10" s="31"/>
      <c r="J10" s="31"/>
      <c r="K10" s="32"/>
      <c r="L10" s="31"/>
      <c r="M10" s="31"/>
      <c r="N10" s="31"/>
      <c r="O10" s="31"/>
      <c r="P10" s="25"/>
      <c r="Q10" s="33"/>
      <c r="R10" s="33"/>
      <c r="S10" s="33"/>
      <c r="T10" s="33"/>
      <c r="U10" s="33"/>
      <c r="V10" s="27"/>
      <c r="W10" s="27"/>
      <c r="X10" s="27"/>
      <c r="Y10" s="27"/>
    </row>
    <row r="11" ht="1.95" customHeight="1" spans="1:25">
      <c r="P11" s="13"/>
      <c r="Q11" s="21"/>
      <c r="R11" s="21"/>
      <c r="S11" s="21"/>
    </row>
    <row r="12" s="14" customFormat="1" ht="25.2" customHeight="1" spans="1:25">
      <c r="A12" s="23" t="s">
        <v>43</v>
      </c>
      <c r="B12" s="23">
        <v>0</v>
      </c>
      <c r="C12" s="24" t="s">
        <v>115</v>
      </c>
      <c r="D12" s="34" t="s">
        <v>153</v>
      </c>
      <c r="E12" s="34" t="s">
        <v>116</v>
      </c>
      <c r="F12" s="11" t="s">
        <v>46</v>
      </c>
      <c r="G12" s="11" t="s">
        <v>5</v>
      </c>
      <c r="H12" s="11" t="s">
        <v>6</v>
      </c>
      <c r="I12" s="11" t="s">
        <v>7</v>
      </c>
      <c r="J12" s="11" t="s">
        <v>8</v>
      </c>
      <c r="K12" s="11" t="s">
        <v>9</v>
      </c>
      <c r="L12" s="11" t="s">
        <v>10</v>
      </c>
      <c r="M12" s="11" t="s">
        <v>11</v>
      </c>
      <c r="N12" s="11" t="s">
        <v>12</v>
      </c>
      <c r="O12" s="11" t="s">
        <v>13</v>
      </c>
      <c r="P12" s="35"/>
      <c r="Q12" s="26"/>
      <c r="R12" s="26"/>
      <c r="S12" s="26"/>
      <c r="T12" s="27"/>
      <c r="U12" s="27"/>
      <c r="V12" s="27"/>
      <c r="W12" s="27"/>
      <c r="X12" s="27"/>
      <c r="Y12" s="27"/>
    </row>
    <row r="13" s="14" customFormat="1" ht="21.9" customHeight="1" spans="1:25">
      <c r="A13" s="23"/>
      <c r="B13" s="23"/>
      <c r="C13" s="24">
        <v>0</v>
      </c>
      <c r="D13" s="34"/>
      <c r="E13" s="34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25"/>
      <c r="Q13" s="26"/>
      <c r="R13" s="26"/>
      <c r="S13" s="26"/>
      <c r="T13" s="27"/>
      <c r="U13" s="27"/>
      <c r="V13" s="27"/>
      <c r="W13" s="27"/>
      <c r="X13" s="27"/>
      <c r="Y13" s="27"/>
    </row>
    <row r="14" s="14" customFormat="1" ht="21.9" customHeight="1" spans="1:25">
      <c r="A14" s="23" t="s">
        <v>47</v>
      </c>
      <c r="B14" s="23">
        <v>38184</v>
      </c>
      <c r="C14" s="24">
        <v>38184</v>
      </c>
      <c r="D14" s="34"/>
      <c r="E14" s="34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25"/>
      <c r="Q14" s="26"/>
      <c r="R14" s="26"/>
      <c r="S14" s="26"/>
      <c r="T14" s="27"/>
      <c r="U14" s="27"/>
      <c r="V14" s="27"/>
      <c r="W14" s="27"/>
      <c r="X14" s="27"/>
      <c r="Y14" s="27"/>
    </row>
    <row r="15" s="14" customFormat="1" ht="21.9" customHeight="1" spans="1:25">
      <c r="A15" s="23" t="s">
        <v>48</v>
      </c>
      <c r="B15" s="23">
        <v>1</v>
      </c>
      <c r="C15" s="24">
        <v>1</v>
      </c>
      <c r="D15" s="34"/>
      <c r="E15" s="34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25"/>
      <c r="Q15" s="26"/>
      <c r="R15" s="26"/>
      <c r="S15" s="26"/>
      <c r="T15" s="27"/>
      <c r="U15" s="27"/>
      <c r="V15" s="27"/>
      <c r="W15" s="27"/>
      <c r="X15" s="27"/>
      <c r="Y15" s="27"/>
    </row>
    <row r="16" ht="1.95" customHeight="1" spans="1:25">
      <c r="P16" s="13"/>
      <c r="Q16" s="21"/>
      <c r="R16" s="21"/>
      <c r="S16" s="21"/>
    </row>
    <row r="17" s="14" customFormat="1" ht="36" customHeight="1" spans="1:25">
      <c r="A17" s="23" t="s">
        <v>49</v>
      </c>
      <c r="B17" s="36">
        <v>-2.2</v>
      </c>
      <c r="C17" s="37" t="s">
        <v>50</v>
      </c>
      <c r="D17" s="37" t="s">
        <v>51</v>
      </c>
      <c r="E17" s="106" t="s">
        <v>52</v>
      </c>
      <c r="F17" s="37" t="s">
        <v>53</v>
      </c>
      <c r="G17" s="37" t="s">
        <v>54</v>
      </c>
      <c r="H17" s="37" t="s">
        <v>55</v>
      </c>
      <c r="I17" s="37" t="s">
        <v>56</v>
      </c>
      <c r="J17" s="37" t="s">
        <v>57</v>
      </c>
      <c r="K17" s="37" t="s">
        <v>9</v>
      </c>
      <c r="L17" s="37" t="s">
        <v>10</v>
      </c>
      <c r="M17" s="37" t="s">
        <v>11</v>
      </c>
      <c r="N17" s="37" t="s">
        <v>12</v>
      </c>
      <c r="O17" s="37" t="s">
        <v>13</v>
      </c>
      <c r="P17" s="25"/>
      <c r="Q17" s="26"/>
      <c r="R17" s="26"/>
      <c r="S17" s="27"/>
      <c r="T17" s="27"/>
      <c r="U17" s="27"/>
      <c r="V17" s="27"/>
      <c r="W17" s="27"/>
      <c r="X17" s="27"/>
      <c r="Y17" s="27"/>
    </row>
    <row r="18" s="14" customFormat="1" ht="21.9" customHeight="1" spans="1:25">
      <c r="A18" s="23"/>
      <c r="B18" s="39"/>
      <c r="C18" s="11">
        <v>0</v>
      </c>
      <c r="D18" s="11">
        <v>-0.2</v>
      </c>
      <c r="E18" s="104">
        <v>-2.2</v>
      </c>
      <c r="F18" s="11">
        <v>-2.8</v>
      </c>
      <c r="G18" s="11">
        <v>0.2</v>
      </c>
      <c r="H18" s="11">
        <v>0.15</v>
      </c>
      <c r="I18" s="11">
        <v>-1.4</v>
      </c>
      <c r="J18" s="11">
        <v>-1.8</v>
      </c>
      <c r="K18" s="11"/>
      <c r="L18" s="11"/>
      <c r="M18" s="11"/>
      <c r="N18" s="11"/>
      <c r="O18" s="11"/>
      <c r="P18" s="25"/>
      <c r="Q18" s="26"/>
      <c r="R18" s="26"/>
      <c r="S18" s="27"/>
      <c r="T18" s="27"/>
      <c r="U18" s="27"/>
      <c r="V18" s="27"/>
      <c r="W18" s="27"/>
      <c r="X18" s="27"/>
      <c r="Y18" s="27"/>
    </row>
    <row r="19" ht="2.1" customHeight="1" spans="1:25">
      <c r="P19" s="13"/>
      <c r="Q19" s="21"/>
      <c r="R19" s="21"/>
      <c r="S19" s="21"/>
    </row>
    <row r="20" s="14" customFormat="1" ht="34.8" customHeight="1" spans="1:25">
      <c r="A20" s="23" t="s">
        <v>58</v>
      </c>
      <c r="B20" s="23">
        <v>0</v>
      </c>
      <c r="C20" s="46" t="s">
        <v>166</v>
      </c>
      <c r="D20" s="29" t="s">
        <v>167</v>
      </c>
      <c r="E20" s="11" t="s">
        <v>168</v>
      </c>
      <c r="F20" s="11" t="s">
        <v>169</v>
      </c>
      <c r="G20" s="11" t="s">
        <v>170</v>
      </c>
      <c r="H20" s="11" t="s">
        <v>171</v>
      </c>
      <c r="I20" s="11" t="s">
        <v>172</v>
      </c>
      <c r="J20" s="11" t="s">
        <v>158</v>
      </c>
      <c r="K20" s="11" t="s">
        <v>66</v>
      </c>
      <c r="L20" s="11" t="s">
        <v>67</v>
      </c>
      <c r="M20" s="11" t="s">
        <v>68</v>
      </c>
      <c r="N20" s="11" t="s">
        <v>69</v>
      </c>
      <c r="O20" s="11" t="s">
        <v>70</v>
      </c>
      <c r="P20" s="30"/>
      <c r="Q20" s="26"/>
      <c r="R20" s="26"/>
      <c r="S20" s="26"/>
      <c r="T20" s="27"/>
      <c r="U20" s="27"/>
      <c r="V20" s="27"/>
      <c r="W20" s="27"/>
      <c r="X20" s="27"/>
      <c r="Y20" s="27"/>
    </row>
    <row r="21" s="14" customFormat="1" ht="21.6" customHeight="1" spans="1:25">
      <c r="A21" s="23"/>
      <c r="B21" s="23"/>
      <c r="C21" s="104">
        <v>0</v>
      </c>
      <c r="D21" s="11">
        <v>1.2</v>
      </c>
      <c r="E21" s="11"/>
      <c r="F21" s="11"/>
      <c r="G21" s="11"/>
      <c r="H21" s="40"/>
      <c r="I21" s="11"/>
      <c r="J21" s="11"/>
      <c r="K21" s="11"/>
      <c r="L21" s="11"/>
      <c r="M21" s="11"/>
      <c r="N21" s="11"/>
      <c r="O21" s="11"/>
      <c r="P21" s="41"/>
      <c r="Q21" s="42"/>
      <c r="R21" s="42"/>
      <c r="S21" s="42"/>
      <c r="T21" s="43"/>
      <c r="U21" s="27"/>
      <c r="V21" s="27"/>
      <c r="W21" s="27"/>
      <c r="X21" s="27"/>
      <c r="Y21" s="27"/>
    </row>
    <row r="22" ht="2.1" customHeight="1" spans="1:25">
      <c r="P22" s="13"/>
      <c r="Q22" s="21"/>
      <c r="R22" s="21"/>
      <c r="S22" s="21"/>
    </row>
    <row r="23" s="14" customFormat="1" ht="21.6" hidden="1" customHeight="1" spans="1:25">
      <c r="A23" s="23" t="s">
        <v>105</v>
      </c>
      <c r="B23" s="23">
        <v>0</v>
      </c>
      <c r="C23" s="28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30"/>
      <c r="Q23" s="26"/>
      <c r="R23" s="26"/>
      <c r="S23" s="26"/>
      <c r="T23" s="27"/>
      <c r="U23" s="27"/>
      <c r="V23" s="27"/>
      <c r="W23" s="27"/>
    </row>
    <row r="24" s="14" customFormat="1" ht="21.6" hidden="1" customHeight="1" spans="1:25">
      <c r="A24" s="23"/>
      <c r="B24" s="23"/>
      <c r="C24" s="24"/>
      <c r="D24" s="11"/>
      <c r="E24" s="11"/>
      <c r="F24" s="11"/>
      <c r="G24" s="40"/>
      <c r="H24" s="40"/>
      <c r="I24" s="11"/>
      <c r="J24" s="11"/>
      <c r="K24" s="11"/>
      <c r="L24" s="11"/>
      <c r="M24" s="11"/>
      <c r="N24" s="11"/>
      <c r="O24" s="11"/>
      <c r="P24" s="44"/>
      <c r="Q24" s="45"/>
      <c r="R24" s="45"/>
      <c r="S24" s="45"/>
      <c r="T24" s="27"/>
      <c r="U24" s="27"/>
      <c r="V24" s="27"/>
      <c r="W24" s="27"/>
    </row>
    <row r="25" ht="2.1" hidden="1" customHeight="1" spans="1:25">
      <c r="P25" s="13"/>
      <c r="Q25" s="21"/>
      <c r="R25" s="21"/>
      <c r="S25" s="21"/>
    </row>
    <row r="26" s="14" customFormat="1" ht="21.6" customHeight="1" spans="1:25">
      <c r="A26" s="23" t="s">
        <v>73</v>
      </c>
      <c r="B26" s="23">
        <v>-2.5</v>
      </c>
      <c r="C26" s="29" t="s">
        <v>75</v>
      </c>
      <c r="D26" s="46" t="s">
        <v>74</v>
      </c>
      <c r="E26" s="29" t="s">
        <v>159</v>
      </c>
      <c r="F26" s="29" t="s">
        <v>160</v>
      </c>
      <c r="G26" s="29" t="s">
        <v>77</v>
      </c>
      <c r="H26" s="29" t="s">
        <v>78</v>
      </c>
      <c r="I26" s="29" t="s">
        <v>79</v>
      </c>
      <c r="J26" s="29" t="s">
        <v>80</v>
      </c>
      <c r="K26" s="29" t="s">
        <v>81</v>
      </c>
      <c r="L26" s="29" t="s">
        <v>82</v>
      </c>
      <c r="M26" s="29" t="s">
        <v>83</v>
      </c>
      <c r="N26" s="29" t="s">
        <v>84</v>
      </c>
      <c r="O26" s="29" t="s">
        <v>85</v>
      </c>
      <c r="P26" s="47"/>
      <c r="Q26" s="26"/>
      <c r="R26" s="26"/>
      <c r="S26" s="26"/>
      <c r="T26" s="27"/>
      <c r="U26" s="27"/>
      <c r="V26" s="27"/>
      <c r="W26" s="27"/>
      <c r="X26" s="27"/>
      <c r="Y26" s="27"/>
    </row>
    <row r="27" s="14" customFormat="1" ht="21.6" customHeight="1" spans="1:25">
      <c r="A27" s="23"/>
      <c r="B27" s="23"/>
      <c r="C27" s="49">
        <v>-1.54</v>
      </c>
      <c r="D27" s="48">
        <v>-2.5</v>
      </c>
      <c r="E27" s="27"/>
      <c r="F27" s="49"/>
      <c r="G27" s="50"/>
      <c r="H27" s="50"/>
      <c r="I27" s="49"/>
      <c r="J27" s="49"/>
      <c r="K27" s="49"/>
      <c r="L27" s="49"/>
      <c r="M27" s="49"/>
      <c r="N27" s="49"/>
      <c r="O27" s="49"/>
      <c r="P27" s="44"/>
      <c r="Q27" s="45"/>
      <c r="R27" s="45"/>
      <c r="S27" s="45"/>
      <c r="T27" s="27"/>
      <c r="U27" s="27"/>
      <c r="V27" s="27"/>
      <c r="W27" s="27"/>
      <c r="X27" s="27"/>
      <c r="Y27" s="27"/>
    </row>
    <row r="28" s="15" customFormat="1" ht="22.2" customHeight="1" spans="1:25">
      <c r="A28" s="51" t="s">
        <v>87</v>
      </c>
      <c r="B28" s="51" t="s">
        <v>88</v>
      </c>
      <c r="C28" s="51" t="s">
        <v>89</v>
      </c>
      <c r="D28" s="51" t="s">
        <v>90</v>
      </c>
      <c r="E28" s="51">
        <v>33081</v>
      </c>
      <c r="F28" s="51" t="s">
        <v>91</v>
      </c>
      <c r="G28" s="51" t="s">
        <v>92</v>
      </c>
      <c r="H28" s="51" t="s">
        <v>93</v>
      </c>
      <c r="I28" s="51" t="s">
        <v>94</v>
      </c>
      <c r="J28" s="52" t="s">
        <v>95</v>
      </c>
      <c r="K28" s="53">
        <v>435</v>
      </c>
      <c r="L28" s="53">
        <v>440</v>
      </c>
      <c r="M28" s="53">
        <v>445</v>
      </c>
      <c r="N28" s="53">
        <v>450</v>
      </c>
      <c r="O28" s="53">
        <v>455</v>
      </c>
      <c r="P28" s="53">
        <v>460</v>
      </c>
      <c r="Q28" s="53">
        <v>465</v>
      </c>
      <c r="R28" s="53">
        <v>470</v>
      </c>
      <c r="S28" s="54" t="s">
        <v>96</v>
      </c>
    </row>
    <row r="29" s="14" customFormat="1" ht="18" customHeight="1" spans="1:25">
      <c r="A29" s="55" t="s">
        <v>173</v>
      </c>
      <c r="B29" s="55" t="s">
        <v>98</v>
      </c>
      <c r="C29" s="56">
        <v>0.253</v>
      </c>
      <c r="D29" s="57"/>
      <c r="E29" s="58">
        <v>38184</v>
      </c>
      <c r="F29" s="59">
        <f t="shared" ref="F29:F48" si="0">C29*E29/1000</f>
        <v>9.660552</v>
      </c>
      <c r="G29" s="59">
        <f>F29*48</f>
        <v>463.706496</v>
      </c>
      <c r="H29" s="60">
        <f>I29/G29</f>
        <v>0.953387207422091</v>
      </c>
      <c r="I29" s="61">
        <f>G29*(H30+0.15%)</f>
        <v>442.091841284923</v>
      </c>
      <c r="J29" s="61"/>
      <c r="K29" s="62">
        <f>(NORMSDIST((I29-$K$28)/B15)-NORMSDIST((I29-$L$28)/B15))</f>
        <v>0.0182263579288806</v>
      </c>
      <c r="L29" s="62">
        <f>(NORMSDIST((I29-$L$28)/B15)-NORMSDIST((I29-$M$28)/B15))</f>
        <v>0.979955823230488</v>
      </c>
      <c r="M29" s="63">
        <f>(NORMSDIST((I29-$M$28)/B15)-NORMSDIST((I29-$N$28)/B15))</f>
        <v>0.00181781883996848</v>
      </c>
      <c r="N29" s="63">
        <f>(NORMSDIST((I29-$N$28)/B15)-NORMSDIST((I29-$O$28)/B15))</f>
        <v>1.30611822229159e-15</v>
      </c>
      <c r="O29" s="63">
        <f>(NORMSDIST((I29-$O$28)/B15)-NORMSDIST((I29-$P$28)/B15))</f>
        <v>2.02433359128167e-38</v>
      </c>
      <c r="P29" s="63">
        <f>(NORMSDIST((I29-$P$28)/B15)-NORMSDIST((I29-$Q$28)/B15))</f>
        <v>5.09247143769751e-72</v>
      </c>
      <c r="Q29" s="63">
        <f>(NORMSDIST((I29-$Q$28)/B15)-NORMSDIST((I29-$R$28)/B15))</f>
        <v>1.92644188854419e-116</v>
      </c>
      <c r="R29" s="63"/>
      <c r="S29" s="64">
        <f t="shared" ref="S29:S48" si="1">SUM(K29:R29)</f>
        <v>0.999999999999338</v>
      </c>
    </row>
    <row r="30" s="14" customFormat="1" ht="18" customHeight="1" spans="1:25">
      <c r="A30" s="65"/>
      <c r="B30" s="65"/>
      <c r="C30" s="56">
        <f t="shared" ref="C30:C48" si="2">C29+0.1%</f>
        <v>0.254</v>
      </c>
      <c r="D30" s="66"/>
      <c r="E30" s="58">
        <v>38184</v>
      </c>
      <c r="F30" s="59">
        <f t="shared" si="0"/>
        <v>9.698736</v>
      </c>
      <c r="G30" s="59">
        <f t="shared" ref="G30:G37" si="3">F30*48</f>
        <v>465.539328</v>
      </c>
      <c r="H30" s="60">
        <f t="shared" ref="H30:H48" si="4">I30/G30</f>
        <v>0.951887207422091</v>
      </c>
      <c r="I30" s="61">
        <f t="shared" ref="I30:I35" si="5">G30*(H31+0.15%)</f>
        <v>443.140930875077</v>
      </c>
      <c r="J30" s="61"/>
      <c r="K30" s="62">
        <f>(NORMSDIST((I30-$K$28)/B15)-NORMSDIST((I30-$L$28)/B15))</f>
        <v>0.000842058882671637</v>
      </c>
      <c r="L30" s="62">
        <f>(NORMSDIST((I30-$L$28)/B15)-NORMSDIST((I30-$M$28)/B15))</f>
        <v>0.967649270636326</v>
      </c>
      <c r="M30" s="63">
        <f>(NORMSDIST((I30-$M$28)/B15)-NORMSDIST((I30-$N$28)/B15))</f>
        <v>0.0315086704775362</v>
      </c>
      <c r="N30" s="63">
        <f>(NORMSDIST((I30-$N$28)/B15)-NORMSDIST((I30-$O$28)/B15))</f>
        <v>3.46553486005767e-12</v>
      </c>
      <c r="O30" s="63">
        <f>(NORMSDIST((I30-$O$28)/B15)-NORMSDIST((I30-$P$28)/B15))</f>
        <v>9.65550362027679e-33</v>
      </c>
      <c r="P30" s="63">
        <f>(NORMSDIST((I30-$P$28)/B15)-NORMSDIST((I30-$Q$28)/B15))</f>
        <v>4.49976387151757e-64</v>
      </c>
      <c r="Q30" s="63">
        <f>(NORMSDIST((I30-$Q$28)/B15)-NORMSDIST((I30-$R$28)/B15))</f>
        <v>3.18652798214764e-106</v>
      </c>
      <c r="R30" s="63"/>
      <c r="S30" s="64">
        <f t="shared" si="1"/>
        <v>1</v>
      </c>
    </row>
    <row r="31" s="14" customFormat="1" ht="18" customHeight="1" spans="1:25">
      <c r="A31" s="65"/>
      <c r="B31" s="65"/>
      <c r="C31" s="56">
        <f t="shared" si="2"/>
        <v>0.255</v>
      </c>
      <c r="D31" s="67"/>
      <c r="E31" s="58">
        <v>38184</v>
      </c>
      <c r="F31" s="59">
        <f t="shared" si="0"/>
        <v>9.73692</v>
      </c>
      <c r="G31" s="59">
        <f t="shared" si="3"/>
        <v>467.37216</v>
      </c>
      <c r="H31" s="60">
        <f t="shared" si="4"/>
        <v>0.950387207422091</v>
      </c>
      <c r="I31" s="61">
        <f t="shared" si="5"/>
        <v>444.184521969231</v>
      </c>
      <c r="J31" s="68"/>
      <c r="K31" s="62">
        <f>(NORMSDIST((I31-$K$28)/B15)-NORMSDIST((I31-$L$28)/B15))</f>
        <v>1.42883405543914e-5</v>
      </c>
      <c r="L31" s="62">
        <f>(NORMSDIST((I31-$L$28)/B15)-NORMSDIST((I31-$M$28)/B15))</f>
        <v>0.792586344201793</v>
      </c>
      <c r="M31" s="63">
        <f>(NORMSDIST((I31-$M$28)/B15)-NORMSDIST((I31-$N$28)/B15))</f>
        <v>0.20739936443461</v>
      </c>
      <c r="N31" s="69">
        <f>(NORMSDIST((I31-$N$28)/B15)-NORMSDIST((I31-$O$28)/B15))</f>
        <v>3.02304269736091e-9</v>
      </c>
      <c r="O31" s="69">
        <f>(NORMSDIST((I31-$O$28)/B15)-NORMSDIST((I31-$P$28)/B15))</f>
        <v>1.45386390452746e-27</v>
      </c>
      <c r="P31" s="63">
        <f>(NORMSDIST((I31-$P$28)/B15)-NORMSDIST((I31-$Q$28)/B15))</f>
        <v>1.21677775666528e-56</v>
      </c>
      <c r="Q31" s="63">
        <f>(NORMSDIST((I31-$Q$28)/B15)-NORMSDIST((I31-$R$28)/B15))</f>
        <v>1.56702032903118e-96</v>
      </c>
      <c r="R31" s="63"/>
      <c r="S31" s="64">
        <f t="shared" si="1"/>
        <v>1</v>
      </c>
    </row>
    <row r="32" s="16" customFormat="1" ht="18" customHeight="1" spans="1:25">
      <c r="A32" s="65"/>
      <c r="B32" s="65"/>
      <c r="C32" s="56">
        <f t="shared" si="2"/>
        <v>0.256</v>
      </c>
      <c r="D32" s="67"/>
      <c r="E32" s="58">
        <v>38184</v>
      </c>
      <c r="F32" s="70">
        <f t="shared" si="0"/>
        <v>9.775104</v>
      </c>
      <c r="G32" s="59">
        <f t="shared" si="3"/>
        <v>469.204992</v>
      </c>
      <c r="H32" s="71">
        <f t="shared" si="4"/>
        <v>0.948887207422091</v>
      </c>
      <c r="I32" s="61">
        <f t="shared" si="5"/>
        <v>445.222614567384</v>
      </c>
      <c r="J32" s="72"/>
      <c r="K32" s="73">
        <f>(NORMSDIST((I32-$K$28)/B15)-NORMSDIST((I32-$L$28)/B15))</f>
        <v>8.82071704566556e-8</v>
      </c>
      <c r="L32" s="73">
        <f>(NORMSDIST((I32-$L$28)/B15)-NORMSDIST((I32-$M$28)/B15))</f>
        <v>0.41191766069516</v>
      </c>
      <c r="M32" s="73">
        <f>(NORMSDIST((I32-$M$28)/B15)-NORMSDIST((I32-$N$28)/B15))</f>
        <v>0.588081363151812</v>
      </c>
      <c r="N32" s="73">
        <f>(NORMSDIST((I32-$N$28)/B15)-NORMSDIST((I32-$O$28)/B15))</f>
        <v>8.87945857339805e-7</v>
      </c>
      <c r="O32" s="73">
        <f>(NORMSDIST((I32-$O$28)/B15)-NORMSDIST((I32-$P$28)/B15))</f>
        <v>7.04003683300507e-23</v>
      </c>
      <c r="P32" s="73">
        <f>(NORMSDIST((I32-$P$28)/B15)-NORMSDIST((I32-$Q$28)/B15))</f>
        <v>1.02484853371359e-49</v>
      </c>
      <c r="Q32" s="73">
        <f>(NORMSDIST((I32-$Q$28)/B15)-NORMSDIST((I32-$R$28)/B15))</f>
        <v>2.33123387689952e-87</v>
      </c>
      <c r="R32" s="73"/>
      <c r="S32" s="64">
        <f t="shared" si="1"/>
        <v>1</v>
      </c>
    </row>
    <row r="33" s="14" customFormat="1" ht="18" customHeight="1" spans="1:19">
      <c r="A33" s="65"/>
      <c r="B33" s="65"/>
      <c r="C33" s="56">
        <f t="shared" si="2"/>
        <v>0.257</v>
      </c>
      <c r="D33" s="76"/>
      <c r="E33" s="58">
        <v>38184</v>
      </c>
      <c r="F33" s="59">
        <f t="shared" si="0"/>
        <v>9.813288</v>
      </c>
      <c r="G33" s="59">
        <f t="shared" si="3"/>
        <v>471.037824</v>
      </c>
      <c r="H33" s="60">
        <f t="shared" si="4"/>
        <v>0.947387207422091</v>
      </c>
      <c r="I33" s="61">
        <f t="shared" si="5"/>
        <v>446.255208669538</v>
      </c>
      <c r="J33" s="72"/>
      <c r="K33" s="62">
        <f>(NORMSDIST((I33-$K$28)/B15)-NORMSDIST((I33-$L$28)/B15))</f>
        <v>1.98492333680633e-10</v>
      </c>
      <c r="L33" s="62">
        <f>(NORMSDIST((I33-$L$28)/B15)-NORMSDIST((I33-$M$28)/B15))</f>
        <v>0.104701509382054</v>
      </c>
      <c r="M33" s="63">
        <f>(NORMSDIST((I33-$M$28)/B15)-NORMSDIST((I33-$N$28)/B15))</f>
        <v>0.895208218534678</v>
      </c>
      <c r="N33" s="63">
        <f>(NORMSDIST((I33-$N$28)/B15)-NORMSDIST((I33-$O$28)/B15))</f>
        <v>9.02718847757456e-5</v>
      </c>
      <c r="O33" s="63">
        <f>(NORMSDIST((I33-$O$28)/B15)-NORMSDIST((I33-$P$28)/B15))</f>
        <v>1.11714087749249e-18</v>
      </c>
      <c r="P33" s="63">
        <f>(NORMSDIST((I33-$P$28)/B15)-NORMSDIST((I33-$Q$28)/B15))</f>
        <v>2.73653134072109e-43</v>
      </c>
      <c r="Q33" s="63">
        <f>(NORMSDIST((I33-$Q$28)/B15)-NORMSDIST((I33-$R$28)/B15))</f>
        <v>1.06753871930139e-78</v>
      </c>
      <c r="R33" s="63"/>
      <c r="S33" s="64">
        <f t="shared" si="1"/>
        <v>1</v>
      </c>
    </row>
    <row r="34" s="14" customFormat="1" ht="18" customHeight="1" spans="1:19">
      <c r="A34" s="65"/>
      <c r="B34" s="65"/>
      <c r="C34" s="56">
        <f t="shared" si="2"/>
        <v>0.258</v>
      </c>
      <c r="D34" s="76"/>
      <c r="E34" s="58">
        <v>38184</v>
      </c>
      <c r="F34" s="59">
        <f t="shared" si="0"/>
        <v>9.851472</v>
      </c>
      <c r="G34" s="59">
        <f t="shared" si="3"/>
        <v>472.870656</v>
      </c>
      <c r="H34" s="60">
        <f t="shared" si="4"/>
        <v>0.945887207422091</v>
      </c>
      <c r="I34" s="61">
        <f t="shared" si="5"/>
        <v>447.282304275692</v>
      </c>
      <c r="J34" s="75"/>
      <c r="K34" s="62">
        <f>(NORMSDIST((I34-$K$28)/B15)-NORMSDIST((I34-$L$28)/B15))</f>
        <v>1.64090963039598e-13</v>
      </c>
      <c r="L34" s="62">
        <f>(NORMSDIST((I34-$L$28)/B15)-NORMSDIST((I34-$M$28)/B15))</f>
        <v>0.0112356911461211</v>
      </c>
      <c r="M34" s="63">
        <f>(NORMSDIST((I34-$M$28)/B15)-NORMSDIST((I34-$N$28)/B15))</f>
        <v>0.985477395767833</v>
      </c>
      <c r="N34" s="63">
        <f>(NORMSDIST((I34-$N$28)/B15)-NORMSDIST((I34-$O$28)/B15))</f>
        <v>0.00328691308587566</v>
      </c>
      <c r="O34" s="63">
        <f>(NORMSDIST((I34-$O$28)/B15)-NORMSDIST((I34-$P$28)/B15))</f>
        <v>5.92257775033991e-15</v>
      </c>
      <c r="P34" s="63">
        <f>(NORMSDIST((I34-$P$28)/B15)-NORMSDIST((I34-$Q$28)/B15))</f>
        <v>2.35781007717624e-37</v>
      </c>
      <c r="Q34" s="63">
        <f>(NORMSDIST((I34-$Q$28)/B15)-NORMSDIST((I34-$R$28)/B15))</f>
        <v>1.53100228591707e-70</v>
      </c>
      <c r="R34" s="63"/>
      <c r="S34" s="64">
        <f t="shared" si="1"/>
        <v>1</v>
      </c>
    </row>
    <row r="35" s="14" customFormat="1" ht="18" customHeight="1" spans="1:19">
      <c r="A35" s="65"/>
      <c r="B35" s="65"/>
      <c r="C35" s="56">
        <f t="shared" si="2"/>
        <v>0.259</v>
      </c>
      <c r="D35" s="76"/>
      <c r="E35" s="58">
        <v>38184</v>
      </c>
      <c r="F35" s="59">
        <f t="shared" si="0"/>
        <v>9.889656</v>
      </c>
      <c r="G35" s="59">
        <f t="shared" si="3"/>
        <v>474.703488</v>
      </c>
      <c r="H35" s="60">
        <f t="shared" si="4"/>
        <v>0.944387207422091</v>
      </c>
      <c r="I35" s="61">
        <f t="shared" si="5"/>
        <v>448.303901385846</v>
      </c>
      <c r="J35" s="77"/>
      <c r="K35" s="62">
        <f>(NORMSDIST((I35-$K$28)/B15)-NORMSDIST((I35-$L$28)/B15))</f>
        <v>0</v>
      </c>
      <c r="L35" s="62">
        <f>(NORMSDIST((I35-$L$28)/B15)-NORMSDIST((I35-$M$28)/B15))</f>
        <v>0.000476746829310426</v>
      </c>
      <c r="M35" s="63">
        <f>(NORMSDIST((I35-$M$28)/B15)-NORMSDIST((I35-$N$28)/B15))</f>
        <v>0.954589650135986</v>
      </c>
      <c r="N35" s="63">
        <f>(NORMSDIST((I35-$N$28)/B15)-NORMSDIST((I35-$O$28)/B15))</f>
        <v>0.0449336030240011</v>
      </c>
      <c r="O35" s="63">
        <f>(NORMSDIST((I35-$O$28)/B15)-NORMSDIST((I35-$P$28)/B15))</f>
        <v>1.07028650294774e-11</v>
      </c>
      <c r="P35" s="63">
        <f>(NORMSDIST((I35-$P$28)/B15)-NORMSDIST((I35-$Q$28)/B15))</f>
        <v>6.67244734965958e-32</v>
      </c>
      <c r="Q35" s="63">
        <f>(NORMSDIST((I35-$Q$28)/B15)-NORMSDIST((I35-$R$28)/B15))</f>
        <v>6.99598966835888e-63</v>
      </c>
      <c r="R35" s="63"/>
      <c r="S35" s="64">
        <f t="shared" si="1"/>
        <v>1</v>
      </c>
    </row>
    <row r="36" s="16" customFormat="1" ht="18" customHeight="1" spans="1:19">
      <c r="A36" s="65"/>
      <c r="B36" s="65"/>
      <c r="C36" s="78">
        <f t="shared" si="2"/>
        <v>0.26</v>
      </c>
      <c r="D36" s="76"/>
      <c r="E36" s="79">
        <v>38184</v>
      </c>
      <c r="F36" s="80">
        <f t="shared" si="0"/>
        <v>9.92784</v>
      </c>
      <c r="G36" s="80">
        <f t="shared" si="3"/>
        <v>476.53632</v>
      </c>
      <c r="H36" s="81">
        <f t="shared" si="4"/>
        <v>0.942887207422091</v>
      </c>
      <c r="I36" s="82">
        <v>449.32</v>
      </c>
      <c r="J36" s="82" t="s">
        <v>99</v>
      </c>
      <c r="K36" s="83">
        <f>(NORMSDIST((I36-$K$28)/B15)-NORMSDIST((I36-$L$28)/B15))</f>
        <v>0</v>
      </c>
      <c r="L36" s="83">
        <f>(NORMSDIST((I36-$L$28)/B15)-NORMSDIST((I36-$M$28)/B15))</f>
        <v>7.80146003809268e-6</v>
      </c>
      <c r="M36" s="84">
        <f>(NORMSDIST((I36-$M$28)/B15)-NORMSDIST((I36-$N$28)/B15))</f>
        <v>0.751739968086394</v>
      </c>
      <c r="N36" s="84">
        <f>(NORMSDIST((I36-$N$28)/B15)-NORMSDIST((I36-$O$28)/B15))</f>
        <v>0.248252223718831</v>
      </c>
      <c r="O36" s="84">
        <f>(NORMSDIST((I36-$O$28)/B15)-NORMSDIST((I36-$P$28)/B15))</f>
        <v>6.73473710155725e-9</v>
      </c>
      <c r="P36" s="84">
        <f>(NORMSDIST((I36-$P$28)/B15)-NORMSDIST((I36-$Q$28)/B15))</f>
        <v>6.31358298231085e-27</v>
      </c>
      <c r="Q36" s="84">
        <f>(NORMSDIST((I36-$Q$28)/B15)-NORMSDIST((I36-$R$28)/B15))</f>
        <v>1.03627111323149e-55</v>
      </c>
      <c r="R36" s="84"/>
      <c r="S36" s="85">
        <f t="shared" si="1"/>
        <v>1</v>
      </c>
    </row>
    <row r="37" s="14" customFormat="1" ht="18" customHeight="1" spans="1:19">
      <c r="A37" s="65"/>
      <c r="B37" s="65"/>
      <c r="C37" s="56">
        <f t="shared" si="2"/>
        <v>0.261</v>
      </c>
      <c r="D37" s="76"/>
      <c r="E37" s="58">
        <v>38184</v>
      </c>
      <c r="F37" s="59">
        <f t="shared" si="0"/>
        <v>9.966024</v>
      </c>
      <c r="G37" s="59">
        <f t="shared" si="3"/>
        <v>478.369152</v>
      </c>
      <c r="H37" s="60">
        <f t="shared" si="4"/>
        <v>0.941387207422091</v>
      </c>
      <c r="I37" s="61">
        <f>G37*(H36-0.15%)</f>
        <v>450.330600118154</v>
      </c>
      <c r="J37" s="75"/>
      <c r="K37" s="62">
        <f>(NORMSDIST((I37-$K$28)/B15)-NORMSDIST((I37-$L$28)/B15))</f>
        <v>0</v>
      </c>
      <c r="L37" s="62">
        <f>(NORMSDIST((I37-$L$28)/B15)-NORMSDIST((I37-$M$28)/B15))</f>
        <v>4.89443746642948e-8</v>
      </c>
      <c r="M37" s="63">
        <f>(NORMSDIST((I37-$M$28)/B15)-NORMSDIST((I37-$N$28)/B15))</f>
        <v>0.37047322953274</v>
      </c>
      <c r="N37" s="63">
        <f>(NORMSDIST((I37-$N$28)/B15)-NORMSDIST((I37-$O$28)/B15))</f>
        <v>0.629525211118527</v>
      </c>
      <c r="O37" s="63">
        <f>(NORMSDIST((I37-$O$28)/B15)-NORMSDIST((I37-$P$28)/B15))</f>
        <v>1.51040435861129e-6</v>
      </c>
      <c r="P37" s="63">
        <f>(NORMSDIST((I37-$P$28)/B15)-NORMSDIST((I37-$Q$28)/B15))</f>
        <v>2.03378111286299e-22</v>
      </c>
      <c r="Q37" s="63">
        <f>(NORMSDIST((I37-$Q$28)/B15)-NORMSDIST((I37-$R$28)/B15))</f>
        <v>5.06182279242956e-49</v>
      </c>
      <c r="R37" s="63"/>
      <c r="S37" s="64">
        <f t="shared" si="1"/>
        <v>1</v>
      </c>
    </row>
    <row r="38" s="27" customFormat="1" ht="18" customHeight="1" spans="1:19">
      <c r="A38" s="65"/>
      <c r="B38" s="65"/>
      <c r="C38" s="107">
        <f t="shared" si="2"/>
        <v>0.262</v>
      </c>
      <c r="D38" s="66"/>
      <c r="E38" s="108">
        <v>38184</v>
      </c>
      <c r="F38" s="109">
        <f t="shared" si="0"/>
        <v>10.004208</v>
      </c>
      <c r="G38" s="109">
        <f t="shared" ref="G38:G48" si="6">F38*48</f>
        <v>480.201984</v>
      </c>
      <c r="H38" s="71">
        <f t="shared" si="4"/>
        <v>0.939887207422091</v>
      </c>
      <c r="I38" s="61">
        <f>G38*(H37-0.15%)</f>
        <v>451.335701740308</v>
      </c>
      <c r="J38" s="75"/>
      <c r="K38" s="73">
        <f>(NORMSDIST((I38-$K$28)/B15)-NORMSDIST((I38-$L$28)/B15))</f>
        <v>0</v>
      </c>
      <c r="L38" s="73">
        <f>(NORMSDIST((I38-$L$28)/B15)-NORMSDIST((I38-$M$28)/B15))</f>
        <v>1.18131726623005e-10</v>
      </c>
      <c r="M38" s="73">
        <f>(NORMSDIST((I38-$M$28)/B15)-NORMSDIST((I38-$N$28)/B15))</f>
        <v>0.0908233900469726</v>
      </c>
      <c r="N38" s="73">
        <f>(NORMSDIST((I38-$N$28)/B15)-NORMSDIST((I38-$O$28)/B15))</f>
        <v>0.909052601016299</v>
      </c>
      <c r="O38" s="73">
        <f>(NORMSDIST((I38-$O$28)/B15)-NORMSDIST((I38-$P$28)/B15))</f>
        <v>0.000124008818596598</v>
      </c>
      <c r="P38" s="73">
        <f>(NORMSDIST((I38-$P$28)/B15)-NORMSDIST((I38-$Q$28)/B15))</f>
        <v>2.27151291876814e-18</v>
      </c>
      <c r="Q38" s="73">
        <f>(NORMSDIST((I38-$Q$28)/B15)-NORMSDIST((I38-$R$28)/B15))</f>
        <v>8.29476514012777e-43</v>
      </c>
      <c r="R38" s="73"/>
      <c r="S38" s="107">
        <f t="shared" si="1"/>
        <v>1</v>
      </c>
    </row>
    <row r="39" s="27" customFormat="1" ht="18" customHeight="1" spans="1:19">
      <c r="A39" s="65"/>
      <c r="B39" s="65"/>
      <c r="C39" s="107">
        <f t="shared" si="2"/>
        <v>0.263</v>
      </c>
      <c r="D39" s="66"/>
      <c r="E39" s="108">
        <v>38184</v>
      </c>
      <c r="F39" s="109">
        <f t="shared" si="0"/>
        <v>10.042392</v>
      </c>
      <c r="G39" s="109">
        <f t="shared" si="6"/>
        <v>482.034816</v>
      </c>
      <c r="H39" s="71">
        <f t="shared" si="4"/>
        <v>0.938387207422091</v>
      </c>
      <c r="I39" s="61">
        <f>G39*(H38-0.15%)</f>
        <v>452.335304866462</v>
      </c>
      <c r="J39" s="75"/>
      <c r="K39" s="73">
        <f>(NORMSDIST((I39-$K$28)/B15)-NORMSDIST((I39-$L$28)/B15))</f>
        <v>0</v>
      </c>
      <c r="L39" s="73">
        <f>(NORMSDIST((I39-$L$28)/B15)-NORMSDIST((I39-$M$28)/B15))</f>
        <v>1.10578213252666e-13</v>
      </c>
      <c r="M39" s="73">
        <f>(NORMSDIST((I39-$M$28)/B15)-NORMSDIST((I39-$N$28)/B15))</f>
        <v>0.00976375006689556</v>
      </c>
      <c r="N39" s="73">
        <f>(NORMSDIST((I39-$N$28)/B15)-NORMSDIST((I39-$O$28)/B15))</f>
        <v>0.986383342651674</v>
      </c>
      <c r="O39" s="73">
        <f>(NORMSDIST((I39-$O$28)/B15)-NORMSDIST((I39-$P$28)/B15))</f>
        <v>0.00385290728131122</v>
      </c>
      <c r="P39" s="73">
        <f>(NORMSDIST((I39-$P$28)/B15)-NORMSDIST((I39-$Q$28)/B15))</f>
        <v>8.96282403598992e-15</v>
      </c>
      <c r="Q39" s="73">
        <f>(NORMSDIST((I39-$Q$28)/B15)-NORMSDIST((I39-$R$28)/B15))</f>
        <v>4.63900530489433e-37</v>
      </c>
      <c r="R39" s="73"/>
      <c r="S39" s="107">
        <f t="shared" si="1"/>
        <v>1</v>
      </c>
    </row>
    <row r="40" s="14" customFormat="1" ht="18" customHeight="1" spans="1:19">
      <c r="A40" s="65"/>
      <c r="B40" s="65"/>
      <c r="C40" s="56">
        <f t="shared" si="2"/>
        <v>0.264</v>
      </c>
      <c r="D40" s="76"/>
      <c r="E40" s="58">
        <v>38184</v>
      </c>
      <c r="F40" s="59">
        <f t="shared" si="0"/>
        <v>10.080576</v>
      </c>
      <c r="G40" s="59">
        <f t="shared" si="6"/>
        <v>483.867648</v>
      </c>
      <c r="H40" s="60">
        <f t="shared" si="4"/>
        <v>0.936887207422091</v>
      </c>
      <c r="I40" s="61">
        <f t="shared" ref="I40:I48" si="7">G40*(H39-0.15%)</f>
        <v>453.329409496616</v>
      </c>
      <c r="J40" s="61"/>
      <c r="K40" s="62">
        <f>(NORMSDIST((I40-$K$28)/B15)-NORMSDIST((I40-$L$28)/B15))</f>
        <v>0</v>
      </c>
      <c r="L40" s="62">
        <f>(NORMSDIST((I40-$L$28)/B15)-NORMSDIST((I40-$M$28)/B15))</f>
        <v>0</v>
      </c>
      <c r="M40" s="63">
        <f>(NORMSDIST((I40-$M$28)/B15)-NORMSDIST((I40-$N$28)/B15))</f>
        <v>0.000435151717730342</v>
      </c>
      <c r="N40" s="63">
        <f>(NORMSDIST((I40-$N$28)/B15)-NORMSDIST((I40-$O$28)/B15))</f>
        <v>0.952163553507565</v>
      </c>
      <c r="O40" s="63">
        <f>(NORMSDIST((I40-$O$28)/B15)-NORMSDIST((I40-$P$28)/B15))</f>
        <v>0.0474012947619662</v>
      </c>
      <c r="P40" s="63">
        <f>(NORMSDIST((I40-$P$28)/B15)-NORMSDIST((I40-$Q$28)/B15))</f>
        <v>1.27388099959044e-11</v>
      </c>
      <c r="Q40" s="63">
        <f>(NORMSDIST((I40-$Q$28)/B15)-NORMSDIST((I40-$R$28)/B15))</f>
        <v>9.00841527375289e-32</v>
      </c>
      <c r="R40" s="63"/>
      <c r="S40" s="64">
        <f t="shared" si="1"/>
        <v>1</v>
      </c>
    </row>
    <row r="41" s="14" customFormat="1" ht="18" customHeight="1" spans="1:19">
      <c r="A41" s="65"/>
      <c r="B41" s="65"/>
      <c r="C41" s="56">
        <f t="shared" si="2"/>
        <v>0.265</v>
      </c>
      <c r="D41" s="76"/>
      <c r="E41" s="58">
        <v>38184</v>
      </c>
      <c r="F41" s="59">
        <f t="shared" si="0"/>
        <v>10.11876</v>
      </c>
      <c r="G41" s="59">
        <f t="shared" si="6"/>
        <v>485.70048</v>
      </c>
      <c r="H41" s="60">
        <f t="shared" si="4"/>
        <v>0.935387207422091</v>
      </c>
      <c r="I41" s="61">
        <f t="shared" si="7"/>
        <v>454.318015630769</v>
      </c>
      <c r="J41" s="61"/>
      <c r="K41" s="62">
        <f>(NORMSDIST((I41-$K$28)/B15)-NORMSDIST((I41-$L$28)/B15))</f>
        <v>0</v>
      </c>
      <c r="L41" s="62">
        <f>(NORMSDIST((I41-$L$28)/B15)-NORMSDIST((I41-$M$28)/B15))</f>
        <v>0</v>
      </c>
      <c r="M41" s="63">
        <f>(NORMSDIST((I41-$M$28)/B15)-NORMSDIST((I41-$N$28)/B15))</f>
        <v>7.87191416118382e-6</v>
      </c>
      <c r="N41" s="63">
        <f>(NORMSDIST((I41-$N$28)/B15)-NORMSDIST((I41-$O$28)/B15))</f>
        <v>0.752367710773095</v>
      </c>
      <c r="O41" s="63">
        <f>(NORMSDIST((I41-$O$28)/B15)-NORMSDIST((I41-$P$28)/B15))</f>
        <v>0.247624410655702</v>
      </c>
      <c r="P41" s="63">
        <f>(NORMSDIST((I41-$P$28)/B15)-NORMSDIST((I41-$Q$28)/B15))</f>
        <v>6.65704159463568e-9</v>
      </c>
      <c r="Q41" s="63">
        <f>(NORMSDIST((I41-$Q$28)/B15)-NORMSDIST((I41-$R$28)/B15))</f>
        <v>6.18004558034111e-27</v>
      </c>
      <c r="R41" s="63"/>
      <c r="S41" s="64">
        <f t="shared" si="1"/>
        <v>1</v>
      </c>
    </row>
    <row r="42" s="14" customFormat="1" ht="18" customHeight="1" spans="1:19">
      <c r="A42" s="65"/>
      <c r="B42" s="65"/>
      <c r="C42" s="56">
        <f t="shared" si="2"/>
        <v>0.266</v>
      </c>
      <c r="D42" s="76"/>
      <c r="E42" s="58">
        <v>38184</v>
      </c>
      <c r="F42" s="59">
        <f t="shared" si="0"/>
        <v>10.156944</v>
      </c>
      <c r="G42" s="59">
        <f t="shared" si="6"/>
        <v>487.533312</v>
      </c>
      <c r="H42" s="60">
        <f t="shared" si="4"/>
        <v>0.933887207422092</v>
      </c>
      <c r="I42" s="61">
        <f t="shared" si="7"/>
        <v>455.301123268923</v>
      </c>
      <c r="J42" s="61"/>
      <c r="K42" s="62">
        <f>(NORMSDIST((I42-$K$28)/B15)-NORMSDIST((I42-$L$28)/B15))</f>
        <v>0</v>
      </c>
      <c r="L42" s="62">
        <f>(NORMSDIST((I42-$L$28)/B15)-NORMSDIST((I42-$M$28)/B15))</f>
        <v>0</v>
      </c>
      <c r="M42" s="63">
        <f>(NORMSDIST((I42-$M$28)/B15)-NORMSDIST((I42-$N$28)/B15))</f>
        <v>5.75461709395597e-8</v>
      </c>
      <c r="N42" s="63">
        <f>(NORMSDIST((I42-$N$28)/B15)-NORMSDIST((I42-$O$28)/B15))</f>
        <v>0.381660191447454</v>
      </c>
      <c r="O42" s="63">
        <f>(NORMSDIST((I42-$O$28)/B15)-NORMSDIST((I42-$P$28)/B15))</f>
        <v>0.618338443024976</v>
      </c>
      <c r="P42" s="63">
        <f>(NORMSDIST((I42-$P$28)/B15)-NORMSDIST((I42-$Q$28)/B15))</f>
        <v>1.30798139935273e-6</v>
      </c>
      <c r="Q42" s="63">
        <f>(NORMSDIST((I42-$Q$28)/B15)-NORMSDIST((I42-$R$28)/B15))</f>
        <v>1.52418015621407e-22</v>
      </c>
      <c r="R42" s="63"/>
      <c r="S42" s="64">
        <f t="shared" si="1"/>
        <v>1</v>
      </c>
    </row>
    <row r="43" s="14" customFormat="1" ht="18" customHeight="1" spans="1:19">
      <c r="A43" s="65"/>
      <c r="B43" s="65"/>
      <c r="C43" s="56">
        <f t="shared" si="2"/>
        <v>0.267</v>
      </c>
      <c r="D43" s="76"/>
      <c r="E43" s="58">
        <v>38184</v>
      </c>
      <c r="F43" s="59">
        <f t="shared" si="0"/>
        <v>10.195128</v>
      </c>
      <c r="G43" s="59">
        <f t="shared" si="6"/>
        <v>489.366144</v>
      </c>
      <c r="H43" s="60">
        <f t="shared" si="4"/>
        <v>0.932387207422092</v>
      </c>
      <c r="I43" s="61">
        <f t="shared" si="7"/>
        <v>456.278732411077</v>
      </c>
      <c r="J43" s="61"/>
      <c r="K43" s="62">
        <f>(NORMSDIST((I43-$K$28)/B15)-NORMSDIST((I43-$L$28)/B15))</f>
        <v>0</v>
      </c>
      <c r="L43" s="62">
        <f>(NORMSDIST((I43-$L$28)/B15)-NORMSDIST((I43-$M$28)/B15))</f>
        <v>0</v>
      </c>
      <c r="M43" s="63">
        <f>(NORMSDIST((I43-$M$28)/B15)-NORMSDIST((I43-$N$28)/B15))</f>
        <v>1.70672254107274e-10</v>
      </c>
      <c r="N43" s="63">
        <f>(NORMSDIST((I43-$N$28)/B15)-NORMSDIST((I43-$O$28)/B15))</f>
        <v>0.100495650907595</v>
      </c>
      <c r="O43" s="63">
        <f>(NORMSDIST((I43-$O$28)/B15)-NORMSDIST((I43-$P$28)/B15))</f>
        <v>0.899405236296029</v>
      </c>
      <c r="P43" s="63">
        <f>(NORMSDIST((I43-$P$28)/B15)-NORMSDIST((I43-$Q$28)/B15))</f>
        <v>9.91126257038721e-5</v>
      </c>
      <c r="Q43" s="63">
        <f>(NORMSDIST((I43-$Q$28)/B15)-NORMSDIST((I43-$R$28)/B15))</f>
        <v>1.3755221531413e-18</v>
      </c>
      <c r="R43" s="63"/>
      <c r="S43" s="64">
        <f t="shared" si="1"/>
        <v>1</v>
      </c>
    </row>
    <row r="44" s="14" customFormat="1" ht="18" hidden="1" customHeight="1" spans="1:19">
      <c r="A44" s="65"/>
      <c r="B44" s="65"/>
      <c r="C44" s="56">
        <f t="shared" si="2"/>
        <v>0.268</v>
      </c>
      <c r="D44" s="76"/>
      <c r="E44" s="58">
        <v>38184</v>
      </c>
      <c r="F44" s="59">
        <f t="shared" si="0"/>
        <v>10.233312</v>
      </c>
      <c r="G44" s="59">
        <f t="shared" si="6"/>
        <v>491.198976</v>
      </c>
      <c r="H44" s="60">
        <f t="shared" si="4"/>
        <v>0.930887207422092</v>
      </c>
      <c r="I44" s="61">
        <f t="shared" si="7"/>
        <v>457.250843057231</v>
      </c>
      <c r="J44" s="61"/>
      <c r="K44" s="62">
        <f>(NORMSDIST((I44-$K$28)/B15)-NORMSDIST((I44-$L$28)/B15))</f>
        <v>0</v>
      </c>
      <c r="L44" s="62">
        <f>(NORMSDIST((I44-$L$28)/B15)-NORMSDIST((I44-$M$28)/B15))</f>
        <v>0</v>
      </c>
      <c r="M44" s="63">
        <f>(NORMSDIST((I44-$M$28)/B15)-NORMSDIST((I44-$N$28)/B15))</f>
        <v>2.07056594092592e-13</v>
      </c>
      <c r="N44" s="63">
        <f>(NORMSDIST((I44-$N$28)/B15)-NORMSDIST((I44-$O$28)/B15))</f>
        <v>0.0121977396776404</v>
      </c>
      <c r="O44" s="63">
        <f>(NORMSDIST((I44-$O$28)/B15)-NORMSDIST((I44-$P$28)/B15))</f>
        <v>0.984814821800602</v>
      </c>
      <c r="P44" s="63">
        <f>(NORMSDIST((I44-$P$28)/B15)-NORMSDIST((I44-$Q$28)/B15))</f>
        <v>0.00298743852154641</v>
      </c>
      <c r="Q44" s="63">
        <f>(NORMSDIST((I44-$Q$28)/B15)-NORMSDIST((I44-$R$28)/B15))</f>
        <v>4.62523159539647e-15</v>
      </c>
      <c r="R44" s="63"/>
      <c r="S44" s="64">
        <f t="shared" si="1"/>
        <v>1</v>
      </c>
    </row>
    <row r="45" s="14" customFormat="1" ht="18" hidden="1" customHeight="1" spans="1:19">
      <c r="A45" s="65"/>
      <c r="B45" s="65"/>
      <c r="C45" s="56">
        <f t="shared" si="2"/>
        <v>0.269</v>
      </c>
      <c r="D45" s="87"/>
      <c r="E45" s="58">
        <v>38184</v>
      </c>
      <c r="F45" s="59">
        <f t="shared" si="0"/>
        <v>10.271496</v>
      </c>
      <c r="G45" s="59">
        <f t="shared" si="6"/>
        <v>493.031808</v>
      </c>
      <c r="H45" s="60">
        <f t="shared" si="4"/>
        <v>0.929387207422092</v>
      </c>
      <c r="I45" s="61">
        <f t="shared" si="7"/>
        <v>458.217455207385</v>
      </c>
      <c r="J45" s="61"/>
      <c r="K45" s="62">
        <f>(NORMSDIST((I45-$K$28)/B15)-NORMSDIST((I45-$L$28)/B15))</f>
        <v>0</v>
      </c>
      <c r="L45" s="62">
        <f>(NORMSDIST((I45-$L$28)/B15)-NORMSDIST((I45-$M$28)/B15))</f>
        <v>0</v>
      </c>
      <c r="M45" s="63">
        <f>(NORMSDIST((I45-$M$28)/B15)-NORMSDIST((I45-$N$28)/B15))</f>
        <v>0</v>
      </c>
      <c r="N45" s="63">
        <f>(NORMSDIST((I45-$N$28)/B15)-NORMSDIST((I45-$O$28)/B15))</f>
        <v>0.000646666100536541</v>
      </c>
      <c r="O45" s="63">
        <f>(NORMSDIST((I45-$O$28)/B15)-NORMSDIST((I45-$P$28)/B15))</f>
        <v>0.962023117134692</v>
      </c>
      <c r="P45" s="63">
        <f>(NORMSDIST((I45-$P$28)/B15)-NORMSDIST((I45-$Q$28)/B15))</f>
        <v>0.0373302167588675</v>
      </c>
      <c r="Q45" s="63">
        <f>(NORMSDIST((I45-$Q$28)/B15)-NORMSDIST((I45-$R$28)/B15))</f>
        <v>5.90386174522512e-12</v>
      </c>
      <c r="R45" s="63"/>
      <c r="S45" s="64">
        <f t="shared" si="1"/>
        <v>1</v>
      </c>
    </row>
    <row r="46" s="14" customFormat="1" ht="18" hidden="1" customHeight="1" spans="1:19">
      <c r="A46" s="65"/>
      <c r="B46" s="65"/>
      <c r="C46" s="56">
        <f t="shared" si="2"/>
        <v>0.27</v>
      </c>
      <c r="D46" s="87"/>
      <c r="E46" s="58">
        <v>38184</v>
      </c>
      <c r="F46" s="59">
        <f t="shared" si="0"/>
        <v>10.30968</v>
      </c>
      <c r="G46" s="59">
        <f t="shared" si="6"/>
        <v>494.86464</v>
      </c>
      <c r="H46" s="60">
        <f t="shared" si="4"/>
        <v>0.927887207422092</v>
      </c>
      <c r="I46" s="61">
        <f t="shared" si="7"/>
        <v>459.178568861539</v>
      </c>
      <c r="J46" s="61"/>
      <c r="K46" s="62">
        <f>(NORMSDIST((I46-$K$28)/B15)-NORMSDIST((I46-$L$28)/B15))</f>
        <v>0</v>
      </c>
      <c r="L46" s="62">
        <f>(NORMSDIST((I46-$L$28)/B15)-NORMSDIST((I46-$M$28)/B15))</f>
        <v>0</v>
      </c>
      <c r="M46" s="63">
        <f>(NORMSDIST((I46-$M$28)/B15)-NORMSDIST((I46-$N$28)/B15))</f>
        <v>0</v>
      </c>
      <c r="N46" s="63">
        <f>(NORMSDIST((I46-$N$28)/B15)-NORMSDIST((I46-$O$28)/B15))</f>
        <v>1.46674590165707e-5</v>
      </c>
      <c r="O46" s="63">
        <f>(NORMSDIST((I46-$O$28)/B15)-NORMSDIST((I46-$P$28)/B15))</f>
        <v>0.794284966047412</v>
      </c>
      <c r="P46" s="63">
        <f>(NORMSDIST((I46-$P$28)/B15)-NORMSDIST((I46-$Q$28)/B15))</f>
        <v>0.20570036357628</v>
      </c>
      <c r="Q46" s="63">
        <f>(NORMSDIST((I46-$Q$28)/B15)-NORMSDIST((I46-$R$28)/B15))</f>
        <v>2.91729222071018e-9</v>
      </c>
      <c r="R46" s="63"/>
      <c r="S46" s="64">
        <f t="shared" si="1"/>
        <v>1</v>
      </c>
    </row>
    <row r="47" s="14" customFormat="1" ht="18" hidden="1" customHeight="1" spans="1:19">
      <c r="A47" s="65"/>
      <c r="B47" s="65"/>
      <c r="C47" s="56">
        <f t="shared" si="2"/>
        <v>0.271</v>
      </c>
      <c r="D47" s="87"/>
      <c r="E47" s="58">
        <v>38184</v>
      </c>
      <c r="F47" s="59">
        <f t="shared" si="0"/>
        <v>10.347864</v>
      </c>
      <c r="G47" s="59">
        <f t="shared" si="6"/>
        <v>496.697472</v>
      </c>
      <c r="H47" s="60">
        <f t="shared" si="4"/>
        <v>0.926387207422092</v>
      </c>
      <c r="I47" s="61">
        <f t="shared" si="7"/>
        <v>460.134184019693</v>
      </c>
      <c r="J47" s="61"/>
      <c r="K47" s="62">
        <f>(NORMSDIST((I47-$K$28)/B15)-NORMSDIST((I47-$L$28)/B15))</f>
        <v>0</v>
      </c>
      <c r="L47" s="62">
        <f>(NORMSDIST((I47-$L$28)/B15)-NORMSDIST((I47-$M$28)/B15))</f>
        <v>0</v>
      </c>
      <c r="M47" s="63">
        <f>(NORMSDIST((I47-$M$28)/B15)-NORMSDIST((I47-$N$28)/B15))</f>
        <v>0</v>
      </c>
      <c r="N47" s="63">
        <f>(NORMSDIST((I47-$N$28)/B15)-NORMSDIST((I47-$O$28)/B15))</f>
        <v>1.41685367993638e-7</v>
      </c>
      <c r="O47" s="63">
        <f>(NORMSDIST((I47-$O$28)/B15)-NORMSDIST((I47-$P$28)/B15))</f>
        <v>0.446628389347943</v>
      </c>
      <c r="P47" s="63">
        <f>(NORMSDIST((I47-$P$28)/B15)-NORMSDIST((I47-$Q$28)/B15))</f>
        <v>0.553370899038994</v>
      </c>
      <c r="Q47" s="63">
        <f>(NORMSDIST((I47-$Q$28)/B15)-NORMSDIST((I47-$R$28)/B15))</f>
        <v>5.69927695229713e-7</v>
      </c>
      <c r="R47" s="63"/>
      <c r="S47" s="64">
        <f t="shared" si="1"/>
        <v>1</v>
      </c>
    </row>
    <row r="48" s="14" customFormat="1" ht="18" hidden="1" customHeight="1" spans="1:19">
      <c r="A48" s="65"/>
      <c r="B48" s="65"/>
      <c r="C48" s="56">
        <f t="shared" si="2"/>
        <v>0.272</v>
      </c>
      <c r="D48" s="87"/>
      <c r="E48" s="58">
        <v>38184</v>
      </c>
      <c r="F48" s="59">
        <f t="shared" si="0"/>
        <v>10.386048</v>
      </c>
      <c r="G48" s="59">
        <f t="shared" si="6"/>
        <v>498.530304</v>
      </c>
      <c r="H48" s="60">
        <f t="shared" si="4"/>
        <v>0.924887207422092</v>
      </c>
      <c r="I48" s="61">
        <f t="shared" si="7"/>
        <v>461.084300681847</v>
      </c>
      <c r="J48" s="61"/>
      <c r="K48" s="62">
        <f>(NORMSDIST((I48-$K$28)/B15)-NORMSDIST((I48-$L$28)/B15))</f>
        <v>0</v>
      </c>
      <c r="L48" s="62">
        <f>(NORMSDIST((I48-$L$28)/B15)-NORMSDIST((I48-$M$28)/B15))</f>
        <v>0</v>
      </c>
      <c r="M48" s="63">
        <f>(NORMSDIST((I48-$M$28)/B15)-NORMSDIST((I48-$N$28)/B15))</f>
        <v>0</v>
      </c>
      <c r="N48" s="63">
        <f>(NORMSDIST((I48-$N$28)/B15)-NORMSDIST((I48-$O$28)/B15))</f>
        <v>5.85004267250611e-10</v>
      </c>
      <c r="O48" s="63">
        <f>(NORMSDIST((I48-$O$28)/B15)-NORMSDIST((I48-$P$28)/B15))</f>
        <v>0.13911575095737</v>
      </c>
      <c r="P48" s="63">
        <f>(NORMSDIST((I48-$P$28)/B15)-NORMSDIST((I48-$Q$28)/B15))</f>
        <v>0.860839177189265</v>
      </c>
      <c r="Q48" s="63">
        <f>(NORMSDIST((I48-$Q$28)/B15)-NORMSDIST((I48-$R$28)/B15))</f>
        <v>4.50712683607814e-5</v>
      </c>
      <c r="R48" s="63"/>
      <c r="S48" s="64">
        <f t="shared" si="1"/>
        <v>1</v>
      </c>
    </row>
    <row r="49" s="14" customFormat="1" ht="9.6" customHeight="1" spans="4:19">
      <c r="D49" s="88"/>
    </row>
    <row r="50" s="14" customFormat="1" ht="18" customHeight="1" spans="4:19">
      <c r="D50" s="89"/>
      <c r="I50" s="90" t="s">
        <v>90</v>
      </c>
      <c r="J50" s="90" t="s">
        <v>89</v>
      </c>
      <c r="K50" s="53">
        <f>K28</f>
        <v>435</v>
      </c>
      <c r="L50" s="53">
        <f t="shared" ref="L50:R50" si="8">L28</f>
        <v>440</v>
      </c>
      <c r="M50" s="53">
        <f t="shared" si="8"/>
        <v>445</v>
      </c>
      <c r="N50" s="53">
        <f t="shared" si="8"/>
        <v>450</v>
      </c>
      <c r="O50" s="53">
        <f t="shared" si="8"/>
        <v>455</v>
      </c>
      <c r="P50" s="53">
        <f t="shared" si="8"/>
        <v>460</v>
      </c>
      <c r="Q50" s="53">
        <f t="shared" si="8"/>
        <v>465</v>
      </c>
      <c r="R50" s="53">
        <f t="shared" si="8"/>
        <v>470</v>
      </c>
      <c r="S50" s="54" t="s">
        <v>96</v>
      </c>
    </row>
    <row r="51" s="14" customFormat="1" ht="18" customHeight="1" spans="4:19">
      <c r="I51" s="91">
        <f t="shared" ref="I51:I70" si="9">D29</f>
        <v>0</v>
      </c>
      <c r="J51" s="56">
        <f t="shared" ref="J51:J70" si="10">C29</f>
        <v>0.253</v>
      </c>
      <c r="K51" s="63">
        <f t="shared" ref="K51:K70" si="11">D29*K29</f>
        <v>0</v>
      </c>
      <c r="L51" s="63">
        <f t="shared" ref="L51:L70" si="12">D29*L29</f>
        <v>0</v>
      </c>
      <c r="M51" s="63">
        <f t="shared" ref="M51:M70" si="13">D29*M29</f>
        <v>0</v>
      </c>
      <c r="N51" s="63">
        <f t="shared" ref="N51:N70" si="14">D29*N29</f>
        <v>0</v>
      </c>
      <c r="O51" s="63">
        <f t="shared" ref="O51:O70" si="15">D29*O29</f>
        <v>0</v>
      </c>
      <c r="P51" s="63">
        <f t="shared" ref="P51:P70" si="16">D29*P29</f>
        <v>0</v>
      </c>
      <c r="Q51" s="63">
        <f t="shared" ref="Q51:Q70" si="17">D29*Q29</f>
        <v>0</v>
      </c>
      <c r="R51" s="63"/>
      <c r="S51" s="64"/>
    </row>
    <row r="52" s="14" customFormat="1" ht="18" customHeight="1" spans="4:19">
      <c r="I52" s="91">
        <f t="shared" si="9"/>
        <v>0</v>
      </c>
      <c r="J52" s="56">
        <f t="shared" si="10"/>
        <v>0.254</v>
      </c>
      <c r="K52" s="63">
        <f t="shared" si="11"/>
        <v>0</v>
      </c>
      <c r="L52" s="63">
        <f t="shared" si="12"/>
        <v>0</v>
      </c>
      <c r="M52" s="63">
        <f t="shared" si="13"/>
        <v>0</v>
      </c>
      <c r="N52" s="63">
        <f t="shared" si="14"/>
        <v>0</v>
      </c>
      <c r="O52" s="63">
        <f t="shared" si="15"/>
        <v>0</v>
      </c>
      <c r="P52" s="63">
        <f t="shared" si="16"/>
        <v>0</v>
      </c>
      <c r="Q52" s="63">
        <f t="shared" si="17"/>
        <v>0</v>
      </c>
      <c r="R52" s="63"/>
      <c r="S52" s="64"/>
    </row>
    <row r="53" s="14" customFormat="1" ht="18" customHeight="1" spans="4:19">
      <c r="I53" s="91">
        <f t="shared" si="9"/>
        <v>0</v>
      </c>
      <c r="J53" s="56">
        <f t="shared" si="10"/>
        <v>0.255</v>
      </c>
      <c r="K53" s="63">
        <f t="shared" si="11"/>
        <v>0</v>
      </c>
      <c r="L53" s="63">
        <f t="shared" si="12"/>
        <v>0</v>
      </c>
      <c r="M53" s="63">
        <f t="shared" si="13"/>
        <v>0</v>
      </c>
      <c r="N53" s="63">
        <f t="shared" si="14"/>
        <v>0</v>
      </c>
      <c r="O53" s="63">
        <f t="shared" si="15"/>
        <v>0</v>
      </c>
      <c r="P53" s="63">
        <f t="shared" si="16"/>
        <v>0</v>
      </c>
      <c r="Q53" s="63">
        <f t="shared" si="17"/>
        <v>0</v>
      </c>
      <c r="R53" s="63"/>
      <c r="S53" s="64"/>
    </row>
    <row r="54" s="14" customFormat="1" ht="18" customHeight="1" spans="4:19">
      <c r="I54" s="91">
        <f t="shared" si="9"/>
        <v>0</v>
      </c>
      <c r="J54" s="56">
        <f t="shared" si="10"/>
        <v>0.256</v>
      </c>
      <c r="K54" s="73">
        <f t="shared" si="11"/>
        <v>0</v>
      </c>
      <c r="L54" s="73">
        <f t="shared" si="12"/>
        <v>0</v>
      </c>
      <c r="M54" s="73">
        <f t="shared" si="13"/>
        <v>0</v>
      </c>
      <c r="N54" s="73">
        <f t="shared" si="14"/>
        <v>0</v>
      </c>
      <c r="O54" s="73">
        <f t="shared" si="15"/>
        <v>0</v>
      </c>
      <c r="P54" s="73">
        <f t="shared" si="16"/>
        <v>0</v>
      </c>
      <c r="Q54" s="73">
        <f t="shared" si="17"/>
        <v>0</v>
      </c>
      <c r="R54" s="73"/>
      <c r="S54" s="64"/>
    </row>
    <row r="55" s="14" customFormat="1" ht="18" customHeight="1" spans="4:19">
      <c r="I55" s="91">
        <f t="shared" si="9"/>
        <v>0</v>
      </c>
      <c r="J55" s="56">
        <f t="shared" si="10"/>
        <v>0.257</v>
      </c>
      <c r="K55" s="63">
        <f t="shared" si="11"/>
        <v>0</v>
      </c>
      <c r="L55" s="63">
        <f t="shared" si="12"/>
        <v>0</v>
      </c>
      <c r="M55" s="63">
        <f t="shared" si="13"/>
        <v>0</v>
      </c>
      <c r="N55" s="63">
        <f t="shared" si="14"/>
        <v>0</v>
      </c>
      <c r="O55" s="63">
        <f t="shared" si="15"/>
        <v>0</v>
      </c>
      <c r="P55" s="63">
        <f t="shared" si="16"/>
        <v>0</v>
      </c>
      <c r="Q55" s="63">
        <f t="shared" si="17"/>
        <v>0</v>
      </c>
      <c r="R55" s="63"/>
      <c r="S55" s="64"/>
    </row>
    <row r="56" s="14" customFormat="1" ht="18" customHeight="1" spans="4:19">
      <c r="I56" s="91">
        <f t="shared" si="9"/>
        <v>0</v>
      </c>
      <c r="J56" s="56">
        <f t="shared" si="10"/>
        <v>0.258</v>
      </c>
      <c r="K56" s="63">
        <f t="shared" si="11"/>
        <v>0</v>
      </c>
      <c r="L56" s="63">
        <f t="shared" si="12"/>
        <v>0</v>
      </c>
      <c r="M56" s="63">
        <f t="shared" si="13"/>
        <v>0</v>
      </c>
      <c r="N56" s="63">
        <f t="shared" si="14"/>
        <v>0</v>
      </c>
      <c r="O56" s="63">
        <f t="shared" si="15"/>
        <v>0</v>
      </c>
      <c r="P56" s="63">
        <f t="shared" si="16"/>
        <v>0</v>
      </c>
      <c r="Q56" s="63">
        <f t="shared" si="17"/>
        <v>0</v>
      </c>
      <c r="R56" s="63"/>
      <c r="S56" s="64"/>
    </row>
    <row r="57" s="14" customFormat="1" ht="18" customHeight="1" spans="4:19">
      <c r="I57" s="91">
        <f t="shared" si="9"/>
        <v>0</v>
      </c>
      <c r="J57" s="56">
        <f t="shared" si="10"/>
        <v>0.259</v>
      </c>
      <c r="K57" s="63">
        <f t="shared" si="11"/>
        <v>0</v>
      </c>
      <c r="L57" s="63">
        <f t="shared" si="12"/>
        <v>0</v>
      </c>
      <c r="M57" s="63">
        <f t="shared" si="13"/>
        <v>0</v>
      </c>
      <c r="N57" s="63">
        <f t="shared" si="14"/>
        <v>0</v>
      </c>
      <c r="O57" s="63">
        <f t="shared" si="15"/>
        <v>0</v>
      </c>
      <c r="P57" s="63">
        <f t="shared" si="16"/>
        <v>0</v>
      </c>
      <c r="Q57" s="63">
        <f t="shared" si="17"/>
        <v>0</v>
      </c>
      <c r="R57" s="63"/>
      <c r="S57" s="64"/>
    </row>
    <row r="58" s="14" customFormat="1" ht="18" customHeight="1" spans="4:19">
      <c r="I58" s="91">
        <f t="shared" si="9"/>
        <v>0</v>
      </c>
      <c r="J58" s="56">
        <f t="shared" si="10"/>
        <v>0.26</v>
      </c>
      <c r="K58" s="63">
        <f t="shared" si="11"/>
        <v>0</v>
      </c>
      <c r="L58" s="63">
        <f t="shared" si="12"/>
        <v>0</v>
      </c>
      <c r="M58" s="63">
        <f t="shared" si="13"/>
        <v>0</v>
      </c>
      <c r="N58" s="63">
        <f t="shared" si="14"/>
        <v>0</v>
      </c>
      <c r="O58" s="63">
        <f t="shared" si="15"/>
        <v>0</v>
      </c>
      <c r="P58" s="63">
        <f t="shared" si="16"/>
        <v>0</v>
      </c>
      <c r="Q58" s="63">
        <f t="shared" si="17"/>
        <v>0</v>
      </c>
      <c r="R58" s="63"/>
      <c r="S58" s="64"/>
    </row>
    <row r="59" s="14" customFormat="1" ht="18" customHeight="1" spans="4:19">
      <c r="I59" s="91">
        <f t="shared" si="9"/>
        <v>0</v>
      </c>
      <c r="J59" s="56">
        <f t="shared" si="10"/>
        <v>0.261</v>
      </c>
      <c r="K59" s="63">
        <f t="shared" si="11"/>
        <v>0</v>
      </c>
      <c r="L59" s="63">
        <f t="shared" si="12"/>
        <v>0</v>
      </c>
      <c r="M59" s="63">
        <f t="shared" si="13"/>
        <v>0</v>
      </c>
      <c r="N59" s="63">
        <f t="shared" si="14"/>
        <v>0</v>
      </c>
      <c r="O59" s="63">
        <f t="shared" si="15"/>
        <v>0</v>
      </c>
      <c r="P59" s="63">
        <f t="shared" si="16"/>
        <v>0</v>
      </c>
      <c r="Q59" s="63">
        <f t="shared" si="17"/>
        <v>0</v>
      </c>
      <c r="R59" s="63"/>
      <c r="S59" s="64"/>
    </row>
    <row r="60" s="14" customFormat="1" ht="18" customHeight="1" spans="4:19">
      <c r="I60" s="91">
        <f t="shared" si="9"/>
        <v>0</v>
      </c>
      <c r="J60" s="56">
        <f t="shared" si="10"/>
        <v>0.262</v>
      </c>
      <c r="K60" s="63">
        <f t="shared" si="11"/>
        <v>0</v>
      </c>
      <c r="L60" s="63">
        <f t="shared" si="12"/>
        <v>0</v>
      </c>
      <c r="M60" s="63">
        <f t="shared" si="13"/>
        <v>0</v>
      </c>
      <c r="N60" s="63">
        <f t="shared" si="14"/>
        <v>0</v>
      </c>
      <c r="O60" s="63">
        <f t="shared" si="15"/>
        <v>0</v>
      </c>
      <c r="P60" s="63">
        <f t="shared" si="16"/>
        <v>0</v>
      </c>
      <c r="Q60" s="63">
        <f t="shared" si="17"/>
        <v>0</v>
      </c>
      <c r="R60" s="63"/>
      <c r="S60" s="64"/>
    </row>
    <row r="61" s="14" customFormat="1" ht="18" customHeight="1" spans="4:19">
      <c r="I61" s="91">
        <f t="shared" si="9"/>
        <v>0</v>
      </c>
      <c r="J61" s="56">
        <f t="shared" si="10"/>
        <v>0.263</v>
      </c>
      <c r="K61" s="63">
        <f t="shared" si="11"/>
        <v>0</v>
      </c>
      <c r="L61" s="63">
        <f t="shared" si="12"/>
        <v>0</v>
      </c>
      <c r="M61" s="63">
        <f t="shared" si="13"/>
        <v>0</v>
      </c>
      <c r="N61" s="63">
        <f t="shared" si="14"/>
        <v>0</v>
      </c>
      <c r="O61" s="63">
        <f t="shared" si="15"/>
        <v>0</v>
      </c>
      <c r="P61" s="63">
        <f t="shared" si="16"/>
        <v>0</v>
      </c>
      <c r="Q61" s="63">
        <f t="shared" si="17"/>
        <v>0</v>
      </c>
      <c r="R61" s="63"/>
      <c r="S61" s="64"/>
    </row>
    <row r="62" s="14" customFormat="1" ht="18" hidden="1" customHeight="1" spans="4:19">
      <c r="I62" s="91">
        <f t="shared" si="9"/>
        <v>0</v>
      </c>
      <c r="J62" s="56">
        <f t="shared" si="10"/>
        <v>0.264</v>
      </c>
      <c r="K62" s="63">
        <f t="shared" si="11"/>
        <v>0</v>
      </c>
      <c r="L62" s="63">
        <f t="shared" si="12"/>
        <v>0</v>
      </c>
      <c r="M62" s="63">
        <f t="shared" si="13"/>
        <v>0</v>
      </c>
      <c r="N62" s="63">
        <f t="shared" si="14"/>
        <v>0</v>
      </c>
      <c r="O62" s="63">
        <f t="shared" si="15"/>
        <v>0</v>
      </c>
      <c r="P62" s="63">
        <f t="shared" si="16"/>
        <v>0</v>
      </c>
      <c r="Q62" s="63">
        <f t="shared" si="17"/>
        <v>0</v>
      </c>
      <c r="R62" s="63">
        <f t="shared" ref="R62:R70" si="18">D40*R40</f>
        <v>0</v>
      </c>
      <c r="S62" s="64"/>
    </row>
    <row r="63" s="14" customFormat="1" ht="18" hidden="1" customHeight="1" spans="4:19">
      <c r="I63" s="91">
        <f t="shared" si="9"/>
        <v>0</v>
      </c>
      <c r="J63" s="56">
        <f t="shared" si="10"/>
        <v>0.265</v>
      </c>
      <c r="K63" s="63">
        <f t="shared" si="11"/>
        <v>0</v>
      </c>
      <c r="L63" s="63">
        <f t="shared" si="12"/>
        <v>0</v>
      </c>
      <c r="M63" s="63">
        <f t="shared" si="13"/>
        <v>0</v>
      </c>
      <c r="N63" s="63">
        <f t="shared" si="14"/>
        <v>0</v>
      </c>
      <c r="O63" s="63">
        <f t="shared" si="15"/>
        <v>0</v>
      </c>
      <c r="P63" s="63">
        <f t="shared" si="16"/>
        <v>0</v>
      </c>
      <c r="Q63" s="63">
        <f t="shared" si="17"/>
        <v>0</v>
      </c>
      <c r="R63" s="63">
        <f t="shared" si="18"/>
        <v>0</v>
      </c>
      <c r="S63" s="64"/>
    </row>
    <row r="64" s="14" customFormat="1" ht="18" hidden="1" customHeight="1" spans="4:19">
      <c r="I64" s="91">
        <f t="shared" si="9"/>
        <v>0</v>
      </c>
      <c r="J64" s="56">
        <f t="shared" si="10"/>
        <v>0.266</v>
      </c>
      <c r="K64" s="63">
        <f t="shared" si="11"/>
        <v>0</v>
      </c>
      <c r="L64" s="63">
        <f t="shared" si="12"/>
        <v>0</v>
      </c>
      <c r="M64" s="63">
        <f t="shared" si="13"/>
        <v>0</v>
      </c>
      <c r="N64" s="63">
        <f t="shared" si="14"/>
        <v>0</v>
      </c>
      <c r="O64" s="63">
        <f t="shared" si="15"/>
        <v>0</v>
      </c>
      <c r="P64" s="63">
        <f t="shared" si="16"/>
        <v>0</v>
      </c>
      <c r="Q64" s="63">
        <f t="shared" si="17"/>
        <v>0</v>
      </c>
      <c r="R64" s="63">
        <f t="shared" si="18"/>
        <v>0</v>
      </c>
      <c r="S64" s="64"/>
    </row>
    <row r="65" s="14" customFormat="1" ht="18" hidden="1" customHeight="1" spans="1:19">
      <c r="I65" s="91">
        <f t="shared" si="9"/>
        <v>0</v>
      </c>
      <c r="J65" s="56">
        <f t="shared" si="10"/>
        <v>0.267</v>
      </c>
      <c r="K65" s="63">
        <f t="shared" si="11"/>
        <v>0</v>
      </c>
      <c r="L65" s="63">
        <f t="shared" si="12"/>
        <v>0</v>
      </c>
      <c r="M65" s="63">
        <f t="shared" si="13"/>
        <v>0</v>
      </c>
      <c r="N65" s="63">
        <f t="shared" si="14"/>
        <v>0</v>
      </c>
      <c r="O65" s="63">
        <f t="shared" si="15"/>
        <v>0</v>
      </c>
      <c r="P65" s="63">
        <f t="shared" si="16"/>
        <v>0</v>
      </c>
      <c r="Q65" s="63">
        <f t="shared" si="17"/>
        <v>0</v>
      </c>
      <c r="R65" s="63">
        <f t="shared" si="18"/>
        <v>0</v>
      </c>
      <c r="S65" s="64"/>
    </row>
    <row r="66" s="14" customFormat="1" ht="18" hidden="1" customHeight="1" spans="1:19">
      <c r="I66" s="91">
        <f t="shared" si="9"/>
        <v>0</v>
      </c>
      <c r="J66" s="56">
        <f t="shared" si="10"/>
        <v>0.268</v>
      </c>
      <c r="K66" s="63">
        <f t="shared" si="11"/>
        <v>0</v>
      </c>
      <c r="L66" s="63">
        <f t="shared" si="12"/>
        <v>0</v>
      </c>
      <c r="M66" s="63">
        <f t="shared" si="13"/>
        <v>0</v>
      </c>
      <c r="N66" s="63">
        <f t="shared" si="14"/>
        <v>0</v>
      </c>
      <c r="O66" s="63">
        <f t="shared" si="15"/>
        <v>0</v>
      </c>
      <c r="P66" s="63">
        <f t="shared" si="16"/>
        <v>0</v>
      </c>
      <c r="Q66" s="63">
        <f t="shared" si="17"/>
        <v>0</v>
      </c>
      <c r="R66" s="63">
        <f t="shared" si="18"/>
        <v>0</v>
      </c>
      <c r="S66" s="64"/>
    </row>
    <row r="67" s="14" customFormat="1" ht="18" hidden="1" customHeight="1" spans="1:19">
      <c r="I67" s="91">
        <f t="shared" si="9"/>
        <v>0</v>
      </c>
      <c r="J67" s="56">
        <f t="shared" si="10"/>
        <v>0.269</v>
      </c>
      <c r="K67" s="63">
        <f t="shared" si="11"/>
        <v>0</v>
      </c>
      <c r="L67" s="63">
        <f t="shared" si="12"/>
        <v>0</v>
      </c>
      <c r="M67" s="63">
        <f t="shared" si="13"/>
        <v>0</v>
      </c>
      <c r="N67" s="63">
        <f t="shared" si="14"/>
        <v>0</v>
      </c>
      <c r="O67" s="63">
        <f t="shared" si="15"/>
        <v>0</v>
      </c>
      <c r="P67" s="63">
        <f t="shared" si="16"/>
        <v>0</v>
      </c>
      <c r="Q67" s="63">
        <f t="shared" si="17"/>
        <v>0</v>
      </c>
      <c r="R67" s="63">
        <f t="shared" si="18"/>
        <v>0</v>
      </c>
      <c r="S67" s="64"/>
    </row>
    <row r="68" s="14" customFormat="1" ht="18" hidden="1" customHeight="1" spans="1:19">
      <c r="I68" s="91">
        <f t="shared" si="9"/>
        <v>0</v>
      </c>
      <c r="J68" s="56">
        <f t="shared" si="10"/>
        <v>0.27</v>
      </c>
      <c r="K68" s="63">
        <f t="shared" si="11"/>
        <v>0</v>
      </c>
      <c r="L68" s="63">
        <f t="shared" si="12"/>
        <v>0</v>
      </c>
      <c r="M68" s="63">
        <f t="shared" si="13"/>
        <v>0</v>
      </c>
      <c r="N68" s="63">
        <f t="shared" si="14"/>
        <v>0</v>
      </c>
      <c r="O68" s="63">
        <f t="shared" si="15"/>
        <v>0</v>
      </c>
      <c r="P68" s="63">
        <f t="shared" si="16"/>
        <v>0</v>
      </c>
      <c r="Q68" s="63">
        <f t="shared" si="17"/>
        <v>0</v>
      </c>
      <c r="R68" s="63">
        <f t="shared" si="18"/>
        <v>0</v>
      </c>
      <c r="S68" s="64"/>
    </row>
    <row r="69" s="14" customFormat="1" ht="18" hidden="1" customHeight="1" spans="1:19">
      <c r="I69" s="91">
        <f t="shared" si="9"/>
        <v>0</v>
      </c>
      <c r="J69" s="56">
        <f t="shared" si="10"/>
        <v>0.271</v>
      </c>
      <c r="K69" s="63">
        <f t="shared" si="11"/>
        <v>0</v>
      </c>
      <c r="L69" s="63">
        <f t="shared" si="12"/>
        <v>0</v>
      </c>
      <c r="M69" s="63">
        <f t="shared" si="13"/>
        <v>0</v>
      </c>
      <c r="N69" s="63">
        <f t="shared" si="14"/>
        <v>0</v>
      </c>
      <c r="O69" s="63">
        <f t="shared" si="15"/>
        <v>0</v>
      </c>
      <c r="P69" s="63">
        <f t="shared" si="16"/>
        <v>0</v>
      </c>
      <c r="Q69" s="63">
        <f t="shared" si="17"/>
        <v>0</v>
      </c>
      <c r="R69" s="63">
        <f t="shared" si="18"/>
        <v>0</v>
      </c>
      <c r="S69" s="64"/>
    </row>
    <row r="70" s="14" customFormat="1" ht="18" hidden="1" customHeight="1" spans="1:19">
      <c r="I70" s="91">
        <f t="shared" si="9"/>
        <v>0</v>
      </c>
      <c r="J70" s="56">
        <f t="shared" si="10"/>
        <v>0.272</v>
      </c>
      <c r="K70" s="63">
        <f t="shared" si="11"/>
        <v>0</v>
      </c>
      <c r="L70" s="63">
        <f t="shared" si="12"/>
        <v>0</v>
      </c>
      <c r="M70" s="63">
        <f t="shared" si="13"/>
        <v>0</v>
      </c>
      <c r="N70" s="63">
        <f t="shared" si="14"/>
        <v>0</v>
      </c>
      <c r="O70" s="63">
        <f t="shared" si="15"/>
        <v>0</v>
      </c>
      <c r="P70" s="63">
        <f t="shared" si="16"/>
        <v>0</v>
      </c>
      <c r="Q70" s="63">
        <f t="shared" si="17"/>
        <v>0</v>
      </c>
      <c r="R70" s="63">
        <f t="shared" si="18"/>
        <v>0</v>
      </c>
      <c r="S70" s="64"/>
    </row>
    <row r="71" s="14" customFormat="1" ht="18" customHeight="1" spans="1:19">
      <c r="I71" s="92" t="s">
        <v>100</v>
      </c>
      <c r="J71" s="93"/>
      <c r="K71" s="94">
        <f t="shared" ref="K71:Q71" si="19">SUM(K51:K70)</f>
        <v>0</v>
      </c>
      <c r="L71" s="94">
        <f t="shared" si="19"/>
        <v>0</v>
      </c>
      <c r="M71" s="94">
        <f t="shared" si="19"/>
        <v>0</v>
      </c>
      <c r="N71" s="94">
        <f t="shared" si="19"/>
        <v>0</v>
      </c>
      <c r="O71" s="94">
        <f t="shared" si="19"/>
        <v>0</v>
      </c>
      <c r="P71" s="94">
        <f t="shared" si="19"/>
        <v>0</v>
      </c>
      <c r="Q71" s="94">
        <f t="shared" si="19"/>
        <v>0</v>
      </c>
      <c r="R71" s="94"/>
      <c r="S71" s="95">
        <f>SUM(K71:R71)</f>
        <v>0</v>
      </c>
    </row>
    <row r="72" ht="18" customHeight="1" spans="1:19">
      <c r="K72" s="53">
        <f>K50</f>
        <v>435</v>
      </c>
      <c r="L72" s="53">
        <f t="shared" ref="L72:R72" si="20">L50</f>
        <v>440</v>
      </c>
      <c r="M72" s="53">
        <f t="shared" si="20"/>
        <v>445</v>
      </c>
      <c r="N72" s="53">
        <f t="shared" si="20"/>
        <v>450</v>
      </c>
      <c r="O72" s="53">
        <f t="shared" si="20"/>
        <v>455</v>
      </c>
      <c r="P72" s="53">
        <f t="shared" si="20"/>
        <v>460</v>
      </c>
      <c r="Q72" s="53">
        <f t="shared" si="20"/>
        <v>465</v>
      </c>
      <c r="R72" s="53">
        <f t="shared" si="20"/>
        <v>470</v>
      </c>
    </row>
    <row r="73" ht="4.8" customHeight="1" spans="1:19">
      <c r="I73" s="96"/>
    </row>
    <row r="74" ht="4.8" customHeight="1" spans="1:19">
      <c r="I74" s="96"/>
    </row>
    <row r="75" ht="4.8" customHeight="1" spans="1:19">
      <c r="I75" s="96"/>
    </row>
    <row r="76" ht="26.4" customHeight="1" spans="1:19">
      <c r="A76" s="97" t="s">
        <v>101</v>
      </c>
      <c r="B76" s="98" t="s">
        <v>89</v>
      </c>
      <c r="C76" s="98" t="str">
        <f>C9</f>
        <v>芜湖（80mg）</v>
      </c>
      <c r="D76" s="98" t="str">
        <f t="shared" ref="D76:O76" si="21">D9</f>
        <v>芜湖（105mg）</v>
      </c>
      <c r="E76" s="98" t="str">
        <f t="shared" si="21"/>
        <v>芜湖（125mg）</v>
      </c>
      <c r="F76" s="98" t="str">
        <f t="shared" si="21"/>
        <v>英发</v>
      </c>
      <c r="G76" s="98" t="str">
        <f t="shared" si="21"/>
        <v>厂家4</v>
      </c>
      <c r="H76" s="98" t="str">
        <f t="shared" si="21"/>
        <v>厂家5</v>
      </c>
      <c r="I76" s="98" t="str">
        <f t="shared" si="21"/>
        <v>厂家6</v>
      </c>
      <c r="J76" s="98" t="str">
        <f t="shared" si="21"/>
        <v>厂家7</v>
      </c>
      <c r="K76" s="98" t="str">
        <f t="shared" si="21"/>
        <v>厂家8</v>
      </c>
      <c r="L76" s="98" t="str">
        <f t="shared" si="21"/>
        <v>厂家9</v>
      </c>
      <c r="M76" s="98" t="str">
        <f t="shared" si="21"/>
        <v>厂家10</v>
      </c>
      <c r="N76" s="98" t="str">
        <f t="shared" si="21"/>
        <v>厂家11</v>
      </c>
      <c r="O76" s="98" t="str">
        <f t="shared" si="21"/>
        <v>厂家12</v>
      </c>
    </row>
    <row r="77" ht="17.4" customHeight="1" spans="1:19">
      <c r="A77" s="97"/>
      <c r="B77" s="99">
        <f>C29</f>
        <v>0.253</v>
      </c>
      <c r="C77" s="100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</row>
    <row r="78" ht="17.4" customHeight="1" spans="1:19">
      <c r="A78" s="97"/>
      <c r="B78" s="99">
        <f t="shared" ref="B78:B96" si="22">C30</f>
        <v>0.254</v>
      </c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</row>
    <row r="79" ht="17.4" customHeight="1" spans="1:19">
      <c r="A79" s="97"/>
      <c r="B79" s="99">
        <f t="shared" si="22"/>
        <v>0.255</v>
      </c>
      <c r="C79" s="100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</row>
    <row r="80" ht="17.4" customHeight="1" spans="1:19">
      <c r="A80" s="97"/>
      <c r="B80" s="99">
        <f t="shared" si="22"/>
        <v>0.256</v>
      </c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</row>
    <row r="81" ht="17.4" customHeight="1" spans="1:15">
      <c r="A81" s="97"/>
      <c r="B81" s="99">
        <f t="shared" si="22"/>
        <v>0.257</v>
      </c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</row>
    <row r="82" ht="17.4" customHeight="1" spans="1:15">
      <c r="A82" s="97"/>
      <c r="B82" s="99">
        <f t="shared" si="22"/>
        <v>0.258</v>
      </c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</row>
    <row r="83" ht="17.4" customHeight="1" spans="1:15">
      <c r="A83" s="97"/>
      <c r="B83" s="99">
        <f t="shared" si="22"/>
        <v>0.259</v>
      </c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</row>
    <row r="84" ht="17.4" customHeight="1" spans="1:15">
      <c r="A84" s="97"/>
      <c r="B84" s="99">
        <f t="shared" si="22"/>
        <v>0.26</v>
      </c>
      <c r="C84" s="100">
        <v>0.0341140293136703</v>
      </c>
      <c r="D84" s="100"/>
      <c r="E84" s="101"/>
      <c r="F84" s="100"/>
      <c r="G84" s="100"/>
      <c r="H84" s="100"/>
      <c r="I84" s="100"/>
      <c r="J84" s="100"/>
      <c r="K84" s="100"/>
      <c r="L84" s="100"/>
      <c r="M84" s="100"/>
      <c r="N84" s="100"/>
      <c r="O84" s="100"/>
    </row>
    <row r="85" ht="17.4" customHeight="1" spans="1:15">
      <c r="A85" s="97"/>
      <c r="B85" s="99">
        <f t="shared" si="22"/>
        <v>0.261</v>
      </c>
      <c r="C85" s="100">
        <v>0.0586334878828709</v>
      </c>
      <c r="D85" s="100"/>
      <c r="E85" s="101"/>
      <c r="F85" s="100"/>
      <c r="G85" s="100"/>
      <c r="H85" s="100"/>
      <c r="I85" s="100"/>
      <c r="J85" s="100"/>
      <c r="K85" s="100"/>
      <c r="L85" s="100"/>
      <c r="M85" s="100"/>
      <c r="N85" s="100"/>
      <c r="O85" s="100"/>
    </row>
    <row r="86" ht="17.4" customHeight="1" spans="1:15">
      <c r="A86" s="97"/>
      <c r="B86" s="99">
        <f t="shared" si="22"/>
        <v>0.262</v>
      </c>
      <c r="C86" s="100">
        <v>0.0841203302499458</v>
      </c>
      <c r="D86" s="100"/>
      <c r="E86" s="101"/>
      <c r="F86" s="100"/>
      <c r="G86" s="100"/>
      <c r="H86" s="100"/>
      <c r="I86" s="100"/>
      <c r="J86" s="100"/>
      <c r="K86" s="100"/>
      <c r="L86" s="100"/>
      <c r="M86" s="100"/>
      <c r="N86" s="100"/>
      <c r="O86" s="100"/>
    </row>
    <row r="87" ht="17.4" customHeight="1" spans="1:15">
      <c r="A87" s="97"/>
      <c r="B87" s="99">
        <f t="shared" si="22"/>
        <v>0.263</v>
      </c>
      <c r="C87" s="100">
        <v>0.231516943533095</v>
      </c>
      <c r="D87" s="100"/>
      <c r="E87" s="101"/>
      <c r="F87" s="100"/>
      <c r="G87" s="100"/>
      <c r="H87" s="100"/>
      <c r="I87" s="100"/>
      <c r="J87" s="100"/>
      <c r="K87" s="100"/>
      <c r="L87" s="100"/>
      <c r="M87" s="100"/>
      <c r="N87" s="100"/>
      <c r="O87" s="100"/>
    </row>
    <row r="88" ht="17.4" customHeight="1" spans="1:15">
      <c r="A88" s="97"/>
      <c r="B88" s="99">
        <f t="shared" si="22"/>
        <v>0.264</v>
      </c>
      <c r="C88" s="100">
        <v>0.320133020125304</v>
      </c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</row>
    <row r="89" ht="17.4" customHeight="1" spans="1:15">
      <c r="A89" s="97"/>
      <c r="B89" s="99">
        <f t="shared" si="22"/>
        <v>0.265</v>
      </c>
      <c r="C89" s="100">
        <v>0.22052468114755</v>
      </c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  <c r="O89" s="100"/>
    </row>
    <row r="90" ht="17.4" customHeight="1" spans="1:15">
      <c r="A90" s="97"/>
      <c r="B90" s="99">
        <f t="shared" si="22"/>
        <v>0.266</v>
      </c>
      <c r="C90" s="100">
        <v>0.0509575077475633</v>
      </c>
      <c r="D90" s="100"/>
      <c r="E90" s="100"/>
      <c r="F90" s="100"/>
      <c r="G90" s="100"/>
      <c r="H90" s="100"/>
      <c r="I90" s="100"/>
      <c r="J90" s="100"/>
      <c r="K90" s="100"/>
      <c r="L90" s="100"/>
      <c r="M90" s="100"/>
      <c r="N90" s="100"/>
      <c r="O90" s="100"/>
    </row>
    <row r="91" ht="17.4" customHeight="1" spans="1:15">
      <c r="A91" s="97"/>
      <c r="B91" s="99">
        <f t="shared" si="22"/>
        <v>0.267</v>
      </c>
      <c r="C91" s="100">
        <v>0</v>
      </c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</row>
    <row r="92" ht="17.4" customHeight="1" spans="1:15">
      <c r="A92" s="97"/>
      <c r="B92" s="99">
        <f t="shared" si="22"/>
        <v>0.268</v>
      </c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</row>
    <row r="93" ht="17.4" customHeight="1" spans="1:15">
      <c r="A93" s="97"/>
      <c r="B93" s="99">
        <f t="shared" si="22"/>
        <v>0.269</v>
      </c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</row>
    <row r="94" ht="17.4" customHeight="1" spans="1:15">
      <c r="A94" s="97"/>
      <c r="B94" s="99">
        <f t="shared" si="22"/>
        <v>0.27</v>
      </c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</row>
    <row r="95" ht="17.4" customHeight="1" spans="1:15">
      <c r="A95" s="97"/>
      <c r="B95" s="99">
        <f t="shared" si="22"/>
        <v>0.271</v>
      </c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</row>
    <row r="96" ht="17.4" customHeight="1" spans="1:15">
      <c r="A96" s="97"/>
      <c r="B96" s="99">
        <f t="shared" si="22"/>
        <v>0.272</v>
      </c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</row>
  </sheetData>
  <sheetProtection formatCells="0" formatColumns="0" formatRows="0" insertRows="0" insertColumns="0" insertHyperlinks="0" deleteColumns="0" deleteRows="0" sort="0" autoFilter="0" pivotTables="0"/>
  <mergeCells count="23">
    <mergeCell ref="A1:F1"/>
    <mergeCell ref="G1:I1"/>
    <mergeCell ref="L1:O1"/>
    <mergeCell ref="Q10:U10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1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{2feb0243-b012-40b5-afef-06f97bdfb037}</x14:id>
        </ext>
      </extLst>
    </cfRule>
  </conditionalFormatting>
  <conditionalFormatting sqref="D30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{f0e4f609-fb61-457f-af3a-acfcbbd61022}</x14:id>
        </ext>
      </extLst>
    </cfRule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{2e95f2f5-9530-424b-99a4-76751dfc2efb}</x14:id>
        </ext>
      </extLst>
    </cfRule>
  </conditionalFormatting>
  <conditionalFormatting sqref="D33:D44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{f2f82c78-9925-4704-b498-7b25af7f9fd5}</x14:id>
        </ext>
      </extLst>
    </cfRule>
  </conditionalFormatting>
  <conditionalFormatting sqref="D45:D48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{d81df73b-1167-4f15-bc38-22ab948016a4}</x14:id>
        </ext>
      </extLst>
    </cfRule>
    <cfRule type="dataBar" priority="1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{d6732968-b6f8-40bb-bace-ed9dd02e33c7}</x14:id>
        </ext>
      </extLst>
    </cfRule>
  </conditionalFormatting>
  <conditionalFormatting sqref="D49:D5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{9a3d8d6a-c3dc-4449-9798-4a54ba2b92ca}</x14:id>
        </ext>
      </extLst>
    </cfRule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{32d0b01a-6535-4505-bd0e-fd412f01cac3}</x14:id>
        </ext>
      </extLst>
    </cfRule>
  </conditionalFormatting>
  <conditionalFormatting sqref="D29:D32 D45:D48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{423002ad-5129-4db4-8196-0aa932e3c75e}</x14:id>
        </ext>
      </extLst>
    </cfRule>
  </conditionalFormatting>
  <conditionalFormatting sqref="K29:R48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{0607e0f8-36c9-4c9c-a94b-15b8cb18ffe4}</x14:id>
        </ext>
      </extLst>
    </cfRule>
  </conditionalFormatting>
  <conditionalFormatting sqref="K29:Q39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{c306fec5-f2e1-49b3-bc2f-7895689e7730}</x14:id>
        </ext>
      </extLst>
    </cfRule>
  </conditionalFormatting>
  <conditionalFormatting sqref="M29:O30 O35 N31:O34 M31:M48">
    <cfRule type="dataBar" priority="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{23aa4241-2bc9-414e-bad1-ab260da8b942}</x14:id>
        </ext>
      </extLst>
    </cfRule>
    <cfRule type="colorScale" priority="23">
      <colorScale>
        <cfvo type="percent" val="0"/>
        <cfvo type="percent" val="0"/>
        <color theme="0"/>
        <color theme="0"/>
      </colorScale>
    </cfRule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{88db3b02-0d6a-49bf-bad4-83aa096e0aa8}</x14:id>
        </ext>
      </extLst>
    </cfRule>
    <cfRule type="dataBar" priority="25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{88a6b02e-22b8-4913-a038-f7acdcc7912c}</x14:id>
        </ext>
      </extLst>
    </cfRule>
    <cfRule type="dataBar" priority="2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{a3795134-d228-4737-9673-7f67cbe72681}</x14:id>
        </ext>
      </extLst>
    </cfRule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{3cd01118-598c-4124-b60d-9465727232d3}</x14:id>
        </ext>
      </extLst>
    </cfRule>
  </conditionalFormatting>
  <conditionalFormatting sqref="P29:R35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{cf2017c2-051d-41c6-81c3-b89496dbd88e}</x14:id>
        </ext>
      </extLst>
    </cfRule>
    <cfRule type="colorScale" priority="16">
      <colorScale>
        <cfvo type="percent" val="0"/>
        <cfvo type="percent" val="0"/>
        <color theme="0"/>
        <color theme="0"/>
      </colorScale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{bad226d6-19d3-45a9-859a-08b298374099}</x14:id>
        </ext>
      </extLst>
    </cfRule>
    <cfRule type="dataBar" priority="1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{ff51011a-8763-4b40-84af-d9416465312f}</x14:id>
        </ext>
      </extLst>
    </cfRule>
    <cfRule type="dataBar" priority="19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{d3af362c-8901-409c-b072-9cd0eeb562a8}</x14:id>
        </ext>
      </extLst>
    </cfRule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{e657ec53-9387-4ed1-ab36-5c879f0e3f64}</x14:id>
        </ext>
      </extLst>
    </cfRule>
  </conditionalFormatting>
  <conditionalFormatting sqref="P36:R48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{78953991-cd58-4227-92ae-214dbd3f5baf}</x14:id>
        </ext>
      </extLst>
    </cfRule>
    <cfRule type="colorScale" priority="29">
      <colorScale>
        <cfvo type="percent" val="0"/>
        <cfvo type="percent" val="0"/>
        <color theme="0"/>
        <color theme="0"/>
      </colorScale>
    </cfRule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{13dd7667-49a3-43c6-95f2-c2cc2130b097}</x14:id>
        </ext>
      </extLst>
    </cfRule>
    <cfRule type="dataBar" priority="3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{8ae99f7a-1d10-401f-847d-eb532b1c2029}</x14:id>
        </ext>
      </extLst>
    </cfRule>
    <cfRule type="dataBar" priority="3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{e4e9e271-b5a8-416a-ba40-fd48387a9fc8}</x14:id>
        </ext>
      </extLst>
    </cfRule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{bdecb317-161d-45bd-bde1-d52bc547ee71}</x14:id>
        </ext>
      </extLst>
    </cfRule>
  </conditionalFormatting>
  <conditionalFormatting sqref="C84:E9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{f604d2ca-7d55-410d-b965-07b107593f25}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eb0243-b012-40b5-afef-06f97bdfb037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f0e4f609-fb61-457f-af3a-acfcbbd610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e95f2f5-9530-424b-99a4-76751dfc2e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f2f82c78-9925-4704-b498-7b25af7f9f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d81df73b-1167-4f15-bc38-22ab948016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6732968-b6f8-40bb-bace-ed9dd02e33c7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9a3d8d6a-c3dc-4449-9798-4a54ba2b92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2d0b01a-6535-4505-bd0e-fd412f01cac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423002ad-5129-4db4-8196-0aa932e3c7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0607e0f8-36c9-4c9c-a94b-15b8cb18ff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c306fec5-f2e1-49b3-bc2f-7895689e77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K29:Q39</xm:sqref>
        </x14:conditionalFormatting>
        <x14:conditionalFormatting xmlns:xm="http://schemas.microsoft.com/office/excel/2006/main">
          <x14:cfRule type="dataBar" id="{23aa4241-2bc9-414e-bad1-ab260da8b94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88db3b02-0d6a-49bf-bad4-83aa096e0aa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88a6b02e-22b8-4913-a038-f7acdcc7912c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a3795134-d228-4737-9673-7f67cbe7268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3cd01118-598c-4124-b60d-9465727232d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cf2017c2-051d-41c6-81c3-b89496dbd88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bad226d6-19d3-45a9-859a-08b298374099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ff51011a-8763-4b40-84af-d9416465312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d3af362c-8901-409c-b072-9cd0eeb562a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e657ec53-9387-4ed1-ab36-5c879f0e3f6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78953991-cd58-4227-92ae-214dbd3f5ba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13dd7667-49a3-43c6-95f2-c2cc2130b097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8ae99f7a-1d10-401f-847d-eb532b1c2029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e4e9e271-b5a8-416a-ba40-fd48387a9fc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bdecb317-161d-45bd-bde1-d52bc547ee7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f604d2ca-7d55-410d-b965-07b107593f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C84:E92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>
    <tabColor theme="8" tint="0.799951170384838"/>
  </sheetPr>
  <dimension ref="A1:Y96"/>
  <sheetViews>
    <sheetView showGridLines="0" zoomScale="70" zoomScaleNormal="70" topLeftCell="A56" workbookViewId="0">
      <selection activeCell="C84" sqref="C84:C91"/>
    </sheetView>
  </sheetViews>
  <sheetFormatPr defaultColWidth="8.44642857142857" defaultRowHeight="13.6"/>
  <cols>
    <col min="1" max="17" width="10.5535714285714" style="17" customWidth="1"/>
    <col min="18" max="18" width="10.5535714285714" style="17" hidden="1" customWidth="1"/>
    <col min="19" max="19" width="10.5535714285714" style="17" customWidth="1"/>
    <col min="20" max="16384" width="8.44642857142857" style="17"/>
  </cols>
  <sheetData>
    <row r="1" s="13" customFormat="1" ht="40.8" customHeight="1" spans="1:25">
      <c r="A1" s="18" t="s">
        <v>174</v>
      </c>
      <c r="B1" s="18"/>
      <c r="C1" s="18"/>
      <c r="D1" s="18"/>
      <c r="E1" s="18"/>
      <c r="F1" s="18"/>
      <c r="G1" s="19" t="s">
        <v>152</v>
      </c>
      <c r="H1" s="19"/>
      <c r="I1" s="19"/>
      <c r="J1" s="19">
        <v>517.73</v>
      </c>
      <c r="K1" s="20" t="s">
        <v>2</v>
      </c>
      <c r="L1" s="20" t="s">
        <v>3</v>
      </c>
      <c r="M1" s="20"/>
      <c r="N1" s="20"/>
      <c r="O1" s="20"/>
      <c r="Q1" s="21"/>
      <c r="R1" s="21"/>
      <c r="S1" s="21"/>
    </row>
    <row r="2" ht="1.95" customHeight="1" spans="1:25">
      <c r="H2" s="22"/>
      <c r="P2" s="13"/>
      <c r="Q2" s="21"/>
      <c r="R2" s="21"/>
      <c r="S2" s="21"/>
    </row>
    <row r="3" s="14" customFormat="1" ht="21.9" customHeight="1" spans="1:25">
      <c r="A3" s="23" t="s">
        <v>4</v>
      </c>
      <c r="B3" s="23">
        <v>0</v>
      </c>
      <c r="C3" s="24">
        <v>0.26</v>
      </c>
      <c r="D3" s="11" t="s">
        <v>153</v>
      </c>
      <c r="E3" s="11" t="s">
        <v>116</v>
      </c>
      <c r="F3" s="11" t="s">
        <v>46</v>
      </c>
      <c r="G3" s="11" t="s">
        <v>5</v>
      </c>
      <c r="H3" s="11" t="s">
        <v>6</v>
      </c>
      <c r="I3" s="11" t="s">
        <v>7</v>
      </c>
      <c r="J3" s="11" t="s">
        <v>8</v>
      </c>
      <c r="K3" s="11" t="s">
        <v>9</v>
      </c>
      <c r="L3" s="11" t="s">
        <v>10</v>
      </c>
      <c r="M3" s="11" t="s">
        <v>11</v>
      </c>
      <c r="N3" s="11" t="s">
        <v>12</v>
      </c>
      <c r="O3" s="11" t="s">
        <v>13</v>
      </c>
      <c r="P3" s="25"/>
      <c r="Q3" s="26"/>
      <c r="R3" s="26"/>
      <c r="S3" s="26"/>
      <c r="T3" s="27"/>
      <c r="U3" s="27"/>
      <c r="V3" s="27"/>
      <c r="W3" s="27"/>
      <c r="X3" s="27"/>
      <c r="Y3" s="27"/>
    </row>
    <row r="4" s="14" customFormat="1" ht="21.9" customHeight="1" spans="1:25">
      <c r="A4" s="23"/>
      <c r="B4" s="23"/>
      <c r="C4" s="24">
        <v>0</v>
      </c>
      <c r="D4" s="12">
        <v>-1.6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25"/>
      <c r="Q4" s="26"/>
      <c r="R4" s="26"/>
      <c r="S4" s="26"/>
      <c r="T4" s="27"/>
      <c r="U4" s="27"/>
      <c r="V4" s="27"/>
      <c r="W4" s="27"/>
      <c r="X4" s="27"/>
      <c r="Y4" s="27"/>
    </row>
    <row r="5" ht="1.95" customHeight="1" spans="1:25">
      <c r="P5" s="13"/>
      <c r="Q5" s="21"/>
      <c r="R5" s="21"/>
      <c r="S5" s="21"/>
    </row>
    <row r="6" s="14" customFormat="1" ht="24.6" customHeight="1" spans="1:25">
      <c r="A6" s="23" t="s">
        <v>15</v>
      </c>
      <c r="B6" s="23">
        <v>0</v>
      </c>
      <c r="C6" s="28" t="s">
        <v>18</v>
      </c>
      <c r="D6" s="102" t="s">
        <v>175</v>
      </c>
      <c r="E6" s="29" t="s">
        <v>155</v>
      </c>
      <c r="F6" s="29" t="s">
        <v>156</v>
      </c>
      <c r="G6" s="29" t="s">
        <v>122</v>
      </c>
      <c r="H6" s="29" t="s">
        <v>123</v>
      </c>
      <c r="I6" s="29" t="s">
        <v>124</v>
      </c>
      <c r="J6" s="29" t="s">
        <v>22</v>
      </c>
      <c r="K6" s="29" t="s">
        <v>23</v>
      </c>
      <c r="L6" s="29" t="s">
        <v>24</v>
      </c>
      <c r="M6" s="29" t="s">
        <v>25</v>
      </c>
      <c r="N6" s="29" t="s">
        <v>26</v>
      </c>
      <c r="O6" s="29" t="s">
        <v>27</v>
      </c>
      <c r="P6" s="25"/>
      <c r="Q6" s="26"/>
      <c r="R6" s="26"/>
      <c r="S6" s="26"/>
      <c r="T6" s="27"/>
      <c r="U6" s="27"/>
      <c r="V6" s="27"/>
      <c r="W6" s="27"/>
      <c r="X6" s="27"/>
      <c r="Y6" s="27"/>
    </row>
    <row r="7" s="14" customFormat="1" ht="24.6" customHeight="1" spans="1:25">
      <c r="A7" s="23"/>
      <c r="B7" s="23"/>
      <c r="C7" s="24">
        <v>0</v>
      </c>
      <c r="D7" s="11">
        <v>-1.2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25"/>
      <c r="Q7" s="26"/>
      <c r="R7" s="26"/>
      <c r="S7" s="26"/>
      <c r="T7" s="27"/>
      <c r="U7" s="27"/>
      <c r="V7" s="27"/>
      <c r="W7" s="27"/>
      <c r="X7" s="27"/>
      <c r="Y7" s="27"/>
    </row>
    <row r="8" ht="1.95" customHeight="1" spans="1:25">
      <c r="P8" s="13"/>
      <c r="Q8" s="21"/>
      <c r="R8" s="21"/>
      <c r="S8" s="21"/>
    </row>
    <row r="9" s="14" customFormat="1" ht="22.2" customHeight="1" spans="1:25">
      <c r="A9" s="23" t="s">
        <v>29</v>
      </c>
      <c r="B9" s="23">
        <v>0</v>
      </c>
      <c r="C9" s="24" t="s">
        <v>125</v>
      </c>
      <c r="D9" s="11" t="s">
        <v>126</v>
      </c>
      <c r="E9" s="11" t="s">
        <v>127</v>
      </c>
      <c r="F9" s="11" t="s">
        <v>144</v>
      </c>
      <c r="G9" s="11" t="s">
        <v>145</v>
      </c>
      <c r="H9" s="11" t="s">
        <v>146</v>
      </c>
      <c r="I9" s="11" t="s">
        <v>128</v>
      </c>
      <c r="J9" s="11" t="s">
        <v>129</v>
      </c>
      <c r="K9" s="11" t="s">
        <v>130</v>
      </c>
      <c r="L9" s="11" t="s">
        <v>131</v>
      </c>
      <c r="M9" s="11" t="s">
        <v>132</v>
      </c>
      <c r="N9" s="11" t="s">
        <v>40</v>
      </c>
      <c r="O9" s="11" t="s">
        <v>41</v>
      </c>
      <c r="P9" s="30"/>
      <c r="Q9" s="27"/>
      <c r="R9" s="27"/>
      <c r="S9" s="27"/>
      <c r="T9" s="27"/>
      <c r="U9" s="27"/>
      <c r="V9" s="27"/>
      <c r="W9" s="27"/>
      <c r="X9" s="27"/>
      <c r="Y9" s="27"/>
    </row>
    <row r="10" s="14" customFormat="1" ht="22.2" customHeight="1" spans="1:25">
      <c r="A10" s="23"/>
      <c r="B10" s="23"/>
      <c r="C10" s="24">
        <v>0</v>
      </c>
      <c r="D10" s="11">
        <v>0</v>
      </c>
      <c r="E10" s="11">
        <v>0</v>
      </c>
      <c r="F10" s="31"/>
      <c r="G10" s="31"/>
      <c r="H10" s="31"/>
      <c r="I10" s="31"/>
      <c r="J10" s="31"/>
      <c r="K10" s="32"/>
      <c r="L10" s="31"/>
      <c r="M10" s="31"/>
      <c r="N10" s="31"/>
      <c r="O10" s="31"/>
      <c r="P10" s="25"/>
      <c r="Q10" s="33"/>
      <c r="R10" s="33"/>
      <c r="S10" s="33"/>
      <c r="T10" s="33"/>
      <c r="U10" s="33"/>
      <c r="V10" s="27"/>
      <c r="W10" s="27"/>
      <c r="X10" s="27"/>
      <c r="Y10" s="27"/>
    </row>
    <row r="11" ht="1.95" customHeight="1" spans="1:25">
      <c r="P11" s="13"/>
      <c r="Q11" s="21"/>
      <c r="R11" s="21"/>
      <c r="S11" s="21"/>
    </row>
    <row r="12" s="14" customFormat="1" ht="25.2" customHeight="1" spans="1:25">
      <c r="A12" s="23" t="s">
        <v>43</v>
      </c>
      <c r="B12" s="23">
        <v>0</v>
      </c>
      <c r="C12" s="24" t="s">
        <v>115</v>
      </c>
      <c r="D12" s="34" t="s">
        <v>153</v>
      </c>
      <c r="E12" s="34" t="s">
        <v>116</v>
      </c>
      <c r="F12" s="11" t="s">
        <v>46</v>
      </c>
      <c r="G12" s="11" t="s">
        <v>5</v>
      </c>
      <c r="H12" s="11" t="s">
        <v>6</v>
      </c>
      <c r="I12" s="11" t="s">
        <v>7</v>
      </c>
      <c r="J12" s="11" t="s">
        <v>8</v>
      </c>
      <c r="K12" s="11" t="s">
        <v>9</v>
      </c>
      <c r="L12" s="11" t="s">
        <v>10</v>
      </c>
      <c r="M12" s="11" t="s">
        <v>11</v>
      </c>
      <c r="N12" s="11" t="s">
        <v>12</v>
      </c>
      <c r="O12" s="11" t="s">
        <v>13</v>
      </c>
      <c r="P12" s="35"/>
      <c r="Q12" s="26"/>
      <c r="R12" s="26"/>
      <c r="S12" s="26"/>
      <c r="T12" s="27"/>
      <c r="U12" s="27"/>
      <c r="V12" s="27"/>
      <c r="W12" s="27"/>
      <c r="X12" s="27"/>
      <c r="Y12" s="27"/>
    </row>
    <row r="13" s="14" customFormat="1" ht="21.9" customHeight="1" spans="1:25">
      <c r="A13" s="23"/>
      <c r="B13" s="23"/>
      <c r="C13" s="24">
        <v>0</v>
      </c>
      <c r="D13" s="34"/>
      <c r="E13" s="34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25"/>
      <c r="Q13" s="26"/>
      <c r="R13" s="26"/>
      <c r="S13" s="26"/>
      <c r="T13" s="27"/>
      <c r="U13" s="27"/>
      <c r="V13" s="27"/>
      <c r="W13" s="27"/>
      <c r="X13" s="27"/>
      <c r="Y13" s="27"/>
    </row>
    <row r="14" s="14" customFormat="1" ht="21.9" customHeight="1" spans="1:25">
      <c r="A14" s="23" t="s">
        <v>47</v>
      </c>
      <c r="B14" s="23">
        <v>38184</v>
      </c>
      <c r="C14" s="24">
        <v>38184</v>
      </c>
      <c r="D14" s="34"/>
      <c r="E14" s="34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25"/>
      <c r="Q14" s="26"/>
      <c r="R14" s="26"/>
      <c r="S14" s="26"/>
      <c r="T14" s="27"/>
      <c r="U14" s="27"/>
      <c r="V14" s="27"/>
      <c r="W14" s="27"/>
      <c r="X14" s="27"/>
      <c r="Y14" s="27"/>
    </row>
    <row r="15" s="14" customFormat="1" ht="21.9" customHeight="1" spans="1:25">
      <c r="A15" s="23" t="s">
        <v>48</v>
      </c>
      <c r="B15" s="23">
        <v>1.2</v>
      </c>
      <c r="C15" s="24">
        <v>1.2</v>
      </c>
      <c r="D15" s="34"/>
      <c r="E15" s="34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25"/>
      <c r="Q15" s="26"/>
      <c r="R15" s="26"/>
      <c r="S15" s="26"/>
      <c r="T15" s="27"/>
      <c r="U15" s="27"/>
      <c r="V15" s="27"/>
      <c r="W15" s="27"/>
      <c r="X15" s="27"/>
      <c r="Y15" s="27"/>
    </row>
    <row r="16" ht="1.95" customHeight="1" spans="1:25">
      <c r="P16" s="13"/>
      <c r="Q16" s="21"/>
      <c r="R16" s="21"/>
      <c r="S16" s="21"/>
    </row>
    <row r="17" s="14" customFormat="1" ht="36" customHeight="1" spans="1:25">
      <c r="A17" s="23" t="s">
        <v>49</v>
      </c>
      <c r="B17" s="36">
        <v>0</v>
      </c>
      <c r="C17" s="38" t="s">
        <v>50</v>
      </c>
      <c r="D17" s="37" t="s">
        <v>51</v>
      </c>
      <c r="E17" s="37" t="s">
        <v>52</v>
      </c>
      <c r="F17" s="37" t="s">
        <v>53</v>
      </c>
      <c r="G17" s="37" t="s">
        <v>54</v>
      </c>
      <c r="H17" s="37" t="s">
        <v>55</v>
      </c>
      <c r="I17" s="37" t="s">
        <v>56</v>
      </c>
      <c r="J17" s="37" t="s">
        <v>57</v>
      </c>
      <c r="K17" s="37" t="s">
        <v>9</v>
      </c>
      <c r="L17" s="37" t="s">
        <v>10</v>
      </c>
      <c r="M17" s="37" t="s">
        <v>11</v>
      </c>
      <c r="N17" s="37" t="s">
        <v>12</v>
      </c>
      <c r="O17" s="37" t="s">
        <v>13</v>
      </c>
      <c r="P17" s="25"/>
      <c r="Q17" s="26"/>
      <c r="R17" s="26"/>
      <c r="S17" s="26"/>
      <c r="T17" s="27"/>
      <c r="U17" s="27"/>
      <c r="V17" s="27"/>
      <c r="W17" s="27"/>
      <c r="X17" s="27"/>
      <c r="Y17" s="27"/>
    </row>
    <row r="18" s="14" customFormat="1" ht="21.9" customHeight="1" spans="1:25">
      <c r="A18" s="23"/>
      <c r="B18" s="39"/>
      <c r="C18" s="24">
        <v>0</v>
      </c>
      <c r="D18" s="11">
        <v>-0.2</v>
      </c>
      <c r="E18" s="11">
        <v>-2.2</v>
      </c>
      <c r="F18" s="11">
        <v>-2.8</v>
      </c>
      <c r="G18" s="11">
        <v>0.2</v>
      </c>
      <c r="H18" s="11">
        <v>0.15</v>
      </c>
      <c r="I18" s="11">
        <v>-1.4</v>
      </c>
      <c r="J18" s="11">
        <v>-1.8</v>
      </c>
      <c r="K18" s="11"/>
      <c r="L18" s="11"/>
      <c r="M18" s="11"/>
      <c r="N18" s="11"/>
      <c r="O18" s="11"/>
      <c r="P18" s="25"/>
      <c r="Q18" s="26"/>
      <c r="R18" s="26"/>
      <c r="S18" s="26"/>
      <c r="T18" s="27"/>
      <c r="U18" s="27"/>
      <c r="V18" s="27"/>
      <c r="W18" s="27"/>
      <c r="X18" s="27"/>
      <c r="Y18" s="27"/>
    </row>
    <row r="19" ht="2.1" customHeight="1" spans="1:25">
      <c r="P19" s="13"/>
      <c r="Q19" s="21"/>
      <c r="R19" s="21"/>
      <c r="S19" s="21"/>
    </row>
    <row r="20" s="14" customFormat="1" ht="34.8" customHeight="1" spans="1:25">
      <c r="A20" s="23" t="s">
        <v>58</v>
      </c>
      <c r="B20" s="23">
        <v>0</v>
      </c>
      <c r="C20" s="28" t="s">
        <v>60</v>
      </c>
      <c r="D20" s="29" t="s">
        <v>176</v>
      </c>
      <c r="E20" s="11" t="s">
        <v>168</v>
      </c>
      <c r="F20" s="11" t="s">
        <v>169</v>
      </c>
      <c r="G20" s="11" t="s">
        <v>170</v>
      </c>
      <c r="H20" s="11" t="s">
        <v>171</v>
      </c>
      <c r="I20" s="11" t="s">
        <v>172</v>
      </c>
      <c r="J20" s="11" t="s">
        <v>158</v>
      </c>
      <c r="K20" s="11" t="s">
        <v>66</v>
      </c>
      <c r="L20" s="11" t="s">
        <v>67</v>
      </c>
      <c r="M20" s="11" t="s">
        <v>68</v>
      </c>
      <c r="N20" s="11" t="s">
        <v>69</v>
      </c>
      <c r="O20" s="11" t="s">
        <v>70</v>
      </c>
      <c r="P20" s="30"/>
      <c r="Q20" s="26"/>
      <c r="R20" s="26"/>
      <c r="S20" s="26"/>
      <c r="T20" s="27"/>
      <c r="U20" s="27"/>
      <c r="V20" s="27"/>
      <c r="W20" s="27"/>
      <c r="X20" s="27"/>
      <c r="Y20" s="27"/>
    </row>
    <row r="21" s="14" customFormat="1" ht="21.6" customHeight="1" spans="1:25">
      <c r="A21" s="23"/>
      <c r="B21" s="23"/>
      <c r="C21" s="24">
        <v>0</v>
      </c>
      <c r="D21" s="11">
        <v>-0.5</v>
      </c>
      <c r="E21" s="11"/>
      <c r="F21" s="11"/>
      <c r="G21" s="11"/>
      <c r="H21" s="40"/>
      <c r="I21" s="11"/>
      <c r="J21" s="11"/>
      <c r="K21" s="11"/>
      <c r="L21" s="11"/>
      <c r="M21" s="11"/>
      <c r="N21" s="11"/>
      <c r="O21" s="11"/>
      <c r="P21" s="41"/>
      <c r="Q21" s="42"/>
      <c r="R21" s="42"/>
      <c r="S21" s="42"/>
      <c r="T21" s="43"/>
      <c r="U21" s="27"/>
      <c r="V21" s="27"/>
      <c r="W21" s="27"/>
      <c r="X21" s="27"/>
      <c r="Y21" s="27"/>
    </row>
    <row r="22" ht="2.1" customHeight="1" spans="1:25">
      <c r="P22" s="13"/>
      <c r="Q22" s="21"/>
      <c r="R22" s="21"/>
      <c r="S22" s="21"/>
    </row>
    <row r="23" s="14" customFormat="1" ht="21.6" hidden="1" customHeight="1" spans="1:25">
      <c r="A23" s="23" t="s">
        <v>105</v>
      </c>
      <c r="B23" s="23">
        <v>0</v>
      </c>
      <c r="C23" s="28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30"/>
      <c r="Q23" s="26"/>
      <c r="R23" s="26"/>
      <c r="S23" s="26"/>
      <c r="T23" s="27"/>
      <c r="U23" s="27"/>
      <c r="V23" s="27"/>
      <c r="W23" s="27"/>
    </row>
    <row r="24" s="14" customFormat="1" ht="21.6" hidden="1" customHeight="1" spans="1:25">
      <c r="A24" s="23"/>
      <c r="B24" s="23"/>
      <c r="C24" s="24"/>
      <c r="D24" s="11"/>
      <c r="E24" s="11"/>
      <c r="F24" s="11"/>
      <c r="G24" s="40"/>
      <c r="H24" s="40"/>
      <c r="I24" s="11"/>
      <c r="J24" s="11"/>
      <c r="K24" s="11"/>
      <c r="L24" s="11"/>
      <c r="M24" s="11"/>
      <c r="N24" s="11"/>
      <c r="O24" s="11"/>
      <c r="P24" s="44"/>
      <c r="Q24" s="45"/>
      <c r="R24" s="45"/>
      <c r="S24" s="45"/>
      <c r="T24" s="27"/>
      <c r="U24" s="27"/>
      <c r="V24" s="27"/>
      <c r="W24" s="27"/>
    </row>
    <row r="25" ht="2.1" hidden="1" customHeight="1" spans="1:25">
      <c r="P25" s="13"/>
      <c r="Q25" s="21"/>
      <c r="R25" s="21"/>
      <c r="S25" s="21"/>
    </row>
    <row r="26" s="14" customFormat="1" ht="21.6" customHeight="1" spans="1:25">
      <c r="A26" s="23" t="s">
        <v>73</v>
      </c>
      <c r="B26" s="23">
        <v>-5.7</v>
      </c>
      <c r="C26" s="46" t="s">
        <v>74</v>
      </c>
      <c r="D26" s="29" t="s">
        <v>75</v>
      </c>
      <c r="E26" s="29" t="s">
        <v>159</v>
      </c>
      <c r="F26" s="29" t="s">
        <v>160</v>
      </c>
      <c r="G26" s="29" t="s">
        <v>77</v>
      </c>
      <c r="H26" s="29" t="s">
        <v>78</v>
      </c>
      <c r="I26" s="29" t="s">
        <v>79</v>
      </c>
      <c r="J26" s="29" t="s">
        <v>80</v>
      </c>
      <c r="K26" s="29" t="s">
        <v>81</v>
      </c>
      <c r="L26" s="29" t="s">
        <v>82</v>
      </c>
      <c r="M26" s="29" t="s">
        <v>83</v>
      </c>
      <c r="N26" s="29" t="s">
        <v>84</v>
      </c>
      <c r="O26" s="29" t="s">
        <v>85</v>
      </c>
      <c r="P26" s="47"/>
      <c r="Q26" s="26"/>
      <c r="R26" s="26"/>
      <c r="S26" s="26"/>
      <c r="T26" s="27"/>
      <c r="U26" s="27"/>
      <c r="V26" s="27"/>
      <c r="W26" s="27"/>
      <c r="X26" s="27"/>
      <c r="Y26" s="27"/>
    </row>
    <row r="27" s="14" customFormat="1" ht="21.6" customHeight="1" spans="1:25">
      <c r="A27" s="23"/>
      <c r="B27" s="23"/>
      <c r="C27" s="48">
        <v>-5.7</v>
      </c>
      <c r="D27" s="49">
        <v>-4.4</v>
      </c>
      <c r="E27" s="49"/>
      <c r="F27" s="49"/>
      <c r="G27" s="50"/>
      <c r="H27" s="50"/>
      <c r="I27" s="49"/>
      <c r="J27" s="49"/>
      <c r="K27" s="49"/>
      <c r="L27" s="49"/>
      <c r="M27" s="49"/>
      <c r="N27" s="49"/>
      <c r="O27" s="49"/>
      <c r="P27" s="44"/>
      <c r="Q27" s="45"/>
      <c r="R27" s="45"/>
      <c r="S27" s="45"/>
      <c r="T27" s="27"/>
      <c r="U27" s="27"/>
      <c r="V27" s="27"/>
      <c r="W27" s="27"/>
      <c r="X27" s="27"/>
      <c r="Y27" s="27"/>
    </row>
    <row r="28" s="15" customFormat="1" ht="22.2" customHeight="1" spans="1:25">
      <c r="A28" s="51" t="s">
        <v>87</v>
      </c>
      <c r="B28" s="51" t="s">
        <v>88</v>
      </c>
      <c r="C28" s="51" t="s">
        <v>89</v>
      </c>
      <c r="D28" s="51" t="s">
        <v>90</v>
      </c>
      <c r="E28" s="51">
        <v>33081</v>
      </c>
      <c r="F28" s="51" t="s">
        <v>91</v>
      </c>
      <c r="G28" s="51" t="s">
        <v>92</v>
      </c>
      <c r="H28" s="51" t="s">
        <v>93</v>
      </c>
      <c r="I28" s="51" t="s">
        <v>94</v>
      </c>
      <c r="J28" s="52" t="s">
        <v>95</v>
      </c>
      <c r="K28" s="53">
        <v>495</v>
      </c>
      <c r="L28" s="53">
        <v>500</v>
      </c>
      <c r="M28" s="53">
        <v>505</v>
      </c>
      <c r="N28" s="53">
        <v>510</v>
      </c>
      <c r="O28" s="53">
        <v>515</v>
      </c>
      <c r="P28" s="53">
        <v>520</v>
      </c>
      <c r="Q28" s="53">
        <v>525</v>
      </c>
      <c r="R28" s="53">
        <v>530</v>
      </c>
      <c r="S28" s="54" t="s">
        <v>96</v>
      </c>
    </row>
    <row r="29" s="14" customFormat="1" ht="18" customHeight="1" spans="1:25">
      <c r="A29" s="55" t="s">
        <v>177</v>
      </c>
      <c r="B29" s="55" t="s">
        <v>98</v>
      </c>
      <c r="C29" s="56">
        <v>0.253</v>
      </c>
      <c r="D29" s="57"/>
      <c r="E29" s="58">
        <v>38184</v>
      </c>
      <c r="F29" s="59">
        <f t="shared" ref="F29:F48" si="0">C29*E29/1000</f>
        <v>9.660552</v>
      </c>
      <c r="G29" s="59">
        <f>F29*54</f>
        <v>521.669808</v>
      </c>
      <c r="H29" s="60">
        <f>I29/G29</f>
        <v>0.965595674087922</v>
      </c>
      <c r="I29" s="61">
        <f>G29*(H30+0.15%)</f>
        <v>503.722109907077</v>
      </c>
      <c r="J29" s="61"/>
      <c r="K29" s="62">
        <f>(NORMSDIST((I29-$K$28)/B15)-NORMSDIST((I29-$L$28)/B15))</f>
        <v>0.000961874937552731</v>
      </c>
      <c r="L29" s="62">
        <f>(NORMSDIST((I29-$L$28)/B15)-NORMSDIST((I29-$M$28)/B15))</f>
        <v>0.855579435792103</v>
      </c>
      <c r="M29" s="63">
        <f>(NORMSDIST((I29-$M$28)/B15)-NORMSDIST((I29-$N$28)/B15))</f>
        <v>0.14345860523429</v>
      </c>
      <c r="N29" s="63">
        <f>(NORMSDIST((I29-$N$28)/B15)-NORMSDIST((I29-$O$28)/B15))</f>
        <v>8.40358731873178e-8</v>
      </c>
      <c r="O29" s="63">
        <f>(NORMSDIST((I29-$O$28)/B15)-NORMSDIST((I29-$P$28)/B15))</f>
        <v>2.77412156834694e-21</v>
      </c>
      <c r="P29" s="63">
        <f>(NORMSDIST((I29-$P$28)/B15)-NORMSDIST((I29-$Q$28)/B15))</f>
        <v>3.23301917255136e-42</v>
      </c>
      <c r="Q29" s="63">
        <f>(NORMSDIST((I29-$Q$28)/B15)-NORMSDIST((I29-$R$28)/B15))</f>
        <v>1.19618579333244e-70</v>
      </c>
      <c r="R29" s="63"/>
      <c r="S29" s="64">
        <f t="shared" ref="S29:S48" si="1">SUM(K29:R29)</f>
        <v>0.999999999999818</v>
      </c>
    </row>
    <row r="30" s="14" customFormat="1" ht="18" customHeight="1" spans="1:25">
      <c r="A30" s="65"/>
      <c r="B30" s="65"/>
      <c r="C30" s="56">
        <f t="shared" ref="C30:C48" si="2">C29+0.1%</f>
        <v>0.254</v>
      </c>
      <c r="D30" s="66"/>
      <c r="E30" s="58">
        <v>38184</v>
      </c>
      <c r="F30" s="59">
        <f t="shared" si="0"/>
        <v>9.698736</v>
      </c>
      <c r="G30" s="59">
        <f t="shared" ref="G30:G48" si="3">F30*54</f>
        <v>523.731744</v>
      </c>
      <c r="H30" s="60">
        <f t="shared" ref="H30:H48" si="4">I30/G30</f>
        <v>0.964095674087922</v>
      </c>
      <c r="I30" s="61">
        <f t="shared" ref="I30:I35" si="5">G30*(H31+0.15%)</f>
        <v>504.927508772923</v>
      </c>
      <c r="J30" s="61"/>
      <c r="K30" s="62">
        <f>(NORMSDIST((I30-$K$28)/B15)-NORMSDIST((I30-$L$28)/B15))</f>
        <v>2.01060763186378e-5</v>
      </c>
      <c r="L30" s="62">
        <f>(NORMSDIST((I30-$L$28)/B15)-NORMSDIST((I30-$M$28)/B15))</f>
        <v>0.524065090254088</v>
      </c>
      <c r="M30" s="63">
        <f>(NORMSDIST((I30-$M$28)/B15)-NORMSDIST((I30-$N$28)/B15))</f>
        <v>0.475902966284725</v>
      </c>
      <c r="N30" s="63">
        <f>(NORMSDIST((I30-$N$28)/B15)-NORMSDIST((I30-$O$28)/B15))</f>
        <v>1.18373848685628e-5</v>
      </c>
      <c r="O30" s="63">
        <f>(NORMSDIST((I30-$O$28)/B15)-NORMSDIST((I30-$P$28)/B15))</f>
        <v>2.35453073335108e-17</v>
      </c>
      <c r="P30" s="63">
        <f>(NORMSDIST((I30-$P$28)/B15)-NORMSDIST((I30-$Q$28)/B15))</f>
        <v>1.74262451667152e-36</v>
      </c>
      <c r="Q30" s="63">
        <f>(NORMSDIST((I30-$Q$28)/B15)-NORMSDIST((I30-$R$28)/B15))</f>
        <v>4.16124708283506e-63</v>
      </c>
      <c r="R30" s="63"/>
      <c r="S30" s="64">
        <f t="shared" si="1"/>
        <v>1</v>
      </c>
    </row>
    <row r="31" s="14" customFormat="1" ht="18" customHeight="1" spans="1:25">
      <c r="A31" s="65"/>
      <c r="B31" s="65"/>
      <c r="C31" s="56">
        <f t="shared" si="2"/>
        <v>0.255</v>
      </c>
      <c r="D31" s="67"/>
      <c r="E31" s="58">
        <v>38184</v>
      </c>
      <c r="F31" s="59">
        <f t="shared" si="0"/>
        <v>9.73692</v>
      </c>
      <c r="G31" s="59">
        <f t="shared" si="3"/>
        <v>525.79368</v>
      </c>
      <c r="H31" s="60">
        <f t="shared" si="4"/>
        <v>0.962595674087922</v>
      </c>
      <c r="I31" s="61">
        <f t="shared" si="5"/>
        <v>506.126721830769</v>
      </c>
      <c r="J31" s="68"/>
      <c r="K31" s="62">
        <f>(NORMSDIST((I31-$K$28)/B15)-NORMSDIST((I31-$L$28)/B15))</f>
        <v>1.64871944985379e-7</v>
      </c>
      <c r="L31" s="62">
        <f>(NORMSDIST((I31-$L$28)/B15)-NORMSDIST((I31-$M$28)/B15))</f>
        <v>0.173881930315663</v>
      </c>
      <c r="M31" s="63">
        <f>(NORMSDIST((I31-$M$28)/B15)-NORMSDIST((I31-$N$28)/B15))</f>
        <v>0.825494025321828</v>
      </c>
      <c r="N31" s="69">
        <f>(NORMSDIST((I31-$N$28)/B15)-NORMSDIST((I31-$O$28)/B15))</f>
        <v>0.000623879490493034</v>
      </c>
      <c r="O31" s="69">
        <f>(NORMSDIST((I31-$O$28)/B15)-NORMSDIST((I31-$P$28)/B15))</f>
        <v>7.10249196701461e-14</v>
      </c>
      <c r="P31" s="63">
        <f>(NORMSDIST((I31-$P$28)/B15)-NORMSDIST((I31-$Q$28)/B15))</f>
        <v>3.24493727255771e-31</v>
      </c>
      <c r="Q31" s="63">
        <f>(NORMSDIST((I31-$Q$28)/B15)-NORMSDIST((I31-$R$28)/B15))</f>
        <v>4.8823402091045e-56</v>
      </c>
      <c r="R31" s="63"/>
      <c r="S31" s="64">
        <f t="shared" si="1"/>
        <v>1</v>
      </c>
    </row>
    <row r="32" s="16" customFormat="1" ht="18" customHeight="1" spans="1:25">
      <c r="A32" s="65"/>
      <c r="B32" s="65"/>
      <c r="C32" s="56">
        <f t="shared" si="2"/>
        <v>0.256</v>
      </c>
      <c r="D32" s="67"/>
      <c r="E32" s="58">
        <v>38184</v>
      </c>
      <c r="F32" s="70">
        <f t="shared" si="0"/>
        <v>9.775104</v>
      </c>
      <c r="G32" s="59">
        <f t="shared" si="3"/>
        <v>527.855616</v>
      </c>
      <c r="H32" s="71">
        <f t="shared" si="4"/>
        <v>0.961095674087922</v>
      </c>
      <c r="I32" s="61">
        <f t="shared" si="5"/>
        <v>507.319749080615</v>
      </c>
      <c r="J32" s="72"/>
      <c r="K32" s="73">
        <f>(NORMSDIST((I32-$K$28)/B15)-NORMSDIST((I32-$L$28)/B15))</f>
        <v>5.31036548068187e-10</v>
      </c>
      <c r="L32" s="73">
        <f>(NORMSDIST((I32-$L$28)/B15)-NORMSDIST((I32-$M$28)/B15))</f>
        <v>0.0266104471692582</v>
      </c>
      <c r="M32" s="73">
        <f>(NORMSDIST((I32-$M$28)/B15)-NORMSDIST((I32-$N$28)/B15))</f>
        <v>0.96063295462357</v>
      </c>
      <c r="N32" s="73">
        <f>(NORMSDIST((I32-$N$28)/B15)-NORMSDIST((I32-$O$28)/B15))</f>
        <v>0.0127565975985527</v>
      </c>
      <c r="O32" s="73">
        <f>(NORMSDIST((I32-$O$28)/B15)-NORMSDIST((I32-$P$28)/B15))</f>
        <v>7.75821542230445e-11</v>
      </c>
      <c r="P32" s="73">
        <f>(NORMSDIST((I32-$P$28)/B15)-NORMSDIST((I32-$Q$28)/B15))</f>
        <v>2.12198996125186e-26</v>
      </c>
      <c r="Q32" s="73">
        <f>(NORMSDIST((I32-$Q$28)/B15)-NORMSDIST((I32-$R$28)/B15))</f>
        <v>1.96288092182167e-49</v>
      </c>
      <c r="R32" s="73"/>
      <c r="S32" s="64">
        <f t="shared" si="1"/>
        <v>1</v>
      </c>
    </row>
    <row r="33" s="14" customFormat="1" ht="18" customHeight="1" spans="1:19">
      <c r="A33" s="65"/>
      <c r="B33" s="65"/>
      <c r="C33" s="56">
        <f t="shared" si="2"/>
        <v>0.257</v>
      </c>
      <c r="D33" s="76"/>
      <c r="E33" s="58">
        <v>38184</v>
      </c>
      <c r="F33" s="59">
        <f t="shared" si="0"/>
        <v>9.813288</v>
      </c>
      <c r="G33" s="59">
        <f t="shared" si="3"/>
        <v>529.917552</v>
      </c>
      <c r="H33" s="60">
        <f t="shared" si="4"/>
        <v>0.959595674087922</v>
      </c>
      <c r="I33" s="61">
        <f t="shared" si="5"/>
        <v>508.506590522461</v>
      </c>
      <c r="J33" s="72"/>
      <c r="K33" s="62">
        <f>(NORMSDIST((I33-$K$28)/B15)-NORMSDIST((I33-$L$28)/B15))</f>
        <v>6.76236844299183e-13</v>
      </c>
      <c r="L33" s="62">
        <f>(NORMSDIST((I33-$L$28)/B15)-NORMSDIST((I33-$M$28)/B15))</f>
        <v>0.00173807145872307</v>
      </c>
      <c r="M33" s="63">
        <f>(NORMSDIST((I33-$M$28)/B15)-NORMSDIST((I33-$N$28)/B15))</f>
        <v>0.891605581334217</v>
      </c>
      <c r="N33" s="63">
        <f>(NORMSDIST((I33-$N$28)/B15)-NORMSDIST((I33-$O$28)/B15))</f>
        <v>0.106656315900034</v>
      </c>
      <c r="O33" s="63">
        <f>(NORMSDIST((I33-$O$28)/B15)-NORMSDIST((I33-$P$28)/B15))</f>
        <v>3.13063491920663e-8</v>
      </c>
      <c r="P33" s="63">
        <f>(NORMSDIST((I33-$P$28)/B15)-NORMSDIST((I33-$Q$28)/B15))</f>
        <v>4.95472287017313e-22</v>
      </c>
      <c r="Q33" s="63">
        <f>(NORMSDIST((I33-$Q$28)/B15)-NORMSDIST((I33-$R$28)/B15))</f>
        <v>2.74726885214911e-43</v>
      </c>
      <c r="R33" s="63"/>
      <c r="S33" s="64">
        <f t="shared" si="1"/>
        <v>1</v>
      </c>
    </row>
    <row r="34" s="14" customFormat="1" ht="18" customHeight="1" spans="1:19">
      <c r="A34" s="65"/>
      <c r="B34" s="65"/>
      <c r="C34" s="56">
        <f t="shared" si="2"/>
        <v>0.258</v>
      </c>
      <c r="D34" s="76"/>
      <c r="E34" s="58">
        <v>38184</v>
      </c>
      <c r="F34" s="59">
        <f t="shared" si="0"/>
        <v>9.851472</v>
      </c>
      <c r="G34" s="59">
        <f t="shared" si="3"/>
        <v>531.979488</v>
      </c>
      <c r="H34" s="60">
        <f t="shared" si="4"/>
        <v>0.958095674087922</v>
      </c>
      <c r="I34" s="61">
        <f t="shared" si="5"/>
        <v>509.687246156308</v>
      </c>
      <c r="J34" s="75"/>
      <c r="K34" s="62">
        <f>(NORMSDIST((I34-$K$28)/B15)-NORMSDIST((I34-$L$28)/B15))</f>
        <v>0</v>
      </c>
      <c r="L34" s="62">
        <f>(NORMSDIST((I34-$L$28)/B15)-NORMSDIST((I34-$M$28)/B15))</f>
        <v>4.69107921040601e-5</v>
      </c>
      <c r="M34" s="63">
        <f>(NORMSDIST((I34-$M$28)/B15)-NORMSDIST((I34-$N$28)/B15))</f>
        <v>0.602763470087329</v>
      </c>
      <c r="N34" s="63">
        <f>(NORMSDIST((I34-$N$28)/B15)-NORMSDIST((I34-$O$28)/B15))</f>
        <v>0.397184848008242</v>
      </c>
      <c r="O34" s="63">
        <f>(NORMSDIST((I34-$O$28)/B15)-NORMSDIST((I34-$P$28)/B15))</f>
        <v>4.77111232465841e-6</v>
      </c>
      <c r="P34" s="63">
        <f>(NORMSDIST((I34-$P$28)/B15)-NORMSDIST((I34-$Q$28)/B15))</f>
        <v>4.20105802072416e-18</v>
      </c>
      <c r="Q34" s="63">
        <f>(NORMSDIST((I34-$Q$28)/B15)-NORMSDIST((I34-$R$28)/B15))</f>
        <v>1.35999312131321e-37</v>
      </c>
      <c r="R34" s="63"/>
      <c r="S34" s="64">
        <f t="shared" si="1"/>
        <v>1</v>
      </c>
    </row>
    <row r="35" s="14" customFormat="1" ht="18" customHeight="1" spans="1:19">
      <c r="A35" s="65"/>
      <c r="B35" s="65"/>
      <c r="C35" s="56">
        <f t="shared" si="2"/>
        <v>0.259</v>
      </c>
      <c r="D35" s="76"/>
      <c r="E35" s="58">
        <v>38184</v>
      </c>
      <c r="F35" s="59">
        <f t="shared" si="0"/>
        <v>9.889656</v>
      </c>
      <c r="G35" s="59">
        <f t="shared" si="3"/>
        <v>534.041424</v>
      </c>
      <c r="H35" s="60">
        <f t="shared" si="4"/>
        <v>0.956595674087922</v>
      </c>
      <c r="I35" s="61">
        <f t="shared" si="5"/>
        <v>510.861715982154</v>
      </c>
      <c r="J35" s="77"/>
      <c r="K35" s="62">
        <f>(NORMSDIST((I35-$K$28)/B15)-NORMSDIST((I35-$L$28)/B15))</f>
        <v>0</v>
      </c>
      <c r="L35" s="62">
        <f>(NORMSDIST((I35-$L$28)/B15)-NORMSDIST((I35-$M$28)/B15))</f>
        <v>5.17765841978601e-7</v>
      </c>
      <c r="M35" s="63">
        <f>(NORMSDIST((I35-$M$28)/B15)-NORMSDIST((I35-$N$28)/B15))</f>
        <v>0.236348329481592</v>
      </c>
      <c r="N35" s="63">
        <f>(NORMSDIST((I35-$N$28)/B15)-NORMSDIST((I35-$O$28)/B15))</f>
        <v>0.763369371081004</v>
      </c>
      <c r="O35" s="63">
        <f>(NORMSDIST((I35-$O$28)/B15)-NORMSDIST((I35-$P$28)/B15))</f>
        <v>0.000281781671548798</v>
      </c>
      <c r="P35" s="63">
        <f>(NORMSDIST((I35-$P$28)/B15)-NORMSDIST((I35-$Q$28)/B15))</f>
        <v>1.31604355096656e-14</v>
      </c>
      <c r="Q35" s="63">
        <f>(NORMSDIST((I35-$Q$28)/B15)-NORMSDIST((I35-$R$28)/B15))</f>
        <v>2.41939589683776e-32</v>
      </c>
      <c r="R35" s="63"/>
      <c r="S35" s="64">
        <f t="shared" si="1"/>
        <v>1</v>
      </c>
    </row>
    <row r="36" s="16" customFormat="1" ht="18" customHeight="1" spans="1:19">
      <c r="A36" s="65"/>
      <c r="B36" s="65"/>
      <c r="C36" s="78">
        <f t="shared" si="2"/>
        <v>0.26</v>
      </c>
      <c r="D36" s="76">
        <v>0.0774693055489119</v>
      </c>
      <c r="E36" s="79">
        <v>38184</v>
      </c>
      <c r="F36" s="80">
        <f t="shared" si="0"/>
        <v>9.92784</v>
      </c>
      <c r="G36" s="80">
        <f t="shared" si="3"/>
        <v>536.10336</v>
      </c>
      <c r="H36" s="81">
        <f t="shared" si="4"/>
        <v>0.955095674087922</v>
      </c>
      <c r="I36" s="82">
        <v>512.03</v>
      </c>
      <c r="J36" s="82" t="s">
        <v>99</v>
      </c>
      <c r="K36" s="83">
        <f>(NORMSDIST((I36-$K$28)/B15)-NORMSDIST((I36-$L$28)/B15))</f>
        <v>0</v>
      </c>
      <c r="L36" s="83">
        <f>(NORMSDIST((I36-$L$28)/B15)-NORMSDIST((I36-$M$28)/B15))</f>
        <v>2.33767749602265e-9</v>
      </c>
      <c r="M36" s="84">
        <f>(NORMSDIST((I36-$M$28)/B15)-NORMSDIST((I36-$N$28)/B15))</f>
        <v>0.0453547713810215</v>
      </c>
      <c r="N36" s="84">
        <f>(NORMSDIST((I36-$N$28)/B15)-NORMSDIST((I36-$O$28)/B15))</f>
        <v>0.947983417489319</v>
      </c>
      <c r="O36" s="84">
        <f>(NORMSDIST((I36-$O$28)/B15)-NORMSDIST((I36-$P$28)/B15))</f>
        <v>0.00666180877647449</v>
      </c>
      <c r="P36" s="84">
        <f>(NORMSDIST((I36-$P$28)/B15)-NORMSDIST((I36-$Q$28)/B15))</f>
        <v>1.55077884283879e-11</v>
      </c>
      <c r="Q36" s="84">
        <f>(NORMSDIST((I36-$Q$28)/B15)-NORMSDIST((I36-$R$28)/B15))</f>
        <v>1.57164451934868e-27</v>
      </c>
      <c r="R36" s="84"/>
      <c r="S36" s="85">
        <f t="shared" si="1"/>
        <v>1</v>
      </c>
    </row>
    <row r="37" s="14" customFormat="1" ht="18" customHeight="1" spans="1:19">
      <c r="A37" s="65"/>
      <c r="B37" s="65"/>
      <c r="C37" s="56">
        <f t="shared" si="2"/>
        <v>0.261</v>
      </c>
      <c r="D37" s="76">
        <v>0.263945094894464</v>
      </c>
      <c r="E37" s="58">
        <v>38184</v>
      </c>
      <c r="F37" s="59">
        <f t="shared" si="0"/>
        <v>9.966024</v>
      </c>
      <c r="G37" s="59">
        <f t="shared" si="3"/>
        <v>538.165296</v>
      </c>
      <c r="H37" s="60">
        <f t="shared" si="4"/>
        <v>0.953595674087922</v>
      </c>
      <c r="I37" s="61">
        <f>G37*(H36-0.15%)</f>
        <v>513.192098209846</v>
      </c>
      <c r="J37" s="75"/>
      <c r="K37" s="62">
        <f>(NORMSDIST((I37-$K$28)/B15)-NORMSDIST((I37-$L$28)/B15))</f>
        <v>0</v>
      </c>
      <c r="L37" s="62">
        <f>(NORMSDIST((I37-$L$28)/B15)-NORMSDIST((I37-$M$28)/B15))</f>
        <v>4.34308145003115e-12</v>
      </c>
      <c r="M37" s="63">
        <f>(NORMSDIST((I37-$M$28)/B15)-NORMSDIST((I37-$N$28)/B15))</f>
        <v>0.00390608330093711</v>
      </c>
      <c r="N37" s="63">
        <f>(NORMSDIST((I37-$N$28)/B15)-NORMSDIST((I37-$O$28)/B15))</f>
        <v>0.930135361955121</v>
      </c>
      <c r="O37" s="63">
        <f>(NORMSDIST((I37-$O$28)/B15)-NORMSDIST((I37-$P$28)/B15))</f>
        <v>0.0659585477339835</v>
      </c>
      <c r="P37" s="63">
        <f>(NORMSDIST((I37-$P$28)/B15)-NORMSDIST((I37-$Q$28)/B15))</f>
        <v>7.00561498317865e-9</v>
      </c>
      <c r="Q37" s="63">
        <f>(NORMSDIST((I37-$Q$28)/B15)-NORMSDIST((I37-$R$28)/B15))</f>
        <v>3.78862255469198e-23</v>
      </c>
      <c r="R37" s="63"/>
      <c r="S37" s="64">
        <f t="shared" si="1"/>
        <v>1</v>
      </c>
    </row>
    <row r="38" s="14" customFormat="1" ht="18" customHeight="1" spans="1:19">
      <c r="A38" s="65"/>
      <c r="B38" s="65"/>
      <c r="C38" s="56">
        <f t="shared" si="2"/>
        <v>0.262</v>
      </c>
      <c r="D38" s="76">
        <v>0.392800050363027</v>
      </c>
      <c r="E38" s="58">
        <v>38184</v>
      </c>
      <c r="F38" s="59">
        <f t="shared" si="0"/>
        <v>10.004208</v>
      </c>
      <c r="G38" s="59">
        <f t="shared" si="3"/>
        <v>540.227232</v>
      </c>
      <c r="H38" s="60">
        <f t="shared" si="4"/>
        <v>0.952095674087922</v>
      </c>
      <c r="I38" s="61">
        <f t="shared" ref="I38:I48" si="6">G38*(H37-0.15%)</f>
        <v>514.348010611692</v>
      </c>
      <c r="J38" s="61"/>
      <c r="K38" s="62">
        <f>(NORMSDIST((I38-$K$28)/B15)-NORMSDIST((I38-$L$28)/B15))</f>
        <v>0</v>
      </c>
      <c r="L38" s="62">
        <f>(NORMSDIST((I38-$L$28)/B15)-NORMSDIST((I38-$M$28)/B15))</f>
        <v>3.33066907387547e-15</v>
      </c>
      <c r="M38" s="63">
        <f>(NORMSDIST((I38-$M$28)/B15)-NORMSDIST((I38-$N$28)/B15))</f>
        <v>0.000145410341348073</v>
      </c>
      <c r="N38" s="63">
        <f>(NORMSDIST((I38-$N$28)/B15)-NORMSDIST((I38-$O$28)/B15))</f>
        <v>0.706401387063044</v>
      </c>
      <c r="O38" s="63">
        <f>(NORMSDIST((I38-$O$28)/B15)-NORMSDIST((I38-$P$28)/B15))</f>
        <v>0.293451963957906</v>
      </c>
      <c r="P38" s="63">
        <f>(NORMSDIST((I38-$P$28)/B15)-NORMSDIST((I38-$Q$28)/B15))</f>
        <v>1.23863769843397e-6</v>
      </c>
      <c r="Q38" s="63">
        <f>(NORMSDIST((I38-$Q$28)/B15)-NORMSDIST((I38-$R$28)/B15))</f>
        <v>3.44496730786874e-19</v>
      </c>
      <c r="R38" s="63"/>
      <c r="S38" s="64">
        <f t="shared" si="1"/>
        <v>1</v>
      </c>
    </row>
    <row r="39" s="14" customFormat="1" ht="18" customHeight="1" spans="1:19">
      <c r="A39" s="65"/>
      <c r="B39" s="65"/>
      <c r="C39" s="56">
        <f t="shared" si="2"/>
        <v>0.263</v>
      </c>
      <c r="D39" s="76">
        <v>0.224587026016574</v>
      </c>
      <c r="E39" s="58">
        <v>38184</v>
      </c>
      <c r="F39" s="59">
        <f t="shared" si="0"/>
        <v>10.042392</v>
      </c>
      <c r="G39" s="59">
        <f t="shared" si="3"/>
        <v>542.289168</v>
      </c>
      <c r="H39" s="60">
        <f t="shared" si="4"/>
        <v>0.950595674087922</v>
      </c>
      <c r="I39" s="61">
        <f t="shared" si="6"/>
        <v>515.497737205539</v>
      </c>
      <c r="J39" s="61"/>
      <c r="K39" s="62">
        <f>(NORMSDIST((I39-$K$28)/B15)-NORMSDIST((I39-$L$28)/B15))</f>
        <v>0</v>
      </c>
      <c r="L39" s="62">
        <f>(NORMSDIST((I39-$L$28)/B15)-NORMSDIST((I39-$M$28)/B15))</f>
        <v>0</v>
      </c>
      <c r="M39" s="63">
        <f>(NORMSDIST((I39-$M$28)/B15)-NORMSDIST((I39-$N$28)/B15))</f>
        <v>2.30884078888938e-6</v>
      </c>
      <c r="N39" s="63">
        <f>(NORMSDIST((I39-$N$28)/B15)-NORMSDIST((I39-$O$28)/B15))</f>
        <v>0.339148804357748</v>
      </c>
      <c r="O39" s="63">
        <f>(NORMSDIST((I39-$O$28)/B15)-NORMSDIST((I39-$P$28)/B15))</f>
        <v>0.660761132046952</v>
      </c>
      <c r="P39" s="63">
        <f>(NORMSDIST((I39-$P$28)/B15)-NORMSDIST((I39-$Q$28)/B15))</f>
        <v>8.77547545102723e-5</v>
      </c>
      <c r="Q39" s="63">
        <f>(NORMSDIST((I39-$Q$28)/B15)-NORMSDIST((I39-$R$28)/B15))</f>
        <v>1.20145906525658e-15</v>
      </c>
      <c r="R39" s="63"/>
      <c r="S39" s="64">
        <f t="shared" si="1"/>
        <v>1</v>
      </c>
    </row>
    <row r="40" s="14" customFormat="1" ht="18" customHeight="1" spans="1:19">
      <c r="A40" s="65"/>
      <c r="B40" s="65"/>
      <c r="C40" s="56">
        <f t="shared" si="2"/>
        <v>0.264</v>
      </c>
      <c r="D40" s="76">
        <v>0.0411985231770231</v>
      </c>
      <c r="E40" s="58">
        <v>38184</v>
      </c>
      <c r="F40" s="59">
        <f t="shared" si="0"/>
        <v>10.080576</v>
      </c>
      <c r="G40" s="59">
        <f t="shared" si="3"/>
        <v>544.351104</v>
      </c>
      <c r="H40" s="60">
        <f t="shared" si="4"/>
        <v>0.949095674087923</v>
      </c>
      <c r="I40" s="61">
        <f t="shared" si="6"/>
        <v>516.641277991385</v>
      </c>
      <c r="J40" s="61"/>
      <c r="K40" s="62">
        <f>(NORMSDIST((I40-$K$28)/B15)-NORMSDIST((I40-$L$28)/B15))</f>
        <v>0</v>
      </c>
      <c r="L40" s="62">
        <f>(NORMSDIST((I40-$L$28)/B15)-NORMSDIST((I40-$M$28)/B15))</f>
        <v>0</v>
      </c>
      <c r="M40" s="63">
        <f>(NORMSDIST((I40-$M$28)/B15)-NORMSDIST((I40-$N$28)/B15))</f>
        <v>1.56149262409144e-8</v>
      </c>
      <c r="N40" s="63">
        <f>(NORMSDIST((I40-$N$28)/B15)-NORMSDIST((I40-$O$28)/B15))</f>
        <v>0.0856980274846394</v>
      </c>
      <c r="O40" s="63">
        <f>(NORMSDIST((I40-$O$28)/B15)-NORMSDIST((I40-$P$28)/B15))</f>
        <v>0.911738384091097</v>
      </c>
      <c r="P40" s="63">
        <f>(NORMSDIST((I40-$P$28)/B15)-NORMSDIST((I40-$Q$28)/B15))</f>
        <v>0.00256357280770202</v>
      </c>
      <c r="Q40" s="63">
        <f>(NORMSDIST((I40-$Q$28)/B15)-NORMSDIST((I40-$R$28)/B15))</f>
        <v>1.63501577513532e-12</v>
      </c>
      <c r="R40" s="63"/>
      <c r="S40" s="64">
        <f t="shared" si="1"/>
        <v>1</v>
      </c>
    </row>
    <row r="41" s="14" customFormat="1" ht="18" customHeight="1" spans="1:19">
      <c r="A41" s="65"/>
      <c r="B41" s="65"/>
      <c r="C41" s="56">
        <f t="shared" si="2"/>
        <v>0.265</v>
      </c>
      <c r="D41" s="76">
        <v>0</v>
      </c>
      <c r="E41" s="58">
        <v>38184</v>
      </c>
      <c r="F41" s="59">
        <f t="shared" si="0"/>
        <v>10.11876</v>
      </c>
      <c r="G41" s="59">
        <f t="shared" si="3"/>
        <v>546.41304</v>
      </c>
      <c r="H41" s="60">
        <f t="shared" si="4"/>
        <v>0.947595674087923</v>
      </c>
      <c r="I41" s="61">
        <f t="shared" si="6"/>
        <v>517.778632969231</v>
      </c>
      <c r="J41" s="61"/>
      <c r="K41" s="62">
        <f>(NORMSDIST((I41-$K$28)/B15)-NORMSDIST((I41-$L$28)/B15))</f>
        <v>0</v>
      </c>
      <c r="L41" s="62">
        <f>(NORMSDIST((I41-$L$28)/B15)-NORMSDIST((I41-$M$28)/B15))</f>
        <v>0</v>
      </c>
      <c r="M41" s="63">
        <f>(NORMSDIST((I41-$M$28)/B15)-NORMSDIST((I41-$N$28)/B15))</f>
        <v>4.5199066711632e-11</v>
      </c>
      <c r="N41" s="63">
        <f>(NORMSDIST((I41-$N$28)/B15)-NORMSDIST((I41-$O$28)/B15))</f>
        <v>0.0102920413375314</v>
      </c>
      <c r="O41" s="63">
        <f>(NORMSDIST((I41-$O$28)/B15)-NORMSDIST((I41-$P$28)/B15))</f>
        <v>0.957633193106518</v>
      </c>
      <c r="P41" s="63">
        <f>(NORMSDIST((I41-$P$28)/B15)-NORMSDIST((I41-$Q$28)/B15))</f>
        <v>0.0320747646267665</v>
      </c>
      <c r="Q41" s="63">
        <f>(NORMSDIST((I41-$Q$28)/B15)-NORMSDIST((I41-$R$28)/B15))</f>
        <v>8.83985239401604e-10</v>
      </c>
      <c r="R41" s="63"/>
      <c r="S41" s="64">
        <f t="shared" si="1"/>
        <v>1</v>
      </c>
    </row>
    <row r="42" s="14" customFormat="1" ht="18" customHeight="1" spans="1:19">
      <c r="A42" s="65"/>
      <c r="B42" s="65"/>
      <c r="C42" s="56">
        <f t="shared" si="2"/>
        <v>0.266</v>
      </c>
      <c r="D42" s="76">
        <v>0</v>
      </c>
      <c r="E42" s="58">
        <v>38184</v>
      </c>
      <c r="F42" s="59">
        <f t="shared" si="0"/>
        <v>10.156944</v>
      </c>
      <c r="G42" s="59">
        <f t="shared" si="3"/>
        <v>548.474976</v>
      </c>
      <c r="H42" s="60">
        <f t="shared" si="4"/>
        <v>0.946095674087922</v>
      </c>
      <c r="I42" s="61">
        <f t="shared" si="6"/>
        <v>518.909802139077</v>
      </c>
      <c r="J42" s="61"/>
      <c r="K42" s="62">
        <f>(NORMSDIST((I42-$K$28)/B15)-NORMSDIST((I42-$L$28)/B15))</f>
        <v>0</v>
      </c>
      <c r="L42" s="62">
        <f>(NORMSDIST((I42-$L$28)/B15)-NORMSDIST((I42-$M$28)/B15))</f>
        <v>0</v>
      </c>
      <c r="M42" s="63">
        <f>(NORMSDIST((I42-$M$28)/B15)-NORMSDIST((I42-$N$28)/B15))</f>
        <v>5.65103519534205e-14</v>
      </c>
      <c r="N42" s="63">
        <f>(NORMSDIST((I42-$N$28)/B15)-NORMSDIST((I42-$O$28)/B15))</f>
        <v>0.000560669114139101</v>
      </c>
      <c r="O42" s="63">
        <f>(NORMSDIST((I42-$O$28)/B15)-NORMSDIST((I42-$P$28)/B15))</f>
        <v>0.817631803323013</v>
      </c>
      <c r="P42" s="63">
        <f>(NORMSDIST((I42-$P$28)/B15)-NORMSDIST((I42-$Q$28)/B15))</f>
        <v>0.181807333982727</v>
      </c>
      <c r="Q42" s="63">
        <f>(NORMSDIST((I42-$Q$28)/B15)-NORMSDIST((I42-$R$28)/B15))</f>
        <v>1.93580064605485e-7</v>
      </c>
      <c r="R42" s="63"/>
      <c r="S42" s="64">
        <f t="shared" si="1"/>
        <v>1</v>
      </c>
    </row>
    <row r="43" s="14" customFormat="1" ht="18" customHeight="1" spans="1:19">
      <c r="A43" s="65"/>
      <c r="B43" s="65"/>
      <c r="C43" s="56">
        <f t="shared" si="2"/>
        <v>0.267</v>
      </c>
      <c r="D43" s="76">
        <v>0</v>
      </c>
      <c r="E43" s="58">
        <v>38184</v>
      </c>
      <c r="F43" s="59">
        <f t="shared" si="0"/>
        <v>10.195128</v>
      </c>
      <c r="G43" s="59">
        <f t="shared" si="3"/>
        <v>550.536912</v>
      </c>
      <c r="H43" s="60">
        <f t="shared" si="4"/>
        <v>0.944595674087923</v>
      </c>
      <c r="I43" s="61">
        <f t="shared" si="6"/>
        <v>520.034785500923</v>
      </c>
      <c r="J43" s="61"/>
      <c r="K43" s="62">
        <f>(NORMSDIST((I43-$K$28)/B15)-NORMSDIST((I43-$L$28)/B15))</f>
        <v>0</v>
      </c>
      <c r="L43" s="62">
        <f>(NORMSDIST((I43-$L$28)/B15)-NORMSDIST((I43-$M$28)/B15))</f>
        <v>0</v>
      </c>
      <c r="M43" s="63">
        <f>(NORMSDIST((I43-$M$28)/B15)-NORMSDIST((I43-$N$28)/B15))</f>
        <v>0</v>
      </c>
      <c r="N43" s="63">
        <f>(NORMSDIST((I43-$N$28)/B15)-NORMSDIST((I43-$O$28)/B15))</f>
        <v>1.36042319280882e-5</v>
      </c>
      <c r="O43" s="63">
        <f>(NORMSDIST((I43-$O$28)/B15)-NORMSDIST((I43-$P$28)/B15))</f>
        <v>0.488423509285699</v>
      </c>
      <c r="P43" s="63">
        <f>(NORMSDIST((I43-$P$28)/B15)-NORMSDIST((I43-$Q$28)/B15))</f>
        <v>0.511545344626821</v>
      </c>
      <c r="Q43" s="63">
        <f>(NORMSDIST((I43-$Q$28)/B15)-NORMSDIST((I43-$R$28)/B15))</f>
        <v>1.7541855552032e-5</v>
      </c>
      <c r="R43" s="63"/>
      <c r="S43" s="64">
        <f t="shared" si="1"/>
        <v>1</v>
      </c>
    </row>
    <row r="44" s="14" customFormat="1" ht="18" hidden="1" customHeight="1" spans="1:19">
      <c r="A44" s="65"/>
      <c r="B44" s="65"/>
      <c r="C44" s="56">
        <f t="shared" si="2"/>
        <v>0.268</v>
      </c>
      <c r="D44" s="76"/>
      <c r="E44" s="58">
        <v>38184</v>
      </c>
      <c r="F44" s="59">
        <f t="shared" si="0"/>
        <v>10.233312</v>
      </c>
      <c r="G44" s="59">
        <f t="shared" si="3"/>
        <v>552.598848</v>
      </c>
      <c r="H44" s="60">
        <f t="shared" si="4"/>
        <v>0.943095674087923</v>
      </c>
      <c r="I44" s="61">
        <f t="shared" si="6"/>
        <v>521.15358305477</v>
      </c>
      <c r="J44" s="61"/>
      <c r="K44" s="62">
        <f>(NORMSDIST((I44-$K$28)/B15)-NORMSDIST((I44-$L$28)/B15))</f>
        <v>0</v>
      </c>
      <c r="L44" s="62">
        <f>(NORMSDIST((I44-$L$28)/B15)-NORMSDIST((I44-$M$28)/B15))</f>
        <v>0</v>
      </c>
      <c r="M44" s="63">
        <f>(NORMSDIST((I44-$M$28)/B15)-NORMSDIST((I44-$N$28)/B15))</f>
        <v>0</v>
      </c>
      <c r="N44" s="63">
        <f>(NORMSDIST((I44-$N$28)/B15)-NORMSDIST((I44-$O$28)/B15))</f>
        <v>1.4642920143082e-7</v>
      </c>
      <c r="O44" s="63">
        <f>(NORMSDIST((I44-$O$28)/B15)-NORMSDIST((I44-$P$28)/B15))</f>
        <v>0.168195698945254</v>
      </c>
      <c r="P44" s="63">
        <f>(NORMSDIST((I44-$P$28)/B15)-NORMSDIST((I44-$Q$28)/B15))</f>
        <v>0.831129656972184</v>
      </c>
      <c r="Q44" s="63">
        <f>(NORMSDIST((I44-$Q$28)/B15)-NORMSDIST((I44-$R$28)/B15))</f>
        <v>0.00067449765327599</v>
      </c>
      <c r="R44" s="63"/>
      <c r="S44" s="64">
        <f t="shared" si="1"/>
        <v>0.999999999999916</v>
      </c>
    </row>
    <row r="45" s="14" customFormat="1" ht="18" hidden="1" customHeight="1" spans="1:19">
      <c r="A45" s="65"/>
      <c r="B45" s="65"/>
      <c r="C45" s="56">
        <f t="shared" si="2"/>
        <v>0.269</v>
      </c>
      <c r="D45" s="87"/>
      <c r="E45" s="58">
        <v>38184</v>
      </c>
      <c r="F45" s="59">
        <f t="shared" si="0"/>
        <v>10.271496</v>
      </c>
      <c r="G45" s="59">
        <f t="shared" si="3"/>
        <v>554.660784</v>
      </c>
      <c r="H45" s="60">
        <f t="shared" si="4"/>
        <v>0.941595674087923</v>
      </c>
      <c r="I45" s="61">
        <f t="shared" si="6"/>
        <v>522.266194800616</v>
      </c>
      <c r="J45" s="61"/>
      <c r="K45" s="62">
        <f>(NORMSDIST((I45-$K$28)/B15)-NORMSDIST((I45-$L$28)/B15))</f>
        <v>0</v>
      </c>
      <c r="L45" s="62">
        <f>(NORMSDIST((I45-$L$28)/B15)-NORMSDIST((I45-$M$28)/B15))</f>
        <v>0</v>
      </c>
      <c r="M45" s="63">
        <f>(NORMSDIST((I45-$M$28)/B15)-NORMSDIST((I45-$N$28)/B15))</f>
        <v>0</v>
      </c>
      <c r="N45" s="63">
        <f>(NORMSDIST((I45-$N$28)/B15)-NORMSDIST((I45-$O$28)/B15))</f>
        <v>7.01380620249381e-10</v>
      </c>
      <c r="O45" s="63">
        <f>(NORMSDIST((I45-$O$28)/B15)-NORMSDIST((I45-$P$28)/B15))</f>
        <v>0.0294797188202585</v>
      </c>
      <c r="P45" s="63">
        <f>(NORMSDIST((I45-$P$28)/B15)-NORMSDIST((I45-$Q$28)/B15))</f>
        <v>0.959162084771836</v>
      </c>
      <c r="Q45" s="63">
        <f>(NORMSDIST((I45-$Q$28)/B15)-NORMSDIST((I45-$R$28)/B15))</f>
        <v>0.0113581956486633</v>
      </c>
      <c r="R45" s="63"/>
      <c r="S45" s="64">
        <f t="shared" si="1"/>
        <v>0.999999999942138</v>
      </c>
    </row>
    <row r="46" s="14" customFormat="1" ht="18" hidden="1" customHeight="1" spans="1:19">
      <c r="A46" s="65"/>
      <c r="B46" s="65"/>
      <c r="C46" s="56">
        <f t="shared" si="2"/>
        <v>0.27</v>
      </c>
      <c r="D46" s="87"/>
      <c r="E46" s="58">
        <v>38184</v>
      </c>
      <c r="F46" s="59">
        <f t="shared" si="0"/>
        <v>10.30968</v>
      </c>
      <c r="G46" s="59">
        <f t="shared" si="3"/>
        <v>556.72272</v>
      </c>
      <c r="H46" s="60">
        <f t="shared" si="4"/>
        <v>0.940095674087923</v>
      </c>
      <c r="I46" s="61">
        <f t="shared" si="6"/>
        <v>523.372620738462</v>
      </c>
      <c r="J46" s="61"/>
      <c r="K46" s="62">
        <f>(NORMSDIST((I46-$K$28)/B15)-NORMSDIST((I46-$L$28)/B15))</f>
        <v>0</v>
      </c>
      <c r="L46" s="62">
        <f>(NORMSDIST((I46-$L$28)/B15)-NORMSDIST((I46-$M$28)/B15))</f>
        <v>0</v>
      </c>
      <c r="M46" s="63">
        <f>(NORMSDIST((I46-$M$28)/B15)-NORMSDIST((I46-$N$28)/B15))</f>
        <v>0</v>
      </c>
      <c r="N46" s="63">
        <f>(NORMSDIST((I46-$N$28)/B15)-NORMSDIST((I46-$O$28)/B15))</f>
        <v>1.5057954882991e-12</v>
      </c>
      <c r="O46" s="63">
        <f>(NORMSDIST((I46-$O$28)/B15)-NORMSDIST((I46-$P$28)/B15))</f>
        <v>0.00247309662401218</v>
      </c>
      <c r="P46" s="63">
        <f>(NORMSDIST((I46-$P$28)/B15)-NORMSDIST((I46-$Q$28)/B15))</f>
        <v>0.910001082033425</v>
      </c>
      <c r="Q46" s="63">
        <f>(NORMSDIST((I46-$Q$28)/B15)-NORMSDIST((I46-$R$28)/B15))</f>
        <v>0.0875258046606091</v>
      </c>
      <c r="R46" s="63"/>
      <c r="S46" s="64">
        <f t="shared" si="1"/>
        <v>0.999999983319552</v>
      </c>
    </row>
    <row r="47" s="14" customFormat="1" ht="18" hidden="1" customHeight="1" spans="1:19">
      <c r="A47" s="65"/>
      <c r="B47" s="65"/>
      <c r="C47" s="56">
        <f t="shared" si="2"/>
        <v>0.271</v>
      </c>
      <c r="D47" s="87"/>
      <c r="E47" s="58">
        <v>38184</v>
      </c>
      <c r="F47" s="59">
        <f t="shared" si="0"/>
        <v>10.347864</v>
      </c>
      <c r="G47" s="59">
        <f t="shared" si="3"/>
        <v>558.784656</v>
      </c>
      <c r="H47" s="60">
        <f t="shared" si="4"/>
        <v>0.938595674087923</v>
      </c>
      <c r="I47" s="61">
        <f t="shared" si="6"/>
        <v>524.472860868308</v>
      </c>
      <c r="J47" s="61"/>
      <c r="K47" s="62">
        <f>(NORMSDIST((I47-$K$28)/B15)-NORMSDIST((I47-$L$28)/B15))</f>
        <v>0</v>
      </c>
      <c r="L47" s="62">
        <f>(NORMSDIST((I47-$L$28)/B15)-NORMSDIST((I47-$M$28)/B15))</f>
        <v>0</v>
      </c>
      <c r="M47" s="63">
        <f>(NORMSDIST((I47-$M$28)/B15)-NORMSDIST((I47-$N$28)/B15))</f>
        <v>0</v>
      </c>
      <c r="N47" s="63">
        <f>(NORMSDIST((I47-$N$28)/B15)-NORMSDIST((I47-$O$28)/B15))</f>
        <v>1.4432899320127e-15</v>
      </c>
      <c r="O47" s="63">
        <f>(NORMSDIST((I47-$O$28)/B15)-NORMSDIST((I47-$P$28)/B15))</f>
        <v>9.67387588792779e-5</v>
      </c>
      <c r="P47" s="63">
        <f>(NORMSDIST((I47-$P$28)/B15)-NORMSDIST((I47-$Q$28)/B15))</f>
        <v>0.669674874560296</v>
      </c>
      <c r="Q47" s="63">
        <f>(NORMSDIST((I47-$Q$28)/B15)-NORMSDIST((I47-$R$28)/B15))</f>
        <v>0.330226333738458</v>
      </c>
      <c r="R47" s="63"/>
      <c r="S47" s="64">
        <f t="shared" si="1"/>
        <v>0.999997947057634</v>
      </c>
    </row>
    <row r="48" s="14" customFormat="1" ht="18" hidden="1" customHeight="1" spans="1:19">
      <c r="A48" s="65"/>
      <c r="B48" s="65"/>
      <c r="C48" s="56">
        <f t="shared" si="2"/>
        <v>0.272</v>
      </c>
      <c r="D48" s="87"/>
      <c r="E48" s="58">
        <v>38184</v>
      </c>
      <c r="F48" s="59">
        <f t="shared" si="0"/>
        <v>10.386048</v>
      </c>
      <c r="G48" s="59">
        <f t="shared" si="3"/>
        <v>560.846592</v>
      </c>
      <c r="H48" s="60">
        <f t="shared" si="4"/>
        <v>0.937095674087923</v>
      </c>
      <c r="I48" s="61">
        <f t="shared" si="6"/>
        <v>525.566915190154</v>
      </c>
      <c r="J48" s="61"/>
      <c r="K48" s="62">
        <f>(NORMSDIST((I48-$K$28)/B15)-NORMSDIST((I48-$L$28)/B15))</f>
        <v>0</v>
      </c>
      <c r="L48" s="62">
        <f>(NORMSDIST((I48-$L$28)/B15)-NORMSDIST((I48-$M$28)/B15))</f>
        <v>0</v>
      </c>
      <c r="M48" s="63">
        <f>(NORMSDIST((I48-$M$28)/B15)-NORMSDIST((I48-$N$28)/B15))</f>
        <v>0</v>
      </c>
      <c r="N48" s="63">
        <f>(NORMSDIST((I48-$N$28)/B15)-NORMSDIST((I48-$O$28)/B15))</f>
        <v>0</v>
      </c>
      <c r="O48" s="63">
        <f>(NORMSDIST((I48-$O$28)/B15)-NORMSDIST((I48-$P$28)/B15))</f>
        <v>1.74968249488927e-6</v>
      </c>
      <c r="P48" s="63">
        <f>(NORMSDIST((I48-$P$28)/B15)-NORMSDIST((I48-$Q$28)/B15))</f>
        <v>0.318308438734232</v>
      </c>
      <c r="Q48" s="63">
        <f>(NORMSDIST((I48-$Q$28)/B15)-NORMSDIST((I48-$R$28)/B15))</f>
        <v>0.681579537717</v>
      </c>
      <c r="R48" s="63"/>
      <c r="S48" s="64">
        <f t="shared" si="1"/>
        <v>0.999889726133727</v>
      </c>
    </row>
    <row r="49" s="14" customFormat="1" ht="9.6" customHeight="1" spans="4:19">
      <c r="D49" s="88"/>
    </row>
    <row r="50" s="14" customFormat="1" ht="18" customHeight="1" spans="4:19">
      <c r="D50" s="89"/>
      <c r="I50" s="90" t="s">
        <v>90</v>
      </c>
      <c r="J50" s="90" t="s">
        <v>89</v>
      </c>
      <c r="K50" s="53">
        <f>K28</f>
        <v>495</v>
      </c>
      <c r="L50" s="53">
        <f t="shared" ref="L50:R50" si="7">L28</f>
        <v>500</v>
      </c>
      <c r="M50" s="53">
        <f t="shared" si="7"/>
        <v>505</v>
      </c>
      <c r="N50" s="53">
        <f t="shared" si="7"/>
        <v>510</v>
      </c>
      <c r="O50" s="53">
        <f t="shared" si="7"/>
        <v>515</v>
      </c>
      <c r="P50" s="53">
        <f t="shared" si="7"/>
        <v>520</v>
      </c>
      <c r="Q50" s="53">
        <f t="shared" si="7"/>
        <v>525</v>
      </c>
      <c r="R50" s="53">
        <f t="shared" si="7"/>
        <v>530</v>
      </c>
      <c r="S50" s="54" t="s">
        <v>96</v>
      </c>
    </row>
    <row r="51" s="14" customFormat="1" ht="18" customHeight="1" spans="4:19">
      <c r="I51" s="91">
        <f t="shared" ref="I51:I70" si="8">D29</f>
        <v>0</v>
      </c>
      <c r="J51" s="56">
        <f t="shared" ref="J51:J70" si="9">C29</f>
        <v>0.253</v>
      </c>
      <c r="K51" s="63">
        <f t="shared" ref="K51:K70" si="10">D29*K29</f>
        <v>0</v>
      </c>
      <c r="L51" s="63">
        <f t="shared" ref="L51:L70" si="11">D29*L29</f>
        <v>0</v>
      </c>
      <c r="M51" s="63">
        <f t="shared" ref="M51:M70" si="12">D29*M29</f>
        <v>0</v>
      </c>
      <c r="N51" s="63">
        <f t="shared" ref="N51:N70" si="13">D29*N29</f>
        <v>0</v>
      </c>
      <c r="O51" s="63">
        <f t="shared" ref="O51:O70" si="14">D29*O29</f>
        <v>0</v>
      </c>
      <c r="P51" s="63">
        <f t="shared" ref="P51:P70" si="15">D29*P29</f>
        <v>0</v>
      </c>
      <c r="Q51" s="63">
        <f t="shared" ref="Q51:Q70" si="16">D29*Q29</f>
        <v>0</v>
      </c>
      <c r="R51" s="63"/>
      <c r="S51" s="64"/>
    </row>
    <row r="52" s="14" customFormat="1" ht="18" customHeight="1" spans="4:19">
      <c r="I52" s="91">
        <f t="shared" si="8"/>
        <v>0</v>
      </c>
      <c r="J52" s="56">
        <f t="shared" si="9"/>
        <v>0.254</v>
      </c>
      <c r="K52" s="63">
        <f t="shared" si="10"/>
        <v>0</v>
      </c>
      <c r="L52" s="63">
        <f t="shared" si="11"/>
        <v>0</v>
      </c>
      <c r="M52" s="63">
        <f t="shared" si="12"/>
        <v>0</v>
      </c>
      <c r="N52" s="63">
        <f t="shared" si="13"/>
        <v>0</v>
      </c>
      <c r="O52" s="63">
        <f t="shared" si="14"/>
        <v>0</v>
      </c>
      <c r="P52" s="63">
        <f t="shared" si="15"/>
        <v>0</v>
      </c>
      <c r="Q52" s="63">
        <f t="shared" si="16"/>
        <v>0</v>
      </c>
      <c r="R52" s="63"/>
      <c r="S52" s="64"/>
    </row>
    <row r="53" s="14" customFormat="1" ht="18" customHeight="1" spans="4:19">
      <c r="I53" s="91">
        <f t="shared" si="8"/>
        <v>0</v>
      </c>
      <c r="J53" s="56">
        <f t="shared" si="9"/>
        <v>0.255</v>
      </c>
      <c r="K53" s="63">
        <f t="shared" si="10"/>
        <v>0</v>
      </c>
      <c r="L53" s="63">
        <f t="shared" si="11"/>
        <v>0</v>
      </c>
      <c r="M53" s="63">
        <f t="shared" si="12"/>
        <v>0</v>
      </c>
      <c r="N53" s="63">
        <f t="shared" si="13"/>
        <v>0</v>
      </c>
      <c r="O53" s="63">
        <f t="shared" si="14"/>
        <v>0</v>
      </c>
      <c r="P53" s="63">
        <f t="shared" si="15"/>
        <v>0</v>
      </c>
      <c r="Q53" s="63">
        <f t="shared" si="16"/>
        <v>0</v>
      </c>
      <c r="R53" s="63"/>
      <c r="S53" s="64"/>
    </row>
    <row r="54" s="14" customFormat="1" ht="18" customHeight="1" spans="4:19">
      <c r="I54" s="91">
        <f t="shared" si="8"/>
        <v>0</v>
      </c>
      <c r="J54" s="56">
        <f t="shared" si="9"/>
        <v>0.256</v>
      </c>
      <c r="K54" s="73">
        <f t="shared" si="10"/>
        <v>0</v>
      </c>
      <c r="L54" s="73">
        <f t="shared" si="11"/>
        <v>0</v>
      </c>
      <c r="M54" s="73">
        <f t="shared" si="12"/>
        <v>0</v>
      </c>
      <c r="N54" s="73">
        <f t="shared" si="13"/>
        <v>0</v>
      </c>
      <c r="O54" s="73">
        <f t="shared" si="14"/>
        <v>0</v>
      </c>
      <c r="P54" s="73">
        <f t="shared" si="15"/>
        <v>0</v>
      </c>
      <c r="Q54" s="73">
        <f t="shared" si="16"/>
        <v>0</v>
      </c>
      <c r="R54" s="73"/>
      <c r="S54" s="64"/>
    </row>
    <row r="55" s="14" customFormat="1" ht="18" customHeight="1" spans="4:19">
      <c r="I55" s="91">
        <f t="shared" si="8"/>
        <v>0</v>
      </c>
      <c r="J55" s="56">
        <f t="shared" si="9"/>
        <v>0.257</v>
      </c>
      <c r="K55" s="63">
        <f t="shared" si="10"/>
        <v>0</v>
      </c>
      <c r="L55" s="63">
        <f t="shared" si="11"/>
        <v>0</v>
      </c>
      <c r="M55" s="63">
        <f t="shared" si="12"/>
        <v>0</v>
      </c>
      <c r="N55" s="63">
        <f t="shared" si="13"/>
        <v>0</v>
      </c>
      <c r="O55" s="63">
        <f t="shared" si="14"/>
        <v>0</v>
      </c>
      <c r="P55" s="63">
        <f t="shared" si="15"/>
        <v>0</v>
      </c>
      <c r="Q55" s="63">
        <f t="shared" si="16"/>
        <v>0</v>
      </c>
      <c r="R55" s="63"/>
      <c r="S55" s="64"/>
    </row>
    <row r="56" s="14" customFormat="1" ht="18" customHeight="1" spans="4:19">
      <c r="I56" s="91">
        <f t="shared" si="8"/>
        <v>0</v>
      </c>
      <c r="J56" s="56">
        <f t="shared" si="9"/>
        <v>0.258</v>
      </c>
      <c r="K56" s="63">
        <f t="shared" si="10"/>
        <v>0</v>
      </c>
      <c r="L56" s="63">
        <f t="shared" si="11"/>
        <v>0</v>
      </c>
      <c r="M56" s="63">
        <f t="shared" si="12"/>
        <v>0</v>
      </c>
      <c r="N56" s="63">
        <f t="shared" si="13"/>
        <v>0</v>
      </c>
      <c r="O56" s="63">
        <f t="shared" si="14"/>
        <v>0</v>
      </c>
      <c r="P56" s="63">
        <f t="shared" si="15"/>
        <v>0</v>
      </c>
      <c r="Q56" s="63">
        <f t="shared" si="16"/>
        <v>0</v>
      </c>
      <c r="R56" s="63"/>
      <c r="S56" s="64"/>
    </row>
    <row r="57" s="14" customFormat="1" ht="18" customHeight="1" spans="4:19">
      <c r="I57" s="91">
        <f t="shared" si="8"/>
        <v>0</v>
      </c>
      <c r="J57" s="56">
        <f t="shared" si="9"/>
        <v>0.259</v>
      </c>
      <c r="K57" s="63">
        <f t="shared" si="10"/>
        <v>0</v>
      </c>
      <c r="L57" s="63">
        <f t="shared" si="11"/>
        <v>0</v>
      </c>
      <c r="M57" s="63">
        <f t="shared" si="12"/>
        <v>0</v>
      </c>
      <c r="N57" s="63">
        <f t="shared" si="13"/>
        <v>0</v>
      </c>
      <c r="O57" s="63">
        <f t="shared" si="14"/>
        <v>0</v>
      </c>
      <c r="P57" s="63">
        <f t="shared" si="15"/>
        <v>0</v>
      </c>
      <c r="Q57" s="63">
        <f t="shared" si="16"/>
        <v>0</v>
      </c>
      <c r="R57" s="63"/>
      <c r="S57" s="64"/>
    </row>
    <row r="58" s="14" customFormat="1" ht="18" customHeight="1" spans="4:19">
      <c r="I58" s="91">
        <f t="shared" si="8"/>
        <v>0.0774693055489119</v>
      </c>
      <c r="J58" s="56">
        <f t="shared" si="9"/>
        <v>0.26</v>
      </c>
      <c r="K58" s="63">
        <f t="shared" si="10"/>
        <v>0</v>
      </c>
      <c r="L58" s="63">
        <f t="shared" si="11"/>
        <v>1.81098252214194e-10</v>
      </c>
      <c r="M58" s="63">
        <f t="shared" si="12"/>
        <v>0.0035136026422174</v>
      </c>
      <c r="N58" s="63">
        <f t="shared" si="13"/>
        <v>0.0734396170247817</v>
      </c>
      <c r="O58" s="63">
        <f t="shared" si="14"/>
        <v>0.000516085699613125</v>
      </c>
      <c r="P58" s="63">
        <f t="shared" si="15"/>
        <v>1.20137760014666e-12</v>
      </c>
      <c r="Q58" s="63">
        <f t="shared" si="16"/>
        <v>1.21754209483696e-28</v>
      </c>
      <c r="R58" s="63"/>
      <c r="S58" s="64"/>
    </row>
    <row r="59" s="14" customFormat="1" ht="18" customHeight="1" spans="4:19">
      <c r="I59" s="91">
        <f t="shared" si="8"/>
        <v>0.263945094894464</v>
      </c>
      <c r="J59" s="56">
        <f t="shared" si="9"/>
        <v>0.261</v>
      </c>
      <c r="K59" s="63">
        <f t="shared" si="10"/>
        <v>0</v>
      </c>
      <c r="L59" s="63">
        <f t="shared" si="11"/>
        <v>1.14633504546286e-12</v>
      </c>
      <c r="M59" s="63">
        <f t="shared" si="12"/>
        <v>0.00103099152753153</v>
      </c>
      <c r="N59" s="63">
        <f t="shared" si="13"/>
        <v>0.245504666375941</v>
      </c>
      <c r="O59" s="63">
        <f t="shared" si="14"/>
        <v>0.0174094351407473</v>
      </c>
      <c r="P59" s="63">
        <f t="shared" si="15"/>
        <v>1.84909771152917e-9</v>
      </c>
      <c r="Q59" s="63">
        <f t="shared" si="16"/>
        <v>9.99988339717483e-24</v>
      </c>
      <c r="R59" s="63"/>
      <c r="S59" s="64"/>
    </row>
    <row r="60" s="14" customFormat="1" ht="18" customHeight="1" spans="4:19">
      <c r="I60" s="91">
        <f t="shared" si="8"/>
        <v>0.392800050363027</v>
      </c>
      <c r="J60" s="56">
        <f t="shared" si="9"/>
        <v>0.262</v>
      </c>
      <c r="K60" s="63">
        <f t="shared" si="10"/>
        <v>0</v>
      </c>
      <c r="L60" s="63">
        <f t="shared" si="11"/>
        <v>1.30828697996086e-15</v>
      </c>
      <c r="M60" s="63">
        <f t="shared" si="12"/>
        <v>5.71171894048282e-5</v>
      </c>
      <c r="N60" s="63">
        <f t="shared" si="13"/>
        <v>0.277474500414876</v>
      </c>
      <c r="O60" s="63">
        <f t="shared" si="14"/>
        <v>0.115267946221795</v>
      </c>
      <c r="P60" s="63">
        <f t="shared" si="15"/>
        <v>4.86536950326408e-7</v>
      </c>
      <c r="Q60" s="63">
        <f t="shared" si="16"/>
        <v>1.35318333202982e-19</v>
      </c>
      <c r="R60" s="63"/>
      <c r="S60" s="64"/>
    </row>
    <row r="61" s="14" customFormat="1" ht="18" customHeight="1" spans="4:19">
      <c r="I61" s="91">
        <f t="shared" si="8"/>
        <v>0.224587026016574</v>
      </c>
      <c r="J61" s="56">
        <f t="shared" si="9"/>
        <v>0.263</v>
      </c>
      <c r="K61" s="63">
        <f t="shared" si="10"/>
        <v>0</v>
      </c>
      <c r="L61" s="63">
        <f t="shared" si="11"/>
        <v>0</v>
      </c>
      <c r="M61" s="63">
        <f t="shared" si="12"/>
        <v>5.18535686322426e-7</v>
      </c>
      <c r="N61" s="63">
        <f t="shared" si="13"/>
        <v>0.0761684213477834</v>
      </c>
      <c r="O61" s="63">
        <f t="shared" si="14"/>
        <v>0.14839837755377</v>
      </c>
      <c r="P61" s="63">
        <f t="shared" si="15"/>
        <v>1.97085793342766e-5</v>
      </c>
      <c r="Q61" s="63">
        <f t="shared" si="16"/>
        <v>2.69832118346628e-16</v>
      </c>
      <c r="R61" s="63"/>
      <c r="S61" s="64"/>
    </row>
    <row r="62" s="14" customFormat="1" ht="18" hidden="1" customHeight="1" spans="4:19">
      <c r="I62" s="91">
        <f t="shared" si="8"/>
        <v>0.0411985231770231</v>
      </c>
      <c r="J62" s="56">
        <f t="shared" si="9"/>
        <v>0.264</v>
      </c>
      <c r="K62" s="63">
        <f t="shared" si="10"/>
        <v>0</v>
      </c>
      <c r="L62" s="63">
        <f t="shared" si="11"/>
        <v>0</v>
      </c>
      <c r="M62" s="63">
        <f t="shared" si="12"/>
        <v>6.43311900643819e-10</v>
      </c>
      <c r="N62" s="63">
        <f t="shared" si="13"/>
        <v>0.00353063217155108</v>
      </c>
      <c r="O62" s="63">
        <f t="shared" si="14"/>
        <v>0.0375622749483587</v>
      </c>
      <c r="P62" s="63">
        <f t="shared" si="15"/>
        <v>0.000105615413734098</v>
      </c>
      <c r="Q62" s="63">
        <f t="shared" si="16"/>
        <v>6.7360235306711e-14</v>
      </c>
      <c r="R62" s="63">
        <f t="shared" ref="R62:R70" si="17">D40*R40</f>
        <v>0</v>
      </c>
      <c r="S62" s="64"/>
    </row>
    <row r="63" s="14" customFormat="1" ht="18" hidden="1" customHeight="1" spans="4:19">
      <c r="I63" s="91">
        <f t="shared" si="8"/>
        <v>0</v>
      </c>
      <c r="J63" s="56">
        <f t="shared" si="9"/>
        <v>0.265</v>
      </c>
      <c r="K63" s="63">
        <f t="shared" si="10"/>
        <v>0</v>
      </c>
      <c r="L63" s="63">
        <f t="shared" si="11"/>
        <v>0</v>
      </c>
      <c r="M63" s="63">
        <f t="shared" si="12"/>
        <v>0</v>
      </c>
      <c r="N63" s="63">
        <f t="shared" si="13"/>
        <v>0</v>
      </c>
      <c r="O63" s="63">
        <f t="shared" si="14"/>
        <v>0</v>
      </c>
      <c r="P63" s="63">
        <f t="shared" si="15"/>
        <v>0</v>
      </c>
      <c r="Q63" s="63">
        <f t="shared" si="16"/>
        <v>0</v>
      </c>
      <c r="R63" s="63">
        <f t="shared" si="17"/>
        <v>0</v>
      </c>
      <c r="S63" s="64"/>
    </row>
    <row r="64" s="14" customFormat="1" ht="18" hidden="1" customHeight="1" spans="4:19">
      <c r="I64" s="91">
        <f t="shared" si="8"/>
        <v>0</v>
      </c>
      <c r="J64" s="56">
        <f t="shared" si="9"/>
        <v>0.266</v>
      </c>
      <c r="K64" s="63">
        <f t="shared" si="10"/>
        <v>0</v>
      </c>
      <c r="L64" s="63">
        <f t="shared" si="11"/>
        <v>0</v>
      </c>
      <c r="M64" s="63">
        <f t="shared" si="12"/>
        <v>0</v>
      </c>
      <c r="N64" s="63">
        <f t="shared" si="13"/>
        <v>0</v>
      </c>
      <c r="O64" s="63">
        <f t="shared" si="14"/>
        <v>0</v>
      </c>
      <c r="P64" s="63">
        <f t="shared" si="15"/>
        <v>0</v>
      </c>
      <c r="Q64" s="63">
        <f t="shared" si="16"/>
        <v>0</v>
      </c>
      <c r="R64" s="63">
        <f t="shared" si="17"/>
        <v>0</v>
      </c>
      <c r="S64" s="64"/>
    </row>
    <row r="65" s="14" customFormat="1" ht="18" hidden="1" customHeight="1" spans="1:19">
      <c r="I65" s="91">
        <f t="shared" si="8"/>
        <v>0</v>
      </c>
      <c r="J65" s="56">
        <f t="shared" si="9"/>
        <v>0.267</v>
      </c>
      <c r="K65" s="63">
        <f t="shared" si="10"/>
        <v>0</v>
      </c>
      <c r="L65" s="63">
        <f t="shared" si="11"/>
        <v>0</v>
      </c>
      <c r="M65" s="63">
        <f t="shared" si="12"/>
        <v>0</v>
      </c>
      <c r="N65" s="63">
        <f t="shared" si="13"/>
        <v>0</v>
      </c>
      <c r="O65" s="63">
        <f t="shared" si="14"/>
        <v>0</v>
      </c>
      <c r="P65" s="63">
        <f t="shared" si="15"/>
        <v>0</v>
      </c>
      <c r="Q65" s="63">
        <f t="shared" si="16"/>
        <v>0</v>
      </c>
      <c r="R65" s="63">
        <f t="shared" si="17"/>
        <v>0</v>
      </c>
      <c r="S65" s="64"/>
    </row>
    <row r="66" s="14" customFormat="1" ht="18" hidden="1" customHeight="1" spans="1:19">
      <c r="I66" s="91">
        <f t="shared" si="8"/>
        <v>0</v>
      </c>
      <c r="J66" s="56">
        <f t="shared" si="9"/>
        <v>0.268</v>
      </c>
      <c r="K66" s="63">
        <f t="shared" si="10"/>
        <v>0</v>
      </c>
      <c r="L66" s="63">
        <f t="shared" si="11"/>
        <v>0</v>
      </c>
      <c r="M66" s="63">
        <f t="shared" si="12"/>
        <v>0</v>
      </c>
      <c r="N66" s="63">
        <f t="shared" si="13"/>
        <v>0</v>
      </c>
      <c r="O66" s="63">
        <f t="shared" si="14"/>
        <v>0</v>
      </c>
      <c r="P66" s="63">
        <f t="shared" si="15"/>
        <v>0</v>
      </c>
      <c r="Q66" s="63">
        <f t="shared" si="16"/>
        <v>0</v>
      </c>
      <c r="R66" s="63">
        <f t="shared" si="17"/>
        <v>0</v>
      </c>
      <c r="S66" s="64"/>
    </row>
    <row r="67" s="14" customFormat="1" ht="18" hidden="1" customHeight="1" spans="1:19">
      <c r="I67" s="91">
        <f t="shared" si="8"/>
        <v>0</v>
      </c>
      <c r="J67" s="56">
        <f t="shared" si="9"/>
        <v>0.269</v>
      </c>
      <c r="K67" s="63">
        <f t="shared" si="10"/>
        <v>0</v>
      </c>
      <c r="L67" s="63">
        <f t="shared" si="11"/>
        <v>0</v>
      </c>
      <c r="M67" s="63">
        <f t="shared" si="12"/>
        <v>0</v>
      </c>
      <c r="N67" s="63">
        <f t="shared" si="13"/>
        <v>0</v>
      </c>
      <c r="O67" s="63">
        <f t="shared" si="14"/>
        <v>0</v>
      </c>
      <c r="P67" s="63">
        <f t="shared" si="15"/>
        <v>0</v>
      </c>
      <c r="Q67" s="63">
        <f t="shared" si="16"/>
        <v>0</v>
      </c>
      <c r="R67" s="63">
        <f t="shared" si="17"/>
        <v>0</v>
      </c>
      <c r="S67" s="64"/>
    </row>
    <row r="68" s="14" customFormat="1" ht="18" hidden="1" customHeight="1" spans="1:19">
      <c r="I68" s="91">
        <f t="shared" si="8"/>
        <v>0</v>
      </c>
      <c r="J68" s="56">
        <f t="shared" si="9"/>
        <v>0.27</v>
      </c>
      <c r="K68" s="63">
        <f t="shared" si="10"/>
        <v>0</v>
      </c>
      <c r="L68" s="63">
        <f t="shared" si="11"/>
        <v>0</v>
      </c>
      <c r="M68" s="63">
        <f t="shared" si="12"/>
        <v>0</v>
      </c>
      <c r="N68" s="63">
        <f t="shared" si="13"/>
        <v>0</v>
      </c>
      <c r="O68" s="63">
        <f t="shared" si="14"/>
        <v>0</v>
      </c>
      <c r="P68" s="63">
        <f t="shared" si="15"/>
        <v>0</v>
      </c>
      <c r="Q68" s="63">
        <f t="shared" si="16"/>
        <v>0</v>
      </c>
      <c r="R68" s="63">
        <f t="shared" si="17"/>
        <v>0</v>
      </c>
      <c r="S68" s="64"/>
    </row>
    <row r="69" s="14" customFormat="1" ht="18" hidden="1" customHeight="1" spans="1:19">
      <c r="I69" s="91">
        <f t="shared" si="8"/>
        <v>0</v>
      </c>
      <c r="J69" s="56">
        <f t="shared" si="9"/>
        <v>0.271</v>
      </c>
      <c r="K69" s="63">
        <f t="shared" si="10"/>
        <v>0</v>
      </c>
      <c r="L69" s="63">
        <f t="shared" si="11"/>
        <v>0</v>
      </c>
      <c r="M69" s="63">
        <f t="shared" si="12"/>
        <v>0</v>
      </c>
      <c r="N69" s="63">
        <f t="shared" si="13"/>
        <v>0</v>
      </c>
      <c r="O69" s="63">
        <f t="shared" si="14"/>
        <v>0</v>
      </c>
      <c r="P69" s="63">
        <f t="shared" si="15"/>
        <v>0</v>
      </c>
      <c r="Q69" s="63">
        <f t="shared" si="16"/>
        <v>0</v>
      </c>
      <c r="R69" s="63">
        <f t="shared" si="17"/>
        <v>0</v>
      </c>
      <c r="S69" s="64"/>
    </row>
    <row r="70" s="14" customFormat="1" ht="18" hidden="1" customHeight="1" spans="1:19">
      <c r="I70" s="91">
        <f t="shared" si="8"/>
        <v>0</v>
      </c>
      <c r="J70" s="56">
        <f t="shared" si="9"/>
        <v>0.272</v>
      </c>
      <c r="K70" s="63">
        <f t="shared" si="10"/>
        <v>0</v>
      </c>
      <c r="L70" s="63">
        <f t="shared" si="11"/>
        <v>0</v>
      </c>
      <c r="M70" s="63">
        <f t="shared" si="12"/>
        <v>0</v>
      </c>
      <c r="N70" s="63">
        <f t="shared" si="13"/>
        <v>0</v>
      </c>
      <c r="O70" s="63">
        <f t="shared" si="14"/>
        <v>0</v>
      </c>
      <c r="P70" s="63">
        <f t="shared" si="15"/>
        <v>0</v>
      </c>
      <c r="Q70" s="63">
        <f t="shared" si="16"/>
        <v>0</v>
      </c>
      <c r="R70" s="63">
        <f t="shared" si="17"/>
        <v>0</v>
      </c>
      <c r="S70" s="64"/>
    </row>
    <row r="71" s="14" customFormat="1" ht="18" customHeight="1" spans="1:19">
      <c r="I71" s="92" t="s">
        <v>100</v>
      </c>
      <c r="J71" s="93"/>
      <c r="K71" s="94">
        <f t="shared" ref="K71:Q71" si="18">SUM(K51:K70)</f>
        <v>0</v>
      </c>
      <c r="L71" s="94">
        <f t="shared" si="18"/>
        <v>1.82245895546637e-10</v>
      </c>
      <c r="M71" s="94">
        <f t="shared" si="18"/>
        <v>0.00460223053815198</v>
      </c>
      <c r="N71" s="94">
        <f t="shared" si="18"/>
        <v>0.676117837334933</v>
      </c>
      <c r="O71" s="94">
        <f t="shared" si="18"/>
        <v>0.319154119564283</v>
      </c>
      <c r="P71" s="94">
        <f t="shared" si="18"/>
        <v>0.00012581238031779</v>
      </c>
      <c r="Q71" s="94">
        <f t="shared" si="18"/>
        <v>6.76302027533909e-14</v>
      </c>
      <c r="R71" s="94"/>
      <c r="S71" s="95">
        <f>SUM(K71:R71)</f>
        <v>1</v>
      </c>
    </row>
    <row r="72" ht="18" customHeight="1" spans="1:19">
      <c r="K72" s="53">
        <f>K50</f>
        <v>495</v>
      </c>
      <c r="L72" s="53">
        <f t="shared" ref="L72:R72" si="19">L50</f>
        <v>500</v>
      </c>
      <c r="M72" s="53">
        <f t="shared" si="19"/>
        <v>505</v>
      </c>
      <c r="N72" s="53">
        <f t="shared" si="19"/>
        <v>510</v>
      </c>
      <c r="O72" s="53">
        <f t="shared" si="19"/>
        <v>515</v>
      </c>
      <c r="P72" s="53">
        <f t="shared" si="19"/>
        <v>520</v>
      </c>
      <c r="Q72" s="53">
        <f t="shared" si="19"/>
        <v>525</v>
      </c>
      <c r="R72" s="53">
        <f t="shared" si="19"/>
        <v>530</v>
      </c>
    </row>
    <row r="73" ht="4.8" customHeight="1" spans="1:19">
      <c r="I73" s="96"/>
    </row>
    <row r="74" ht="4.8" customHeight="1" spans="1:19">
      <c r="I74" s="96"/>
    </row>
    <row r="75" ht="4.8" customHeight="1" spans="1:19">
      <c r="I75" s="96"/>
    </row>
    <row r="76" ht="26.4" customHeight="1" spans="1:19">
      <c r="A76" s="97" t="s">
        <v>101</v>
      </c>
      <c r="B76" s="98" t="s">
        <v>89</v>
      </c>
      <c r="C76" s="98" t="str">
        <f>C9</f>
        <v>芜湖（80mg）</v>
      </c>
      <c r="D76" s="98" t="str">
        <f t="shared" ref="D76:O76" si="20">D9</f>
        <v>芜湖（105mg）</v>
      </c>
      <c r="E76" s="98" t="str">
        <f t="shared" si="20"/>
        <v>芜湖（125mg）</v>
      </c>
      <c r="F76" s="98" t="str">
        <f t="shared" si="20"/>
        <v>厂家3</v>
      </c>
      <c r="G76" s="98" t="str">
        <f t="shared" si="20"/>
        <v>厂家4</v>
      </c>
      <c r="H76" s="98" t="str">
        <f t="shared" si="20"/>
        <v>厂家5</v>
      </c>
      <c r="I76" s="98" t="str">
        <f t="shared" si="20"/>
        <v>厂家6</v>
      </c>
      <c r="J76" s="98" t="str">
        <f t="shared" si="20"/>
        <v>厂家7</v>
      </c>
      <c r="K76" s="98" t="str">
        <f t="shared" si="20"/>
        <v>厂家8</v>
      </c>
      <c r="L76" s="98" t="str">
        <f t="shared" si="20"/>
        <v>厂家9</v>
      </c>
      <c r="M76" s="98" t="str">
        <f t="shared" si="20"/>
        <v>厂家10</v>
      </c>
      <c r="N76" s="98" t="str">
        <f t="shared" si="20"/>
        <v>厂家11</v>
      </c>
      <c r="O76" s="98" t="str">
        <f t="shared" si="20"/>
        <v>厂家12</v>
      </c>
    </row>
    <row r="77" ht="17.4" customHeight="1" spans="1:19">
      <c r="A77" s="97"/>
      <c r="B77" s="99">
        <f>C29</f>
        <v>0.253</v>
      </c>
      <c r="C77" s="100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</row>
    <row r="78" ht="17.4" customHeight="1" spans="1:19">
      <c r="A78" s="97"/>
      <c r="B78" s="99">
        <f t="shared" ref="B78:B96" si="21">C30</f>
        <v>0.254</v>
      </c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</row>
    <row r="79" ht="17.4" customHeight="1" spans="1:19">
      <c r="A79" s="97"/>
      <c r="B79" s="99">
        <f t="shared" si="21"/>
        <v>0.255</v>
      </c>
      <c r="C79" s="100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</row>
    <row r="80" ht="17.4" customHeight="1" spans="1:19">
      <c r="A80" s="97"/>
      <c r="B80" s="99">
        <f t="shared" si="21"/>
        <v>0.256</v>
      </c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</row>
    <row r="81" ht="17.4" customHeight="1" spans="1:15">
      <c r="A81" s="97"/>
      <c r="B81" s="99">
        <f t="shared" si="21"/>
        <v>0.257</v>
      </c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</row>
    <row r="82" ht="17.4" customHeight="1" spans="1:15">
      <c r="A82" s="97"/>
      <c r="B82" s="99">
        <f t="shared" si="21"/>
        <v>0.258</v>
      </c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</row>
    <row r="83" ht="17.4" customHeight="1" spans="1:15">
      <c r="A83" s="97"/>
      <c r="B83" s="99">
        <f t="shared" si="21"/>
        <v>0.259</v>
      </c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</row>
    <row r="84" ht="17.4" customHeight="1" spans="1:15">
      <c r="A84" s="97"/>
      <c r="B84" s="99">
        <f t="shared" si="21"/>
        <v>0.26</v>
      </c>
      <c r="C84" s="100">
        <v>0.0341140293136703</v>
      </c>
      <c r="D84" s="100"/>
      <c r="E84" s="101"/>
      <c r="F84" s="100"/>
      <c r="G84" s="100"/>
      <c r="H84" s="100"/>
      <c r="I84" s="100"/>
      <c r="J84" s="100"/>
      <c r="K84" s="100"/>
      <c r="L84" s="100"/>
      <c r="M84" s="100"/>
      <c r="N84" s="100"/>
      <c r="O84" s="100"/>
    </row>
    <row r="85" ht="17.4" customHeight="1" spans="1:15">
      <c r="A85" s="97"/>
      <c r="B85" s="99">
        <f t="shared" si="21"/>
        <v>0.261</v>
      </c>
      <c r="C85" s="100">
        <v>0.0586334878828709</v>
      </c>
      <c r="D85" s="100"/>
      <c r="E85" s="101"/>
      <c r="F85" s="100"/>
      <c r="G85" s="100"/>
      <c r="H85" s="100"/>
      <c r="I85" s="100"/>
      <c r="J85" s="100"/>
      <c r="K85" s="100"/>
      <c r="L85" s="100"/>
      <c r="M85" s="100"/>
      <c r="N85" s="100"/>
      <c r="O85" s="100"/>
    </row>
    <row r="86" ht="17.4" customHeight="1" spans="1:15">
      <c r="A86" s="97"/>
      <c r="B86" s="99">
        <f t="shared" si="21"/>
        <v>0.262</v>
      </c>
      <c r="C86" s="100">
        <v>0.0841203302499458</v>
      </c>
      <c r="D86" s="100"/>
      <c r="E86" s="101"/>
      <c r="F86" s="100"/>
      <c r="G86" s="100"/>
      <c r="H86" s="100"/>
      <c r="I86" s="100"/>
      <c r="J86" s="100"/>
      <c r="K86" s="100"/>
      <c r="L86" s="100"/>
      <c r="M86" s="100"/>
      <c r="N86" s="100"/>
      <c r="O86" s="100"/>
    </row>
    <row r="87" ht="17.4" customHeight="1" spans="1:15">
      <c r="A87" s="97"/>
      <c r="B87" s="99">
        <f t="shared" si="21"/>
        <v>0.263</v>
      </c>
      <c r="C87" s="100">
        <v>0.231516943533095</v>
      </c>
      <c r="D87" s="100"/>
      <c r="E87" s="101"/>
      <c r="F87" s="100"/>
      <c r="G87" s="100"/>
      <c r="H87" s="100"/>
      <c r="I87" s="100"/>
      <c r="J87" s="100"/>
      <c r="K87" s="100"/>
      <c r="L87" s="100"/>
      <c r="M87" s="100"/>
      <c r="N87" s="100"/>
      <c r="O87" s="100"/>
    </row>
    <row r="88" ht="17.4" customHeight="1" spans="1:15">
      <c r="A88" s="97"/>
      <c r="B88" s="99">
        <f t="shared" si="21"/>
        <v>0.264</v>
      </c>
      <c r="C88" s="100">
        <v>0.320133020125304</v>
      </c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</row>
    <row r="89" ht="17.4" customHeight="1" spans="1:15">
      <c r="A89" s="97"/>
      <c r="B89" s="99">
        <f t="shared" si="21"/>
        <v>0.265</v>
      </c>
      <c r="C89" s="100">
        <v>0.22052468114755</v>
      </c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  <c r="O89" s="100"/>
    </row>
    <row r="90" ht="17.4" customHeight="1" spans="1:15">
      <c r="A90" s="97"/>
      <c r="B90" s="99">
        <f t="shared" si="21"/>
        <v>0.266</v>
      </c>
      <c r="C90" s="100">
        <v>0.0509575077475633</v>
      </c>
      <c r="D90" s="100"/>
      <c r="E90" s="100"/>
      <c r="F90" s="100"/>
      <c r="G90" s="100"/>
      <c r="H90" s="100"/>
      <c r="I90" s="100"/>
      <c r="J90" s="100"/>
      <c r="K90" s="100"/>
      <c r="L90" s="100"/>
      <c r="M90" s="100"/>
      <c r="N90" s="100"/>
      <c r="O90" s="100"/>
    </row>
    <row r="91" ht="17.4" customHeight="1" spans="1:15">
      <c r="A91" s="97"/>
      <c r="B91" s="99">
        <f t="shared" si="21"/>
        <v>0.267</v>
      </c>
      <c r="C91" s="100">
        <v>0</v>
      </c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</row>
    <row r="92" ht="17.4" customHeight="1" spans="1:15">
      <c r="A92" s="97"/>
      <c r="B92" s="99">
        <f t="shared" si="21"/>
        <v>0.268</v>
      </c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</row>
    <row r="93" ht="17.4" customHeight="1" spans="1:15">
      <c r="A93" s="97"/>
      <c r="B93" s="99">
        <f t="shared" si="21"/>
        <v>0.269</v>
      </c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</row>
    <row r="94" ht="17.4" customHeight="1" spans="1:15">
      <c r="A94" s="97"/>
      <c r="B94" s="99">
        <f t="shared" si="21"/>
        <v>0.27</v>
      </c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</row>
    <row r="95" ht="17.4" customHeight="1" spans="1:15">
      <c r="A95" s="97"/>
      <c r="B95" s="99">
        <f t="shared" si="21"/>
        <v>0.271</v>
      </c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</row>
    <row r="96" ht="17.4" customHeight="1" spans="1:15">
      <c r="A96" s="97"/>
      <c r="B96" s="99">
        <f t="shared" si="21"/>
        <v>0.272</v>
      </c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</row>
  </sheetData>
  <sheetProtection formatCells="0" formatColumns="0" formatRows="0" insertRows="0" insertColumns="0" insertHyperlinks="0" deleteColumns="0" deleteRows="0" sort="0" autoFilter="0" pivotTables="0"/>
  <mergeCells count="23">
    <mergeCell ref="A1:F1"/>
    <mergeCell ref="G1:I1"/>
    <mergeCell ref="L1:O1"/>
    <mergeCell ref="Q10:U10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1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{def77d0e-e54d-4fa3-ac58-81da38211e77}</x14:id>
        </ext>
      </extLst>
    </cfRule>
  </conditionalFormatting>
  <conditionalFormatting sqref="D30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{dc070077-dab4-4d0a-b818-5abba69e7ea0}</x14:id>
        </ext>
      </extLst>
    </cfRule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{40e28935-5213-438e-8104-da9389016244}</x14:id>
        </ext>
      </extLst>
    </cfRule>
  </conditionalFormatting>
  <conditionalFormatting sqref="D33:D44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{5b5d568a-fcc9-4daf-834c-035e3df2ecf4}</x14:id>
        </ext>
      </extLst>
    </cfRule>
  </conditionalFormatting>
  <conditionalFormatting sqref="D45:D48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{9c33adc5-4290-4365-97bb-5d871a89eeb3}</x14:id>
        </ext>
      </extLst>
    </cfRule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{0c2a1c86-ed53-4655-9a7e-abf0853e7afe}</x14:id>
        </ext>
      </extLst>
    </cfRule>
  </conditionalFormatting>
  <conditionalFormatting sqref="D49:D5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{09e060c7-22e0-4512-8fe9-ba5c5b905799}</x14:id>
        </ext>
      </extLst>
    </cfRule>
    <cfRule type="dataBar" priority="1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{526e0b8c-a872-475e-a020-8ab088d9679a}</x14:id>
        </ext>
      </extLst>
    </cfRule>
  </conditionalFormatting>
  <conditionalFormatting sqref="D29:D32 D45:D48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{3378c2d8-c751-40e3-8f75-1c43eec3cd2f}</x14:id>
        </ext>
      </extLst>
    </cfRule>
  </conditionalFormatting>
  <conditionalFormatting sqref="K29:R4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{9b42f155-e7fd-40c9-a2dd-8448be39af56}</x14:id>
        </ext>
      </extLst>
    </cfRule>
  </conditionalFormatting>
  <conditionalFormatting sqref="K29:Q39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{63ad6707-c6d1-4f35-b311-b33fa53047ce}</x14:id>
        </ext>
      </extLst>
    </cfRule>
  </conditionalFormatting>
  <conditionalFormatting sqref="M29:O30 O35 N31:O34 M31:M48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{6e8baa49-a748-4482-8a7a-954a5aa327f4}</x14:id>
        </ext>
      </extLst>
    </cfRule>
    <cfRule type="colorScale" priority="25">
      <colorScale>
        <cfvo type="percent" val="0"/>
        <cfvo type="percent" val="0"/>
        <color theme="0"/>
        <color theme="0"/>
      </colorScale>
    </cfRule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{fa612d3a-2a69-4506-8cf8-e7fb2b9a5093}</x14:id>
        </ext>
      </extLst>
    </cfRule>
    <cfRule type="dataBar" priority="27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{6784e245-74a7-470a-978b-708aceec99f7}</x14:id>
        </ext>
      </extLst>
    </cfRule>
    <cfRule type="dataBar" priority="2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{8c0c1180-f587-450c-b459-37466109a145}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{9a4ba2d8-cd89-46e0-9d8e-c19b84802dda}</x14:id>
        </ext>
      </extLst>
    </cfRule>
  </conditionalFormatting>
  <conditionalFormatting sqref="P29:R35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{193c2ded-d11e-41b4-9f73-5faa04cf9d0f}</x14:id>
        </ext>
      </extLst>
    </cfRule>
    <cfRule type="colorScale" priority="18">
      <colorScale>
        <cfvo type="percent" val="0"/>
        <cfvo type="percent" val="0"/>
        <color theme="0"/>
        <color theme="0"/>
      </colorScale>
    </cfRule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{43cc0427-8d08-48fe-a1aa-f21c4fc4f55e}</x14:id>
        </ext>
      </extLst>
    </cfRule>
    <cfRule type="dataBar" priority="20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{8d44ea02-0898-410d-b4be-7a6c2fb24401}</x14:id>
        </ext>
      </extLst>
    </cfRule>
    <cfRule type="dataBar" priority="2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{a40325cb-88c1-4c7a-ba14-ee5181539552}</x14:id>
        </ext>
      </extLst>
    </cfRule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{7bef74d8-d2ad-4605-9ad2-290173e8b6cc}</x14:id>
        </ext>
      </extLst>
    </cfRule>
  </conditionalFormatting>
  <conditionalFormatting sqref="P36:R48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{8807c711-3c8f-4202-bf7f-aba3a2538109}</x14:id>
        </ext>
      </extLst>
    </cfRule>
    <cfRule type="colorScale" priority="31">
      <colorScale>
        <cfvo type="percent" val="0"/>
        <cfvo type="percent" val="0"/>
        <color theme="0"/>
        <color theme="0"/>
      </colorScale>
    </cfRule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{071b91a1-c4fb-4c11-a8fa-05a3a32b1021}</x14:id>
        </ext>
      </extLst>
    </cfRule>
    <cfRule type="dataBar" priority="3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{30f7bad1-af5d-4739-9e8b-484b8939c024}</x14:id>
        </ext>
      </extLst>
    </cfRule>
    <cfRule type="dataBar" priority="34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{d9a45357-3616-4c1d-905b-1edd4b5ccba4}</x14:id>
        </ext>
      </extLst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{91c531ed-8943-4422-9c56-e86ebd55b9a8}</x14:id>
        </ext>
      </extLst>
    </cfRule>
  </conditionalFormatting>
  <conditionalFormatting sqref="C84:E9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{5243c568-8902-45d9-b7a6-a27388b43d79}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f77d0e-e54d-4fa3-ac58-81da38211e77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dc070077-dab4-4d0a-b818-5abba69e7e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e28935-5213-438e-8104-da93890162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5b5d568a-fcc9-4daf-834c-035e3df2ec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9c33adc5-4290-4365-97bb-5d871a89ee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2a1c86-ed53-4655-9a7e-abf0853e7a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09e060c7-22e0-4512-8fe9-ba5c5b9057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26e0b8c-a872-475e-a020-8ab088d9679a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3378c2d8-c751-40e3-8f75-1c43eec3cd2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9b42f155-e7fd-40c9-a2dd-8448be39af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63ad6707-c6d1-4f35-b311-b33fa53047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K29:Q39</xm:sqref>
        </x14:conditionalFormatting>
        <x14:conditionalFormatting xmlns:xm="http://schemas.microsoft.com/office/excel/2006/main">
          <x14:cfRule type="dataBar" id="{6e8baa49-a748-4482-8a7a-954a5aa327f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a612d3a-2a69-4506-8cf8-e7fb2b9a509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6784e245-74a7-470a-978b-708aceec99f7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8c0c1180-f587-450c-b459-37466109a14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9a4ba2d8-cd89-46e0-9d8e-c19b84802dd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193c2ded-d11e-41b4-9f73-5faa04cf9d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43cc0427-8d08-48fe-a1aa-f21c4fc4f55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8d44ea02-0898-410d-b4be-7a6c2fb2440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a40325cb-88c1-4c7a-ba14-ee5181539552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7bef74d8-d2ad-4605-9ad2-290173e8b6cc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8807c711-3c8f-4202-bf7f-aba3a253810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071b91a1-c4fb-4c11-a8fa-05a3a32b102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30f7bad1-af5d-4739-9e8b-484b8939c02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d9a45357-3616-4c1d-905b-1edd4b5ccba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91c531ed-8943-4422-9c56-e86ebd55b9a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5243c568-8902-45d9-b7a6-a27388b43d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C84:E92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>
    <tabColor rgb="FF00B0F0"/>
  </sheetPr>
  <dimension ref="A1:Y96"/>
  <sheetViews>
    <sheetView showGridLines="0" zoomScale="70" zoomScaleNormal="70" workbookViewId="0">
      <selection activeCell="C84" sqref="C84:C91"/>
    </sheetView>
  </sheetViews>
  <sheetFormatPr defaultColWidth="8.44642857142857" defaultRowHeight="13.6"/>
  <cols>
    <col min="1" max="17" width="10.5535714285714" style="17" customWidth="1"/>
    <col min="18" max="18" width="10.5535714285714" style="17" hidden="1" customWidth="1"/>
    <col min="19" max="19" width="10.5535714285714" style="17" customWidth="1"/>
    <col min="20" max="16384" width="8.44642857142857" style="17"/>
  </cols>
  <sheetData>
    <row r="1" s="13" customFormat="1" ht="40.8" customHeight="1" spans="1:25">
      <c r="A1" s="18" t="s">
        <v>178</v>
      </c>
      <c r="B1" s="18"/>
      <c r="C1" s="18"/>
      <c r="D1" s="18"/>
      <c r="E1" s="18"/>
      <c r="F1" s="18"/>
      <c r="G1" s="19" t="s">
        <v>152</v>
      </c>
      <c r="H1" s="19"/>
      <c r="I1" s="19"/>
      <c r="J1" s="19">
        <v>509.39</v>
      </c>
      <c r="K1" s="20" t="s">
        <v>2</v>
      </c>
      <c r="L1" s="20" t="s">
        <v>3</v>
      </c>
      <c r="M1" s="20"/>
      <c r="N1" s="20"/>
      <c r="O1" s="20"/>
      <c r="Q1" s="21"/>
      <c r="R1" s="21"/>
      <c r="S1" s="21"/>
    </row>
    <row r="2" ht="1.95" customHeight="1" spans="1:25">
      <c r="H2" s="22"/>
      <c r="P2" s="13"/>
      <c r="Q2" s="21"/>
      <c r="R2" s="21"/>
      <c r="S2" s="21"/>
    </row>
    <row r="3" s="14" customFormat="1" ht="21.9" customHeight="1" spans="1:25">
      <c r="A3" s="23" t="s">
        <v>4</v>
      </c>
      <c r="B3" s="23">
        <v>0</v>
      </c>
      <c r="C3" s="24">
        <v>0.26</v>
      </c>
      <c r="D3" s="11">
        <v>0.24</v>
      </c>
      <c r="E3" s="11" t="s">
        <v>116</v>
      </c>
      <c r="F3" s="11" t="s">
        <v>46</v>
      </c>
      <c r="G3" s="11" t="s">
        <v>5</v>
      </c>
      <c r="H3" s="11" t="s">
        <v>6</v>
      </c>
      <c r="I3" s="11" t="s">
        <v>7</v>
      </c>
      <c r="J3" s="11" t="s">
        <v>8</v>
      </c>
      <c r="K3" s="11" t="s">
        <v>9</v>
      </c>
      <c r="L3" s="11" t="s">
        <v>10</v>
      </c>
      <c r="M3" s="11" t="s">
        <v>11</v>
      </c>
      <c r="N3" s="11" t="s">
        <v>12</v>
      </c>
      <c r="O3" s="11" t="s">
        <v>13</v>
      </c>
      <c r="P3" s="25"/>
      <c r="Q3" s="26"/>
      <c r="R3" s="26"/>
      <c r="S3" s="26"/>
      <c r="T3" s="27"/>
      <c r="U3" s="27"/>
      <c r="V3" s="27"/>
      <c r="W3" s="27"/>
      <c r="X3" s="27"/>
      <c r="Y3" s="27"/>
    </row>
    <row r="4" s="14" customFormat="1" ht="21.9" customHeight="1" spans="1:25">
      <c r="A4" s="23"/>
      <c r="B4" s="23"/>
      <c r="C4" s="24">
        <v>0</v>
      </c>
      <c r="D4" s="12">
        <v>-1.6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25"/>
      <c r="Q4" s="26"/>
      <c r="R4" s="26"/>
      <c r="S4" s="26"/>
      <c r="T4" s="27"/>
      <c r="U4" s="27"/>
      <c r="V4" s="27"/>
      <c r="W4" s="27"/>
      <c r="X4" s="27"/>
      <c r="Y4" s="27"/>
    </row>
    <row r="5" ht="1.95" customHeight="1" spans="1:25">
      <c r="P5" s="13"/>
      <c r="Q5" s="21"/>
      <c r="R5" s="21"/>
      <c r="S5" s="21"/>
    </row>
    <row r="6" s="14" customFormat="1" ht="24.6" customHeight="1" spans="1:25">
      <c r="A6" s="23" t="s">
        <v>15</v>
      </c>
      <c r="B6" s="23">
        <v>0</v>
      </c>
      <c r="C6" s="28" t="s">
        <v>164</v>
      </c>
      <c r="D6" s="29" t="s">
        <v>179</v>
      </c>
      <c r="E6" s="29" t="s">
        <v>155</v>
      </c>
      <c r="F6" s="29" t="s">
        <v>156</v>
      </c>
      <c r="G6" s="29" t="s">
        <v>122</v>
      </c>
      <c r="H6" s="29" t="s">
        <v>123</v>
      </c>
      <c r="I6" s="29" t="s">
        <v>124</v>
      </c>
      <c r="J6" s="29" t="s">
        <v>22</v>
      </c>
      <c r="K6" s="29" t="s">
        <v>23</v>
      </c>
      <c r="L6" s="29" t="s">
        <v>24</v>
      </c>
      <c r="M6" s="29" t="s">
        <v>25</v>
      </c>
      <c r="N6" s="29" t="s">
        <v>26</v>
      </c>
      <c r="O6" s="29" t="s">
        <v>27</v>
      </c>
      <c r="P6" s="25"/>
      <c r="Q6" s="26"/>
      <c r="R6" s="26"/>
      <c r="S6" s="26"/>
      <c r="T6" s="27"/>
      <c r="U6" s="27"/>
      <c r="V6" s="27"/>
      <c r="W6" s="27"/>
      <c r="X6" s="27"/>
      <c r="Y6" s="27"/>
    </row>
    <row r="7" s="14" customFormat="1" ht="24.6" customHeight="1" spans="1:25">
      <c r="A7" s="23"/>
      <c r="B7" s="23"/>
      <c r="C7" s="24">
        <v>0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25"/>
      <c r="Q7" s="26"/>
      <c r="R7" s="26"/>
      <c r="S7" s="26"/>
      <c r="T7" s="27"/>
      <c r="U7" s="27"/>
      <c r="V7" s="27"/>
      <c r="W7" s="27"/>
      <c r="X7" s="27"/>
      <c r="Y7" s="27"/>
    </row>
    <row r="8" ht="1.95" customHeight="1" spans="1:25">
      <c r="P8" s="13"/>
      <c r="Q8" s="21"/>
      <c r="R8" s="21"/>
      <c r="S8" s="21"/>
    </row>
    <row r="9" s="14" customFormat="1" ht="22.2" customHeight="1" spans="1:25">
      <c r="A9" s="23" t="s">
        <v>29</v>
      </c>
      <c r="B9" s="23">
        <v>0</v>
      </c>
      <c r="C9" s="24" t="s">
        <v>125</v>
      </c>
      <c r="D9" s="11" t="s">
        <v>126</v>
      </c>
      <c r="E9" s="11" t="s">
        <v>127</v>
      </c>
      <c r="F9" s="11" t="s">
        <v>144</v>
      </c>
      <c r="G9" s="11" t="s">
        <v>145</v>
      </c>
      <c r="H9" s="11" t="s">
        <v>146</v>
      </c>
      <c r="I9" s="11" t="s">
        <v>128</v>
      </c>
      <c r="J9" s="11" t="s">
        <v>129</v>
      </c>
      <c r="K9" s="11" t="s">
        <v>130</v>
      </c>
      <c r="L9" s="11" t="s">
        <v>131</v>
      </c>
      <c r="M9" s="11" t="s">
        <v>132</v>
      </c>
      <c r="N9" s="11" t="s">
        <v>40</v>
      </c>
      <c r="O9" s="11" t="s">
        <v>41</v>
      </c>
      <c r="P9" s="30"/>
      <c r="Q9" s="27"/>
      <c r="R9" s="27"/>
      <c r="S9" s="27"/>
      <c r="T9" s="27"/>
      <c r="U9" s="27"/>
      <c r="V9" s="27"/>
      <c r="W9" s="27"/>
      <c r="X9" s="27"/>
      <c r="Y9" s="27"/>
    </row>
    <row r="10" s="14" customFormat="1" ht="22.2" customHeight="1" spans="1:25">
      <c r="A10" s="23"/>
      <c r="B10" s="23"/>
      <c r="C10" s="24">
        <v>0</v>
      </c>
      <c r="D10" s="11">
        <v>0</v>
      </c>
      <c r="E10" s="11">
        <v>0</v>
      </c>
      <c r="F10" s="31"/>
      <c r="G10" s="31"/>
      <c r="H10" s="31"/>
      <c r="I10" s="31"/>
      <c r="J10" s="31"/>
      <c r="K10" s="32"/>
      <c r="L10" s="31"/>
      <c r="M10" s="31"/>
      <c r="N10" s="31"/>
      <c r="O10" s="31"/>
      <c r="P10" s="25"/>
      <c r="Q10" s="33"/>
      <c r="R10" s="33"/>
      <c r="S10" s="33"/>
      <c r="T10" s="33"/>
      <c r="U10" s="33"/>
      <c r="V10" s="27"/>
      <c r="W10" s="27"/>
      <c r="X10" s="27"/>
      <c r="Y10" s="27"/>
    </row>
    <row r="11" ht="1.95" customHeight="1" spans="1:25">
      <c r="P11" s="13"/>
      <c r="Q11" s="21"/>
      <c r="R11" s="21"/>
      <c r="S11" s="21"/>
    </row>
    <row r="12" s="14" customFormat="1" ht="25.2" customHeight="1" spans="1:25">
      <c r="A12" s="23" t="s">
        <v>43</v>
      </c>
      <c r="B12" s="23">
        <v>0</v>
      </c>
      <c r="C12" s="24" t="s">
        <v>115</v>
      </c>
      <c r="D12" s="34" t="s">
        <v>153</v>
      </c>
      <c r="E12" s="34" t="s">
        <v>116</v>
      </c>
      <c r="F12" s="11" t="s">
        <v>46</v>
      </c>
      <c r="G12" s="11" t="s">
        <v>5</v>
      </c>
      <c r="H12" s="11" t="s">
        <v>6</v>
      </c>
      <c r="I12" s="11" t="s">
        <v>7</v>
      </c>
      <c r="J12" s="11" t="s">
        <v>8</v>
      </c>
      <c r="K12" s="11" t="s">
        <v>9</v>
      </c>
      <c r="L12" s="11" t="s">
        <v>10</v>
      </c>
      <c r="M12" s="11" t="s">
        <v>11</v>
      </c>
      <c r="N12" s="11" t="s">
        <v>12</v>
      </c>
      <c r="O12" s="11" t="s">
        <v>13</v>
      </c>
      <c r="P12" s="35"/>
      <c r="Q12" s="26"/>
      <c r="R12" s="26"/>
      <c r="S12" s="26"/>
      <c r="T12" s="27"/>
      <c r="U12" s="27"/>
      <c r="V12" s="27"/>
      <c r="W12" s="27"/>
      <c r="X12" s="27"/>
      <c r="Y12" s="27"/>
    </row>
    <row r="13" s="14" customFormat="1" ht="21.9" customHeight="1" spans="1:25">
      <c r="A13" s="23"/>
      <c r="B13" s="23"/>
      <c r="C13" s="24">
        <v>0</v>
      </c>
      <c r="D13" s="34"/>
      <c r="E13" s="34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25"/>
      <c r="Q13" s="26"/>
      <c r="R13" s="26"/>
      <c r="S13" s="26"/>
      <c r="T13" s="27"/>
      <c r="U13" s="27"/>
      <c r="V13" s="27"/>
      <c r="W13" s="27"/>
      <c r="X13" s="27"/>
      <c r="Y13" s="27"/>
    </row>
    <row r="14" s="14" customFormat="1" ht="21.9" customHeight="1" spans="1:25">
      <c r="A14" s="23" t="s">
        <v>47</v>
      </c>
      <c r="B14" s="23">
        <v>38184</v>
      </c>
      <c r="C14" s="24">
        <v>38184</v>
      </c>
      <c r="D14" s="34"/>
      <c r="E14" s="34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25"/>
      <c r="Q14" s="26"/>
      <c r="R14" s="26"/>
      <c r="S14" s="26"/>
      <c r="T14" s="27"/>
      <c r="U14" s="27"/>
      <c r="V14" s="27"/>
      <c r="W14" s="27"/>
      <c r="X14" s="27"/>
      <c r="Y14" s="27"/>
    </row>
    <row r="15" s="14" customFormat="1" ht="21.9" customHeight="1" spans="1:25">
      <c r="A15" s="23" t="s">
        <v>48</v>
      </c>
      <c r="B15" s="23">
        <v>1.2</v>
      </c>
      <c r="C15" s="24">
        <v>1.2</v>
      </c>
      <c r="D15" s="34"/>
      <c r="E15" s="34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25"/>
      <c r="Q15" s="26"/>
      <c r="R15" s="26"/>
      <c r="S15" s="26"/>
      <c r="T15" s="27"/>
      <c r="U15" s="27"/>
      <c r="V15" s="27"/>
      <c r="W15" s="27"/>
      <c r="X15" s="27"/>
      <c r="Y15" s="27"/>
    </row>
    <row r="16" ht="1.95" customHeight="1" spans="1:25">
      <c r="P16" s="13"/>
      <c r="Q16" s="21"/>
      <c r="R16" s="21"/>
      <c r="S16" s="21"/>
    </row>
    <row r="17" s="14" customFormat="1" ht="36" customHeight="1" spans="1:25">
      <c r="A17" s="23" t="s">
        <v>49</v>
      </c>
      <c r="B17" s="36">
        <v>-2.2</v>
      </c>
      <c r="C17" s="37" t="s">
        <v>50</v>
      </c>
      <c r="D17" s="37" t="s">
        <v>51</v>
      </c>
      <c r="E17" s="38" t="s">
        <v>52</v>
      </c>
      <c r="F17" s="37" t="s">
        <v>53</v>
      </c>
      <c r="G17" s="37" t="s">
        <v>54</v>
      </c>
      <c r="H17" s="37" t="s">
        <v>55</v>
      </c>
      <c r="I17" s="37" t="s">
        <v>56</v>
      </c>
      <c r="J17" s="37" t="s">
        <v>57</v>
      </c>
      <c r="K17" s="37" t="s">
        <v>9</v>
      </c>
      <c r="L17" s="37" t="s">
        <v>10</v>
      </c>
      <c r="M17" s="37" t="s">
        <v>11</v>
      </c>
      <c r="N17" s="37" t="s">
        <v>12</v>
      </c>
      <c r="O17" s="37" t="s">
        <v>13</v>
      </c>
      <c r="P17" s="25"/>
      <c r="Q17" s="26"/>
      <c r="R17" s="26"/>
      <c r="S17" s="26"/>
      <c r="T17" s="27"/>
      <c r="U17" s="27"/>
      <c r="V17" s="27"/>
      <c r="W17" s="27"/>
      <c r="X17" s="27"/>
      <c r="Y17" s="27"/>
    </row>
    <row r="18" s="14" customFormat="1" ht="21.9" customHeight="1" spans="1:25">
      <c r="A18" s="23"/>
      <c r="B18" s="39"/>
      <c r="C18" s="11">
        <v>0</v>
      </c>
      <c r="D18" s="11">
        <v>-0.2</v>
      </c>
      <c r="E18" s="24">
        <v>-2.2</v>
      </c>
      <c r="F18" s="11">
        <v>-2.8</v>
      </c>
      <c r="G18" s="11">
        <v>0.2</v>
      </c>
      <c r="H18" s="11">
        <v>0.15</v>
      </c>
      <c r="I18" s="11">
        <v>-1.4</v>
      </c>
      <c r="J18" s="11">
        <v>-1.8</v>
      </c>
      <c r="K18" s="11"/>
      <c r="L18" s="11"/>
      <c r="M18" s="11"/>
      <c r="N18" s="11"/>
      <c r="O18" s="11"/>
      <c r="P18" s="25"/>
      <c r="Q18" s="26"/>
      <c r="R18" s="26"/>
      <c r="S18" s="26"/>
      <c r="T18" s="27"/>
      <c r="U18" s="27"/>
      <c r="V18" s="27"/>
      <c r="W18" s="27"/>
      <c r="X18" s="27"/>
      <c r="Y18" s="27"/>
    </row>
    <row r="19" ht="2.1" customHeight="1" spans="1:25">
      <c r="P19" s="13"/>
      <c r="Q19" s="21"/>
      <c r="R19" s="21"/>
      <c r="S19" s="21"/>
    </row>
    <row r="20" s="14" customFormat="1" ht="34.8" customHeight="1" spans="1:25">
      <c r="A20" s="23" t="s">
        <v>58</v>
      </c>
      <c r="B20" s="23">
        <v>0</v>
      </c>
      <c r="C20" s="28" t="s">
        <v>166</v>
      </c>
      <c r="D20" s="11" t="s">
        <v>180</v>
      </c>
      <c r="E20" s="11" t="s">
        <v>168</v>
      </c>
      <c r="F20" s="11" t="s">
        <v>169</v>
      </c>
      <c r="G20" s="11" t="s">
        <v>170</v>
      </c>
      <c r="H20" s="11" t="s">
        <v>171</v>
      </c>
      <c r="I20" s="11" t="s">
        <v>172</v>
      </c>
      <c r="J20" s="11" t="s">
        <v>158</v>
      </c>
      <c r="K20" s="11" t="s">
        <v>66</v>
      </c>
      <c r="L20" s="11" t="s">
        <v>67</v>
      </c>
      <c r="M20" s="11" t="s">
        <v>68</v>
      </c>
      <c r="N20" s="11" t="s">
        <v>69</v>
      </c>
      <c r="O20" s="11" t="s">
        <v>70</v>
      </c>
      <c r="P20" s="30"/>
      <c r="Q20" s="26"/>
      <c r="R20" s="26"/>
      <c r="S20" s="26"/>
      <c r="T20" s="27"/>
      <c r="U20" s="27"/>
      <c r="V20" s="27"/>
      <c r="W20" s="27"/>
      <c r="X20" s="27"/>
      <c r="Y20" s="27"/>
    </row>
    <row r="21" s="14" customFormat="1" ht="21.6" customHeight="1" spans="1:25">
      <c r="A21" s="23"/>
      <c r="B21" s="23"/>
      <c r="C21" s="24">
        <v>0</v>
      </c>
      <c r="D21" s="11"/>
      <c r="E21" s="11"/>
      <c r="F21" s="11"/>
      <c r="G21" s="11"/>
      <c r="H21" s="40"/>
      <c r="I21" s="11"/>
      <c r="J21" s="11"/>
      <c r="K21" s="11"/>
      <c r="L21" s="11"/>
      <c r="M21" s="11"/>
      <c r="N21" s="11"/>
      <c r="O21" s="11"/>
      <c r="P21" s="41"/>
      <c r="Q21" s="42"/>
      <c r="R21" s="42"/>
      <c r="S21" s="42"/>
      <c r="T21" s="43"/>
      <c r="U21" s="27"/>
      <c r="V21" s="27"/>
      <c r="W21" s="27"/>
      <c r="X21" s="27"/>
      <c r="Y21" s="27"/>
    </row>
    <row r="22" ht="2.1" customHeight="1" spans="1:25">
      <c r="P22" s="13"/>
      <c r="Q22" s="21"/>
      <c r="R22" s="21"/>
      <c r="S22" s="21"/>
    </row>
    <row r="23" s="14" customFormat="1" ht="21.6" hidden="1" customHeight="1" spans="1:25">
      <c r="A23" s="23" t="s">
        <v>105</v>
      </c>
      <c r="B23" s="23">
        <v>0</v>
      </c>
      <c r="C23" s="28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30"/>
      <c r="Q23" s="26"/>
      <c r="R23" s="26"/>
      <c r="S23" s="26"/>
      <c r="T23" s="27"/>
      <c r="U23" s="27"/>
      <c r="V23" s="27"/>
      <c r="W23" s="27"/>
    </row>
    <row r="24" s="14" customFormat="1" ht="21.6" hidden="1" customHeight="1" spans="1:25">
      <c r="A24" s="23"/>
      <c r="B24" s="23"/>
      <c r="C24" s="24"/>
      <c r="D24" s="11"/>
      <c r="E24" s="11"/>
      <c r="F24" s="11"/>
      <c r="G24" s="40"/>
      <c r="H24" s="40"/>
      <c r="I24" s="11"/>
      <c r="J24" s="11"/>
      <c r="K24" s="11"/>
      <c r="L24" s="11"/>
      <c r="M24" s="11"/>
      <c r="N24" s="11"/>
      <c r="O24" s="11"/>
      <c r="P24" s="44"/>
      <c r="Q24" s="45"/>
      <c r="R24" s="45"/>
      <c r="S24" s="45"/>
      <c r="T24" s="27"/>
      <c r="U24" s="27"/>
      <c r="V24" s="27"/>
      <c r="W24" s="27"/>
    </row>
    <row r="25" ht="2.1" hidden="1" customHeight="1" spans="1:25">
      <c r="P25" s="13"/>
      <c r="Q25" s="21"/>
      <c r="R25" s="21"/>
      <c r="S25" s="21"/>
    </row>
    <row r="26" s="14" customFormat="1" ht="21.6" customHeight="1" spans="1:25">
      <c r="A26" s="23" t="s">
        <v>73</v>
      </c>
      <c r="B26" s="23">
        <v>-6.2</v>
      </c>
      <c r="C26" s="46" t="s">
        <v>74</v>
      </c>
      <c r="D26" s="29" t="s">
        <v>75</v>
      </c>
      <c r="E26" s="29" t="s">
        <v>159</v>
      </c>
      <c r="F26" s="29" t="s">
        <v>160</v>
      </c>
      <c r="G26" s="29" t="s">
        <v>77</v>
      </c>
      <c r="H26" s="29" t="s">
        <v>78</v>
      </c>
      <c r="I26" s="29" t="s">
        <v>79</v>
      </c>
      <c r="J26" s="29" t="s">
        <v>80</v>
      </c>
      <c r="K26" s="29" t="s">
        <v>81</v>
      </c>
      <c r="L26" s="29" t="s">
        <v>82</v>
      </c>
      <c r="M26" s="29" t="s">
        <v>83</v>
      </c>
      <c r="N26" s="29" t="s">
        <v>84</v>
      </c>
      <c r="O26" s="29" t="s">
        <v>85</v>
      </c>
      <c r="P26" s="47"/>
      <c r="Q26" s="26"/>
      <c r="R26" s="26"/>
      <c r="S26" s="26"/>
      <c r="T26" s="27"/>
      <c r="U26" s="27"/>
      <c r="V26" s="27"/>
      <c r="W26" s="27"/>
      <c r="X26" s="27"/>
      <c r="Y26" s="27"/>
    </row>
    <row r="27" s="14" customFormat="1" ht="21.6" customHeight="1" spans="1:25">
      <c r="A27" s="23"/>
      <c r="B27" s="23"/>
      <c r="C27" s="48">
        <v>-6.2</v>
      </c>
      <c r="D27" s="11">
        <v>-4.8</v>
      </c>
      <c r="E27" s="11"/>
      <c r="F27" s="49"/>
      <c r="G27" s="50"/>
      <c r="H27" s="50"/>
      <c r="I27" s="49"/>
      <c r="J27" s="49"/>
      <c r="K27" s="49"/>
      <c r="L27" s="49"/>
      <c r="M27" s="49"/>
      <c r="N27" s="49"/>
      <c r="O27" s="49"/>
      <c r="P27" s="44"/>
      <c r="Q27" s="45"/>
      <c r="R27" s="45"/>
      <c r="S27" s="45"/>
      <c r="T27" s="27"/>
      <c r="U27" s="27"/>
      <c r="V27" s="27"/>
      <c r="W27" s="27"/>
      <c r="X27" s="27"/>
      <c r="Y27" s="27"/>
    </row>
    <row r="28" s="15" customFormat="1" ht="22.2" customHeight="1" spans="1:25">
      <c r="A28" s="51" t="s">
        <v>87</v>
      </c>
      <c r="B28" s="51" t="s">
        <v>88</v>
      </c>
      <c r="C28" s="51" t="s">
        <v>89</v>
      </c>
      <c r="D28" s="51" t="s">
        <v>90</v>
      </c>
      <c r="E28" s="51">
        <v>33081</v>
      </c>
      <c r="F28" s="51" t="s">
        <v>91</v>
      </c>
      <c r="G28" s="51" t="s">
        <v>92</v>
      </c>
      <c r="H28" s="51" t="s">
        <v>93</v>
      </c>
      <c r="I28" s="51" t="s">
        <v>94</v>
      </c>
      <c r="J28" s="52" t="s">
        <v>95</v>
      </c>
      <c r="K28" s="53">
        <v>490</v>
      </c>
      <c r="L28" s="53">
        <v>495</v>
      </c>
      <c r="M28" s="53">
        <v>500</v>
      </c>
      <c r="N28" s="53">
        <v>505</v>
      </c>
      <c r="O28" s="53">
        <v>510</v>
      </c>
      <c r="P28" s="53">
        <v>515</v>
      </c>
      <c r="Q28" s="53">
        <v>520</v>
      </c>
      <c r="R28" s="53">
        <v>525</v>
      </c>
      <c r="S28" s="54" t="s">
        <v>96</v>
      </c>
    </row>
    <row r="29" s="14" customFormat="1" ht="18" customHeight="1" spans="1:25">
      <c r="A29" s="55" t="s">
        <v>181</v>
      </c>
      <c r="B29" s="55" t="s">
        <v>98</v>
      </c>
      <c r="C29" s="56">
        <v>0.253</v>
      </c>
      <c r="D29" s="57"/>
      <c r="E29" s="58">
        <v>38184</v>
      </c>
      <c r="F29" s="59">
        <f t="shared" ref="F29:F48" si="0">C29*E29/1000</f>
        <v>9.660552</v>
      </c>
      <c r="G29" s="59">
        <f>F29*54</f>
        <v>521.669808</v>
      </c>
      <c r="H29" s="60">
        <f>I29/G29</f>
        <v>0.945002630239064</v>
      </c>
      <c r="I29" s="61">
        <f>G29*(H30+0.15%)</f>
        <v>492.979340676308</v>
      </c>
      <c r="J29" s="61"/>
      <c r="K29" s="62">
        <f>(NORMSDIST((I29-$K$28)/B15)-NORMSDIST((I29-$L$28)/B15))</f>
        <v>0.947379829312369</v>
      </c>
      <c r="L29" s="62">
        <f>(NORMSDIST((I29-$L$28)/B15)-NORMSDIST((I29-$M$28)/B15))</f>
        <v>0.0461021609911007</v>
      </c>
      <c r="M29" s="63">
        <f>(NORMSDIST((I29-$M$28)/B15)-NORMSDIST((I29-$N$28)/B15))</f>
        <v>2.44975903084515e-9</v>
      </c>
      <c r="N29" s="63">
        <f>(NORMSDIST((I29-$N$28)/B15)-NORMSDIST((I29-$O$28)/B15))</f>
        <v>6.40296054462931e-24</v>
      </c>
      <c r="O29" s="63">
        <f>(NORMSDIST((I29-$O$28)/B15)-NORMSDIST((I29-$P$28)/B15))</f>
        <v>5.76435878264691e-46</v>
      </c>
      <c r="P29" s="63">
        <f>(NORMSDIST((I29-$P$28)/B15)-NORMSDIST((I29-$Q$28)/B15))</f>
        <v>1.63395543076055e-75</v>
      </c>
      <c r="Q29" s="63">
        <f>(NORMSDIST((I29-$Q$28)/B15)-NORMSDIST((I29-$R$28)/B15))</f>
        <v>1.40753300661021e-112</v>
      </c>
      <c r="R29" s="63"/>
      <c r="S29" s="64">
        <f t="shared" ref="S29:S48" si="1">SUM(K29:R29)</f>
        <v>0.993481992753229</v>
      </c>
    </row>
    <row r="30" s="14" customFormat="1" ht="18" customHeight="1" spans="1:25">
      <c r="A30" s="65"/>
      <c r="B30" s="65"/>
      <c r="C30" s="56">
        <f t="shared" ref="C30:C48" si="2">C29+0.1%</f>
        <v>0.254</v>
      </c>
      <c r="D30" s="66"/>
      <c r="E30" s="58">
        <v>38184</v>
      </c>
      <c r="F30" s="59">
        <f t="shared" si="0"/>
        <v>9.698736</v>
      </c>
      <c r="G30" s="59">
        <f t="shared" ref="G30:G48" si="3">F30*54</f>
        <v>523.731744</v>
      </c>
      <c r="H30" s="60">
        <f t="shared" ref="H30:H48" si="4">I30/G30</f>
        <v>0.943502630239064</v>
      </c>
      <c r="I30" s="61">
        <f t="shared" ref="I30:I35" si="5">G30*(H31+0.15%)</f>
        <v>494.142278003692</v>
      </c>
      <c r="J30" s="61"/>
      <c r="K30" s="62">
        <f>(NORMSDIST((I30-$K$28)/B15)-NORMSDIST((I30-$L$28)/B15))</f>
        <v>0.762345567579411</v>
      </c>
      <c r="L30" s="62">
        <f>(NORMSDIST((I30-$L$28)/B15)-NORMSDIST((I30-$M$28)/B15))</f>
        <v>0.237375577126332</v>
      </c>
      <c r="M30" s="63">
        <f>(NORMSDIST((I30-$M$28)/B15)-NORMSDIST((I30-$N$28)/B15))</f>
        <v>5.26583197625845e-7</v>
      </c>
      <c r="N30" s="63">
        <f>(NORMSDIST((I30-$N$28)/B15)-NORMSDIST((I30-$O$28)/B15))</f>
        <v>7.27376489263388e-20</v>
      </c>
      <c r="O30" s="63">
        <f>(NORMSDIST((I30-$O$28)/B15)-NORMSDIST((I30-$P$28)/B15))</f>
        <v>3.60539927966982e-40</v>
      </c>
      <c r="P30" s="63">
        <f>(NORMSDIST((I30-$P$28)/B15)-NORMSDIST((I30-$Q$28)/B15))</f>
        <v>5.70316212327226e-68</v>
      </c>
      <c r="Q30" s="63">
        <f>(NORMSDIST((I30-$Q$28)/B15)-NORMSDIST((I30-$R$28)/B15))</f>
        <v>2.75813150845572e-103</v>
      </c>
      <c r="R30" s="63"/>
      <c r="S30" s="64">
        <f t="shared" si="1"/>
        <v>0.999721671288941</v>
      </c>
    </row>
    <row r="31" s="14" customFormat="1" ht="18" customHeight="1" spans="1:25">
      <c r="A31" s="65"/>
      <c r="B31" s="65"/>
      <c r="C31" s="56">
        <f t="shared" si="2"/>
        <v>0.255</v>
      </c>
      <c r="D31" s="67"/>
      <c r="E31" s="58">
        <v>38184</v>
      </c>
      <c r="F31" s="59">
        <f t="shared" si="0"/>
        <v>9.73692</v>
      </c>
      <c r="G31" s="59">
        <f t="shared" si="3"/>
        <v>525.79368</v>
      </c>
      <c r="H31" s="60">
        <f t="shared" si="4"/>
        <v>0.942002630239064</v>
      </c>
      <c r="I31" s="61">
        <f t="shared" si="5"/>
        <v>495.299029523077</v>
      </c>
      <c r="J31" s="68"/>
      <c r="K31" s="62">
        <f>(NORMSDIST((I31-$K$28)/B15)-NORMSDIST((I31-$L$28)/B15))</f>
        <v>0.401601385793655</v>
      </c>
      <c r="L31" s="62">
        <f>(NORMSDIST((I31-$L$28)/B15)-NORMSDIST((I31-$M$28)/B15))</f>
        <v>0.598348843111552</v>
      </c>
      <c r="M31" s="63">
        <f>(NORMSDIST((I31-$M$28)/B15)-NORMSDIST((I31-$N$28)/B15))</f>
        <v>4.47405874384888e-5</v>
      </c>
      <c r="N31" s="69">
        <f>(NORMSDIST((I31-$N$28)/B15)-NORMSDIST((I31-$O$28)/B15))</f>
        <v>3.13016617108132e-16</v>
      </c>
      <c r="O31" s="69">
        <f>(NORMSDIST((I31-$O$28)/B15)-NORMSDIST((I31-$P$28)/B15))</f>
        <v>8.31644586313734e-35</v>
      </c>
      <c r="P31" s="63">
        <f>(NORMSDIST((I31-$P$28)/B15)-NORMSDIST((I31-$Q$28)/B15))</f>
        <v>7.17053501873839e-61</v>
      </c>
      <c r="Q31" s="63">
        <f>(NORMSDIST((I31-$Q$28)/B15)-NORMSDIST((I31-$R$28)/B15))</f>
        <v>1.90358817432116e-94</v>
      </c>
      <c r="R31" s="63"/>
      <c r="S31" s="64">
        <f t="shared" si="1"/>
        <v>0.999994969492646</v>
      </c>
    </row>
    <row r="32" s="16" customFormat="1" ht="18" customHeight="1" spans="1:25">
      <c r="A32" s="65"/>
      <c r="B32" s="65"/>
      <c r="C32" s="56">
        <f t="shared" si="2"/>
        <v>0.256</v>
      </c>
      <c r="D32" s="67"/>
      <c r="E32" s="58">
        <v>38184</v>
      </c>
      <c r="F32" s="70">
        <f t="shared" si="0"/>
        <v>9.775104</v>
      </c>
      <c r="G32" s="59">
        <f t="shared" si="3"/>
        <v>527.855616</v>
      </c>
      <c r="H32" s="71">
        <f t="shared" si="4"/>
        <v>0.940502630239064</v>
      </c>
      <c r="I32" s="61">
        <f t="shared" si="5"/>
        <v>496.449595234461</v>
      </c>
      <c r="J32" s="72"/>
      <c r="K32" s="73">
        <f>(NORMSDIST((I32-$K$28)/B15)-NORMSDIST((I32-$L$28)/B15))</f>
        <v>0.113524356587594</v>
      </c>
      <c r="L32" s="73">
        <f>(NORMSDIST((I32-$L$28)/B15)-NORMSDIST((I32-$M$28)/B15))</f>
        <v>0.884930759392921</v>
      </c>
      <c r="M32" s="73">
        <f>(NORMSDIST((I32-$M$28)/B15)-NORMSDIST((I32-$N$28)/B15))</f>
        <v>0.00154484565587713</v>
      </c>
      <c r="N32" s="73">
        <f>(NORMSDIST((I32-$N$28)/B15)-NORMSDIST((I32-$O$28)/B15))</f>
        <v>5.19130537433085e-13</v>
      </c>
      <c r="O32" s="73">
        <f>(NORMSDIST((I32-$O$28)/B15)-NORMSDIST((I32-$P$28)/B15))</f>
        <v>7.18609648768314e-30</v>
      </c>
      <c r="P32" s="73">
        <f>(NORMSDIST((I32-$P$28)/B15)-NORMSDIST((I32-$Q$28)/B15))</f>
        <v>3.29727303165579e-54</v>
      </c>
      <c r="Q32" s="73">
        <f>(NORMSDIST((I32-$Q$28)/B15)-NORMSDIST((I32-$R$28)/B15))</f>
        <v>4.69757364262527e-86</v>
      </c>
      <c r="R32" s="73"/>
      <c r="S32" s="64">
        <f t="shared" si="1"/>
        <v>0.999999961636912</v>
      </c>
    </row>
    <row r="33" s="14" customFormat="1" ht="18" customHeight="1" spans="1:19">
      <c r="A33" s="65"/>
      <c r="B33" s="65"/>
      <c r="C33" s="56">
        <f t="shared" si="2"/>
        <v>0.257</v>
      </c>
      <c r="D33" s="74"/>
      <c r="E33" s="58">
        <v>38184</v>
      </c>
      <c r="F33" s="59">
        <f t="shared" si="0"/>
        <v>9.813288</v>
      </c>
      <c r="G33" s="59">
        <f t="shared" si="3"/>
        <v>529.917552</v>
      </c>
      <c r="H33" s="60">
        <f t="shared" si="4"/>
        <v>0.939002630239064</v>
      </c>
      <c r="I33" s="61">
        <f t="shared" si="5"/>
        <v>497.593975137846</v>
      </c>
      <c r="J33" s="72"/>
      <c r="K33" s="62">
        <f>(NORMSDIST((I33-$K$28)/B15)-NORMSDIST((I33-$L$28)/B15))</f>
        <v>0.0153227383256991</v>
      </c>
      <c r="L33" s="62">
        <f>(NORMSDIST((I33-$L$28)/B15)-NORMSDIST((I33-$M$28)/B15))</f>
        <v>0.96219684547478</v>
      </c>
      <c r="M33" s="63">
        <f>(NORMSDIST((I33-$M$28)/B15)-NORMSDIST((I33-$N$28)/B15))</f>
        <v>0.0224804157377673</v>
      </c>
      <c r="N33" s="63">
        <f>(NORMSDIST((I33-$N$28)/B15)-NORMSDIST((I33-$O$28)/B15))</f>
        <v>3.37824958355356e-10</v>
      </c>
      <c r="O33" s="63">
        <f>(NORMSDIST((I33-$O$28)/B15)-NORMSDIST((I33-$P$28)/B15))</f>
        <v>2.36292222306061e-25</v>
      </c>
      <c r="P33" s="63">
        <f>(NORMSDIST((I33-$P$28)/B15)-NORMSDIST((I33-$Q$28)/B15))</f>
        <v>5.63017377630264e-48</v>
      </c>
      <c r="Q33" s="63">
        <f>(NORMSDIST((I33-$Q$28)/B15)-NORMSDIST((I33-$R$28)/B15))</f>
        <v>4.20757895427295e-78</v>
      </c>
      <c r="R33" s="63"/>
      <c r="S33" s="64">
        <f t="shared" si="1"/>
        <v>0.999999999876072</v>
      </c>
    </row>
    <row r="34" s="14" customFormat="1" ht="18" customHeight="1" spans="1:19">
      <c r="A34" s="65"/>
      <c r="B34" s="65"/>
      <c r="C34" s="56">
        <f t="shared" si="2"/>
        <v>0.258</v>
      </c>
      <c r="D34" s="74"/>
      <c r="E34" s="58">
        <v>38184</v>
      </c>
      <c r="F34" s="59">
        <f t="shared" si="0"/>
        <v>9.851472</v>
      </c>
      <c r="G34" s="59">
        <f t="shared" si="3"/>
        <v>531.979488</v>
      </c>
      <c r="H34" s="60">
        <f t="shared" si="4"/>
        <v>0.937502630239064</v>
      </c>
      <c r="I34" s="61">
        <f t="shared" si="5"/>
        <v>498.732169233231</v>
      </c>
      <c r="J34" s="75"/>
      <c r="K34" s="62">
        <f>(NORMSDIST((I34-$K$28)/B15)-NORMSDIST((I34-$L$28)/B15))</f>
        <v>0.000934990190622487</v>
      </c>
      <c r="L34" s="62">
        <f>(NORMSDIST((I34-$L$28)/B15)-NORMSDIST((I34-$M$28)/B15))</f>
        <v>0.853700943037215</v>
      </c>
      <c r="M34" s="63">
        <f>(NORMSDIST((I34-$M$28)/B15)-NORMSDIST((I34-$N$28)/B15))</f>
        <v>0.1453639788397</v>
      </c>
      <c r="N34" s="63">
        <f>(NORMSDIST((I34-$N$28)/B15)-NORMSDIST((I34-$O$28)/B15))</f>
        <v>8.79322909041352e-8</v>
      </c>
      <c r="O34" s="63">
        <f>(NORMSDIST((I34-$O$28)/B15)-NORMSDIST((I34-$P$28)/B15))</f>
        <v>3.00403237141111e-21</v>
      </c>
      <c r="P34" s="63">
        <f>(NORMSDIST((I34-$P$28)/B15)-NORMSDIST((I34-$Q$28)/B15))</f>
        <v>3.62445685410359e-42</v>
      </c>
      <c r="Q34" s="63">
        <f>(NORMSDIST((I34-$Q$28)/B15)-NORMSDIST((I34-$R$28)/B15))</f>
        <v>1.38848400737399e-70</v>
      </c>
      <c r="R34" s="63"/>
      <c r="S34" s="64">
        <f t="shared" si="1"/>
        <v>0.999999999999829</v>
      </c>
    </row>
    <row r="35" s="14" customFormat="1" ht="18" customHeight="1" spans="1:19">
      <c r="A35" s="65"/>
      <c r="B35" s="65"/>
      <c r="C35" s="56">
        <f t="shared" si="2"/>
        <v>0.259</v>
      </c>
      <c r="D35" s="76"/>
      <c r="E35" s="58">
        <v>38184</v>
      </c>
      <c r="F35" s="59">
        <f t="shared" si="0"/>
        <v>9.889656</v>
      </c>
      <c r="G35" s="59">
        <f t="shared" si="3"/>
        <v>534.041424</v>
      </c>
      <c r="H35" s="60">
        <f t="shared" si="4"/>
        <v>0.936002630239064</v>
      </c>
      <c r="I35" s="61">
        <f t="shared" si="5"/>
        <v>499.864177520615</v>
      </c>
      <c r="J35" s="77"/>
      <c r="K35" s="62">
        <f>(NORMSDIST((I35-$K$28)/B15)-NORMSDIST((I35-$L$28)/B15))</f>
        <v>2.52305211811965e-5</v>
      </c>
      <c r="L35" s="62">
        <f>(NORMSDIST((I35-$L$28)/B15)-NORMSDIST((I35-$M$28)/B15))</f>
        <v>0.545032984078571</v>
      </c>
      <c r="M35" s="63">
        <f>(NORMSDIST((I35-$M$28)/B15)-NORMSDIST((I35-$N$28)/B15))</f>
        <v>0.454932434521238</v>
      </c>
      <c r="N35" s="63">
        <f>(NORMSDIST((I35-$N$28)/B15)-NORMSDIST((I35-$O$28)/B15))</f>
        <v>9.35087900975951e-6</v>
      </c>
      <c r="O35" s="63">
        <f>(NORMSDIST((I35-$O$28)/B15)-NORMSDIST((I35-$P$28)/B15))</f>
        <v>1.50058929125964e-17</v>
      </c>
      <c r="P35" s="63">
        <f>(NORMSDIST((I35-$P$28)/B15)-NORMSDIST((I35-$Q$28)/B15))</f>
        <v>8.93123253318359e-37</v>
      </c>
      <c r="Q35" s="63">
        <f>(NORMSDIST((I35-$Q$28)/B15)-NORMSDIST((I35-$R$28)/B15))</f>
        <v>1.71344361876911e-63</v>
      </c>
      <c r="R35" s="63"/>
      <c r="S35" s="64">
        <f t="shared" si="1"/>
        <v>1</v>
      </c>
    </row>
    <row r="36" s="16" customFormat="1" ht="18" customHeight="1" spans="1:19">
      <c r="A36" s="65"/>
      <c r="B36" s="65"/>
      <c r="C36" s="78">
        <f t="shared" si="2"/>
        <v>0.26</v>
      </c>
      <c r="D36" s="76">
        <v>0.0774693055489119</v>
      </c>
      <c r="E36" s="79">
        <v>38184</v>
      </c>
      <c r="F36" s="80">
        <f t="shared" si="0"/>
        <v>9.92784</v>
      </c>
      <c r="G36" s="80">
        <f t="shared" si="3"/>
        <v>536.10336</v>
      </c>
      <c r="H36" s="81">
        <f t="shared" si="4"/>
        <v>0.934502630239064</v>
      </c>
      <c r="I36" s="82">
        <v>500.99</v>
      </c>
      <c r="J36" s="82" t="s">
        <v>99</v>
      </c>
      <c r="K36" s="83">
        <f>(NORMSDIST((I36-$K$28)/B15)-NORMSDIST((I36-$L$28)/B15))</f>
        <v>2.99302486794772e-7</v>
      </c>
      <c r="L36" s="83">
        <f>(NORMSDIST((I36-$L$28)/B15)-NORMSDIST((I36-$M$28)/B15))</f>
        <v>0.204685496044764</v>
      </c>
      <c r="M36" s="84">
        <f>(NORMSDIST((I36-$M$28)/B15)-NORMSDIST((I36-$N$28)/B15))</f>
        <v>0.794897819635726</v>
      </c>
      <c r="N36" s="84">
        <f>(NORMSDIST((I36-$N$28)/B15)-NORMSDIST((I36-$O$28)/B15))</f>
        <v>0.000416385016993526</v>
      </c>
      <c r="O36" s="84">
        <f>(NORMSDIST((I36-$O$28)/B15)-NORMSDIST((I36-$P$28)/B15))</f>
        <v>2.99424321314875e-14</v>
      </c>
      <c r="P36" s="84">
        <f>(NORMSDIST((I36-$P$28)/B15)-NORMSDIST((I36-$Q$28)/B15))</f>
        <v>8.55328665416035e-32</v>
      </c>
      <c r="Q36" s="84">
        <f>(NORMSDIST((I36-$Q$28)/B15)-NORMSDIST((I36-$R$28)/B15))</f>
        <v>8.02547607262871e-57</v>
      </c>
      <c r="R36" s="84"/>
      <c r="S36" s="85">
        <f t="shared" si="1"/>
        <v>1</v>
      </c>
    </row>
    <row r="37" s="14" customFormat="1" ht="18" customHeight="1" spans="1:19">
      <c r="A37" s="65"/>
      <c r="B37" s="65"/>
      <c r="C37" s="56">
        <f t="shared" si="2"/>
        <v>0.261</v>
      </c>
      <c r="D37" s="76">
        <v>0.263945094894464</v>
      </c>
      <c r="E37" s="58">
        <v>38184</v>
      </c>
      <c r="F37" s="59">
        <f t="shared" si="0"/>
        <v>9.966024</v>
      </c>
      <c r="G37" s="59">
        <f t="shared" si="3"/>
        <v>538.165296</v>
      </c>
      <c r="H37" s="60">
        <f t="shared" si="4"/>
        <v>0.933002630239064</v>
      </c>
      <c r="I37" s="61">
        <f>G37*(H36-0.15%)</f>
        <v>502.109636671385</v>
      </c>
      <c r="J37" s="75"/>
      <c r="K37" s="62">
        <f>(NORMSDIST((I37-$K$28)/B15)-NORMSDIST((I37-$L$28)/B15))</f>
        <v>1.56436652520853e-9</v>
      </c>
      <c r="L37" s="62">
        <f>(NORMSDIST((I37-$L$28)/B15)-NORMSDIST((I37-$M$28)/B15))</f>
        <v>0.0393711533131289</v>
      </c>
      <c r="M37" s="63">
        <f>(NORMSDIST((I37-$M$28)/B15)-NORMSDIST((I37-$N$28)/B15))</f>
        <v>0.952622717886752</v>
      </c>
      <c r="N37" s="63">
        <f>(NORMSDIST((I37-$N$28)/B15)-NORMSDIST((I37-$O$28)/B15))</f>
        <v>0.00800612721147566</v>
      </c>
      <c r="O37" s="63">
        <f>(NORMSDIST((I37-$O$28)/B15)-NORMSDIST((I37-$P$28)/B15))</f>
        <v>2.4277131851081e-11</v>
      </c>
      <c r="P37" s="63">
        <f>(NORMSDIST((I37-$P$28)/B15)-NORMSDIST((I37-$Q$28)/B15))</f>
        <v>3.23251582057467e-27</v>
      </c>
      <c r="Q37" s="63">
        <f>(NORMSDIST((I37-$Q$28)/B15)-NORMSDIST((I37-$R$28)/B15))</f>
        <v>1.44803955419605e-50</v>
      </c>
      <c r="R37" s="63"/>
      <c r="S37" s="64">
        <f t="shared" si="1"/>
        <v>1</v>
      </c>
    </row>
    <row r="38" s="14" customFormat="1" ht="18" customHeight="1" spans="1:19">
      <c r="A38" s="65"/>
      <c r="B38" s="65"/>
      <c r="C38" s="56">
        <f t="shared" si="2"/>
        <v>0.262</v>
      </c>
      <c r="D38" s="86">
        <v>0.392800050363027</v>
      </c>
      <c r="E38" s="58">
        <v>38184</v>
      </c>
      <c r="F38" s="59">
        <f t="shared" si="0"/>
        <v>10.004208</v>
      </c>
      <c r="G38" s="59">
        <f t="shared" si="3"/>
        <v>540.227232</v>
      </c>
      <c r="H38" s="60">
        <f t="shared" si="4"/>
        <v>0.931502630239065</v>
      </c>
      <c r="I38" s="61">
        <f t="shared" ref="I38:I48" si="6">G38*(H37-0.15%)</f>
        <v>503.223087534769</v>
      </c>
      <c r="J38" s="61"/>
      <c r="K38" s="62">
        <f>(NORMSDIST((I38-$K$28)/B15)-NORMSDIST((I38-$L$28)/B15))</f>
        <v>3.62665453224054e-12</v>
      </c>
      <c r="L38" s="62">
        <f>(NORMSDIST((I38-$L$28)/B15)-NORMSDIST((I38-$M$28)/B15))</f>
        <v>0.00361666875045508</v>
      </c>
      <c r="M38" s="63">
        <f>(NORMSDIST((I38-$M$28)/B15)-NORMSDIST((I38-$N$28)/B15))</f>
        <v>0.927048113395407</v>
      </c>
      <c r="N38" s="63">
        <f>(NORMSDIST((I38-$N$28)/B15)-NORMSDIST((I38-$O$28)/B15))</f>
        <v>0.0693352097071656</v>
      </c>
      <c r="O38" s="63">
        <f>(NORMSDIST((I38-$O$28)/B15)-NORMSDIST((I38-$P$28)/B15))</f>
        <v>8.14334520616823e-9</v>
      </c>
      <c r="P38" s="63">
        <f>(NORMSDIST((I38-$P$28)/B15)-NORMSDIST((I38-$Q$28)/B15))</f>
        <v>4.89569140678007e-23</v>
      </c>
      <c r="Q38" s="63">
        <f>(NORMSDIST((I38-$Q$28)/B15)-NORMSDIST((I38-$R$28)/B15))</f>
        <v>1.02146786123145e-44</v>
      </c>
      <c r="R38" s="63"/>
      <c r="S38" s="64">
        <f t="shared" si="1"/>
        <v>1</v>
      </c>
    </row>
    <row r="39" s="14" customFormat="1" ht="18" customHeight="1" spans="1:19">
      <c r="A39" s="65"/>
      <c r="B39" s="65"/>
      <c r="C39" s="56">
        <f t="shared" si="2"/>
        <v>0.263</v>
      </c>
      <c r="D39" s="76">
        <v>0.224587026016574</v>
      </c>
      <c r="E39" s="58">
        <v>38184</v>
      </c>
      <c r="F39" s="59">
        <f t="shared" si="0"/>
        <v>10.042392</v>
      </c>
      <c r="G39" s="59">
        <f t="shared" si="3"/>
        <v>542.289168</v>
      </c>
      <c r="H39" s="60">
        <f t="shared" si="4"/>
        <v>0.930002630239065</v>
      </c>
      <c r="I39" s="61">
        <f t="shared" si="6"/>
        <v>504.330352590154</v>
      </c>
      <c r="J39" s="61"/>
      <c r="K39" s="62">
        <f>(NORMSDIST((I39-$K$28)/B15)-NORMSDIST((I39-$L$28)/B15))</f>
        <v>3.77475828372553e-15</v>
      </c>
      <c r="L39" s="62">
        <f>(NORMSDIST((I39-$L$28)/B15)-NORMSDIST((I39-$M$28)/B15))</f>
        <v>0.000153910813690428</v>
      </c>
      <c r="M39" s="63">
        <f>(NORMSDIST((I39-$M$28)/B15)-NORMSDIST((I39-$N$28)/B15))</f>
        <v>0.711437386131916</v>
      </c>
      <c r="N39" s="63">
        <f>(NORMSDIST((I39-$N$28)/B15)-NORMSDIST((I39-$O$28)/B15))</f>
        <v>0.288407550812844</v>
      </c>
      <c r="O39" s="63">
        <f>(NORMSDIST((I39-$O$28)/B15)-NORMSDIST((I39-$P$28)/B15))</f>
        <v>1.15224154536144e-6</v>
      </c>
      <c r="P39" s="63">
        <f>(NORMSDIST((I39-$P$28)/B15)-NORMSDIST((I39-$Q$28)/B15))</f>
        <v>3.01792394002138e-19</v>
      </c>
      <c r="Q39" s="63">
        <f>(NORMSDIST((I39-$Q$28)/B15)-NORMSDIST((I39-$R$28)/B15))</f>
        <v>2.85907205929907e-39</v>
      </c>
      <c r="R39" s="63"/>
      <c r="S39" s="64">
        <f t="shared" si="1"/>
        <v>1</v>
      </c>
    </row>
    <row r="40" s="14" customFormat="1" ht="18" customHeight="1" spans="1:19">
      <c r="A40" s="65"/>
      <c r="B40" s="65"/>
      <c r="C40" s="56">
        <f t="shared" si="2"/>
        <v>0.264</v>
      </c>
      <c r="D40" s="76">
        <v>0.0411985231770231</v>
      </c>
      <c r="E40" s="58">
        <v>38184</v>
      </c>
      <c r="F40" s="59">
        <f t="shared" si="0"/>
        <v>10.080576</v>
      </c>
      <c r="G40" s="59">
        <f t="shared" si="3"/>
        <v>544.351104</v>
      </c>
      <c r="H40" s="60">
        <f t="shared" si="4"/>
        <v>0.928502630239065</v>
      </c>
      <c r="I40" s="61">
        <f t="shared" si="6"/>
        <v>505.431431837539</v>
      </c>
      <c r="J40" s="61"/>
      <c r="K40" s="62">
        <f>(NORMSDIST((I40-$K$28)/B15)-NORMSDIST((I40-$L$28)/B15))</f>
        <v>0</v>
      </c>
      <c r="L40" s="62">
        <f>(NORMSDIST((I40-$L$28)/B15)-NORMSDIST((I40-$M$28)/B15))</f>
        <v>3.00278404463672e-6</v>
      </c>
      <c r="M40" s="63">
        <f>(NORMSDIST((I40-$M$28)/B15)-NORMSDIST((I40-$N$28)/B15))</f>
        <v>0.359597614054781</v>
      </c>
      <c r="N40" s="63">
        <f>(NORMSDIST((I40-$N$28)/B15)-NORMSDIST((I40-$O$28)/B15))</f>
        <v>0.640329091615094</v>
      </c>
      <c r="O40" s="63">
        <f>(NORMSDIST((I40-$O$28)/B15)-NORMSDIST((I40-$P$28)/B15))</f>
        <v>7.02915460799229e-5</v>
      </c>
      <c r="P40" s="63">
        <f>(NORMSDIST((I40-$P$28)/B15)-NORMSDIST((I40-$Q$28)/B15))</f>
        <v>7.692999909215e-16</v>
      </c>
      <c r="Q40" s="63">
        <f>(NORMSDIST((I40-$Q$28)/B15)-NORMSDIST((I40-$R$28)/B15))</f>
        <v>3.22260021530016e-34</v>
      </c>
      <c r="R40" s="63"/>
      <c r="S40" s="64">
        <f t="shared" si="1"/>
        <v>1</v>
      </c>
    </row>
    <row r="41" s="14" customFormat="1" ht="18" customHeight="1" spans="1:19">
      <c r="A41" s="65"/>
      <c r="B41" s="65"/>
      <c r="C41" s="56">
        <f t="shared" si="2"/>
        <v>0.265</v>
      </c>
      <c r="D41" s="76">
        <v>0</v>
      </c>
      <c r="E41" s="58">
        <v>38184</v>
      </c>
      <c r="F41" s="59">
        <f t="shared" si="0"/>
        <v>10.11876</v>
      </c>
      <c r="G41" s="59">
        <f t="shared" si="3"/>
        <v>546.41304</v>
      </c>
      <c r="H41" s="60">
        <f t="shared" si="4"/>
        <v>0.927002630239065</v>
      </c>
      <c r="I41" s="61">
        <f t="shared" si="6"/>
        <v>506.526325276923</v>
      </c>
      <c r="J41" s="61"/>
      <c r="K41" s="62">
        <f>(NORMSDIST((I41-$K$28)/B15)-NORMSDIST((I41-$L$28)/B15))</f>
        <v>0</v>
      </c>
      <c r="L41" s="62">
        <f>(NORMSDIST((I41-$L$28)/B15)-NORMSDIST((I41-$M$28)/B15))</f>
        <v>2.68497705180337e-8</v>
      </c>
      <c r="M41" s="63">
        <f>(NORMSDIST((I41-$M$28)/B15)-NORMSDIST((I41-$N$28)/B15))</f>
        <v>0.101697595456063</v>
      </c>
      <c r="N41" s="63">
        <f>(NORMSDIST((I41-$N$28)/B15)-NORMSDIST((I41-$O$28)/B15))</f>
        <v>0.896404947324702</v>
      </c>
      <c r="O41" s="63">
        <f>(NORMSDIST((I41-$O$28)/B15)-NORMSDIST((I41-$P$28)/B15))</f>
        <v>0.00189743036864051</v>
      </c>
      <c r="P41" s="63">
        <f>(NORMSDIST((I41-$P$28)/B15)-NORMSDIST((I41-$Q$28)/B15))</f>
        <v>8.24192822922964e-13</v>
      </c>
      <c r="Q41" s="63">
        <f>(NORMSDIST((I41-$Q$28)/B15)-NORMSDIST((I41-$R$28)/B15))</f>
        <v>1.48459369076448e-29</v>
      </c>
      <c r="R41" s="63"/>
      <c r="S41" s="64">
        <f t="shared" si="1"/>
        <v>1</v>
      </c>
    </row>
    <row r="42" s="14" customFormat="1" ht="18" customHeight="1" spans="1:19">
      <c r="A42" s="65"/>
      <c r="B42" s="65"/>
      <c r="C42" s="56">
        <f t="shared" si="2"/>
        <v>0.266</v>
      </c>
      <c r="D42" s="76">
        <v>0</v>
      </c>
      <c r="E42" s="58">
        <v>38184</v>
      </c>
      <c r="F42" s="59">
        <f t="shared" si="0"/>
        <v>10.156944</v>
      </c>
      <c r="G42" s="59">
        <f t="shared" si="3"/>
        <v>548.474976</v>
      </c>
      <c r="H42" s="60">
        <f t="shared" si="4"/>
        <v>0.925502630239065</v>
      </c>
      <c r="I42" s="61">
        <f t="shared" si="6"/>
        <v>507.615032908308</v>
      </c>
      <c r="J42" s="61"/>
      <c r="K42" s="62">
        <f>(NORMSDIST((I42-$K$28)/B15)-NORMSDIST((I42-$L$28)/B15))</f>
        <v>0</v>
      </c>
      <c r="L42" s="62">
        <f>(NORMSDIST((I42-$L$28)/B15)-NORMSDIST((I42-$M$28)/B15))</f>
        <v>1.10592646151986e-10</v>
      </c>
      <c r="M42" s="63">
        <f>(NORMSDIST((I42-$M$28)/B15)-NORMSDIST((I42-$N$28)/B15))</f>
        <v>0.0146586262765055</v>
      </c>
      <c r="N42" s="63">
        <f>(NORMSDIST((I42-$N$28)/B15)-NORMSDIST((I42-$O$28)/B15))</f>
        <v>0.961906347628953</v>
      </c>
      <c r="O42" s="63">
        <f>(NORMSDIST((I42-$O$28)/B15)-NORMSDIST((I42-$P$28)/B15))</f>
        <v>0.0234350256065174</v>
      </c>
      <c r="P42" s="63">
        <f>(NORMSDIST((I42-$P$28)/B15)-NORMSDIST((I42-$Q$28)/B15))</f>
        <v>3.77431708833105e-10</v>
      </c>
      <c r="Q42" s="63">
        <f>(NORMSDIST((I42-$Q$28)/B15)-NORMSDIST((I42-$R$28)/B15))</f>
        <v>2.83724184472593e-25</v>
      </c>
      <c r="R42" s="63"/>
      <c r="S42" s="64">
        <f t="shared" si="1"/>
        <v>1</v>
      </c>
    </row>
    <row r="43" s="14" customFormat="1" ht="18" customHeight="1" spans="1:19">
      <c r="A43" s="65"/>
      <c r="B43" s="65"/>
      <c r="C43" s="56">
        <f t="shared" si="2"/>
        <v>0.267</v>
      </c>
      <c r="D43" s="87">
        <v>0</v>
      </c>
      <c r="E43" s="58">
        <v>38184</v>
      </c>
      <c r="F43" s="59">
        <f t="shared" si="0"/>
        <v>10.195128</v>
      </c>
      <c r="G43" s="59">
        <f t="shared" si="3"/>
        <v>550.536912</v>
      </c>
      <c r="H43" s="60">
        <f t="shared" si="4"/>
        <v>0.924002630239065</v>
      </c>
      <c r="I43" s="61">
        <f t="shared" si="6"/>
        <v>508.697554731693</v>
      </c>
      <c r="J43" s="61"/>
      <c r="K43" s="62">
        <f>(NORMSDIST((I43-$K$28)/B15)-NORMSDIST((I43-$L$28)/B15))</f>
        <v>0</v>
      </c>
      <c r="L43" s="62">
        <f>(NORMSDIST((I43-$L$28)/B15)-NORMSDIST((I43-$M$28)/B15))</f>
        <v>2.11497486191092e-13</v>
      </c>
      <c r="M43" s="63">
        <f>(NORMSDIST((I43-$M$28)/B15)-NORMSDIST((I43-$N$28)/B15))</f>
        <v>0.00103050960305118</v>
      </c>
      <c r="N43" s="63">
        <f>(NORMSDIST((I43-$N$28)/B15)-NORMSDIST((I43-$O$28)/B15))</f>
        <v>0.860090817387129</v>
      </c>
      <c r="O43" s="63">
        <f>(NORMSDIST((I43-$O$28)/B15)-NORMSDIST((I43-$P$28)/B15))</f>
        <v>0.138878597796787</v>
      </c>
      <c r="P43" s="63">
        <f>(NORMSDIST((I43-$P$28)/B15)-NORMSDIST((I43-$Q$28)/B15))</f>
        <v>7.52128214306405e-8</v>
      </c>
      <c r="Q43" s="63">
        <f>(NORMSDIST((I43-$Q$28)/B15)-NORMSDIST((I43-$R$28)/B15))</f>
        <v>2.28344107011166e-21</v>
      </c>
      <c r="R43" s="63"/>
      <c r="S43" s="64">
        <f t="shared" si="1"/>
        <v>1</v>
      </c>
    </row>
    <row r="44" s="14" customFormat="1" ht="18" hidden="1" customHeight="1" spans="1:19">
      <c r="A44" s="65"/>
      <c r="B44" s="65"/>
      <c r="C44" s="56">
        <f t="shared" si="2"/>
        <v>0.268</v>
      </c>
      <c r="D44" s="87"/>
      <c r="E44" s="58">
        <v>38184</v>
      </c>
      <c r="F44" s="59">
        <f t="shared" si="0"/>
        <v>10.233312</v>
      </c>
      <c r="G44" s="59">
        <f t="shared" si="3"/>
        <v>552.598848</v>
      </c>
      <c r="H44" s="60">
        <f t="shared" si="4"/>
        <v>0.922502630239065</v>
      </c>
      <c r="I44" s="61">
        <f t="shared" si="6"/>
        <v>509.773890747077</v>
      </c>
      <c r="J44" s="61"/>
      <c r="K44" s="62">
        <f>(NORMSDIST((I44-$K$28)/B15)-NORMSDIST((I44-$L$28)/B15))</f>
        <v>0</v>
      </c>
      <c r="L44" s="62">
        <f>(NORMSDIST((I44-$L$28)/B15)-NORMSDIST((I44-$M$28)/B15))</f>
        <v>0</v>
      </c>
      <c r="M44" s="63">
        <f>(NORMSDIST((I44-$M$28)/B15)-NORMSDIST((I44-$N$28)/B15))</f>
        <v>3.47133031189939e-5</v>
      </c>
      <c r="N44" s="63">
        <f>(NORMSDIST((I44-$N$28)/B15)-NORMSDIST((I44-$O$28)/B15))</f>
        <v>0.574693290943154</v>
      </c>
      <c r="O44" s="63">
        <f>(NORMSDIST((I44-$O$28)/B15)-NORMSDIST((I44-$P$28)/B15))</f>
        <v>0.425265345172571</v>
      </c>
      <c r="P44" s="63">
        <f>(NORMSDIST((I44-$P$28)/B15)-NORMSDIST((I44-$Q$28)/B15))</f>
        <v>6.65058115643153e-6</v>
      </c>
      <c r="Q44" s="63">
        <f>(NORMSDIST((I44-$Q$28)/B15)-NORMSDIST((I44-$R$28)/B15))</f>
        <v>7.85749379577513e-18</v>
      </c>
      <c r="R44" s="63"/>
      <c r="S44" s="64">
        <f t="shared" si="1"/>
        <v>1</v>
      </c>
    </row>
    <row r="45" s="14" customFormat="1" ht="18" hidden="1" customHeight="1" spans="1:19">
      <c r="A45" s="65"/>
      <c r="B45" s="65"/>
      <c r="C45" s="56">
        <f t="shared" si="2"/>
        <v>0.269</v>
      </c>
      <c r="D45" s="87"/>
      <c r="E45" s="58">
        <v>38184</v>
      </c>
      <c r="F45" s="59">
        <f t="shared" si="0"/>
        <v>10.271496</v>
      </c>
      <c r="G45" s="59">
        <f t="shared" si="3"/>
        <v>554.660784</v>
      </c>
      <c r="H45" s="60">
        <f t="shared" si="4"/>
        <v>0.921002630239065</v>
      </c>
      <c r="I45" s="61">
        <f t="shared" si="6"/>
        <v>510.844040954462</v>
      </c>
      <c r="J45" s="61"/>
      <c r="K45" s="62">
        <f>(NORMSDIST((I45-$K$28)/B15)-NORMSDIST((I45-$L$28)/B15))</f>
        <v>0</v>
      </c>
      <c r="L45" s="62">
        <f>(NORMSDIST((I45-$L$28)/B15)-NORMSDIST((I45-$M$28)/B15))</f>
        <v>0</v>
      </c>
      <c r="M45" s="63">
        <f>(NORMSDIST((I45-$M$28)/B15)-NORMSDIST((I45-$N$28)/B15))</f>
        <v>5.57894874853027e-7</v>
      </c>
      <c r="N45" s="63">
        <f>(NORMSDIST((I45-$N$28)/B15)-NORMSDIST((I45-$O$28)/B15))</f>
        <v>0.240912831381794</v>
      </c>
      <c r="O45" s="63">
        <f>(NORMSDIST((I45-$O$28)/B15)-NORMSDIST((I45-$P$28)/B15))</f>
        <v>0.758819813380072</v>
      </c>
      <c r="P45" s="63">
        <f>(NORMSDIST((I45-$P$28)/B15)-NORMSDIST((I45-$Q$28)/B15))</f>
        <v>0.000266797343247836</v>
      </c>
      <c r="Q45" s="63">
        <f>(NORMSDIST((I45-$Q$28)/B15)-NORMSDIST((I45-$R$28)/B15))</f>
        <v>1.17407933630002e-14</v>
      </c>
      <c r="R45" s="63"/>
      <c r="S45" s="64">
        <f t="shared" si="1"/>
        <v>1</v>
      </c>
    </row>
    <row r="46" s="14" customFormat="1" ht="18" hidden="1" customHeight="1" spans="1:19">
      <c r="A46" s="65"/>
      <c r="B46" s="65"/>
      <c r="C46" s="56">
        <f t="shared" si="2"/>
        <v>0.27</v>
      </c>
      <c r="D46" s="87"/>
      <c r="E46" s="58">
        <v>38184</v>
      </c>
      <c r="F46" s="59">
        <f t="shared" si="0"/>
        <v>10.30968</v>
      </c>
      <c r="G46" s="59">
        <f t="shared" si="3"/>
        <v>556.72272</v>
      </c>
      <c r="H46" s="60">
        <f t="shared" si="4"/>
        <v>0.919502630239065</v>
      </c>
      <c r="I46" s="61">
        <f t="shared" si="6"/>
        <v>511.908005353846</v>
      </c>
      <c r="J46" s="61"/>
      <c r="K46" s="62">
        <f>(NORMSDIST((I46-$K$28)/B15)-NORMSDIST((I46-$L$28)/B15))</f>
        <v>0</v>
      </c>
      <c r="L46" s="62">
        <f>(NORMSDIST((I46-$L$28)/B15)-NORMSDIST((I46-$M$28)/B15))</f>
        <v>0</v>
      </c>
      <c r="M46" s="63">
        <f>(NORMSDIST((I46-$M$28)/B15)-NORMSDIST((I46-$N$28)/B15))</f>
        <v>4.28944058050718e-9</v>
      </c>
      <c r="N46" s="63">
        <f>(NORMSDIST((I46-$N$28)/B15)-NORMSDIST((I46-$O$28)/B15))</f>
        <v>0.0559168953976297</v>
      </c>
      <c r="O46" s="63">
        <f>(NORMSDIST((I46-$O$28)/B15)-NORMSDIST((I46-$P$28)/B15))</f>
        <v>0.939095130944391</v>
      </c>
      <c r="P46" s="63">
        <f>(NORMSDIST((I46-$P$28)/B15)-NORMSDIST((I46-$Q$28)/B15))</f>
        <v>0.00498796936079912</v>
      </c>
      <c r="Q46" s="63">
        <f>(NORMSDIST((I46-$Q$28)/B15)-NORMSDIST((I46-$R$28)/B15))</f>
        <v>7.73991382417287e-12</v>
      </c>
      <c r="R46" s="63"/>
      <c r="S46" s="64">
        <f t="shared" si="1"/>
        <v>1</v>
      </c>
    </row>
    <row r="47" s="14" customFormat="1" ht="18" hidden="1" customHeight="1" spans="1:19">
      <c r="A47" s="65"/>
      <c r="B47" s="65"/>
      <c r="C47" s="56">
        <f t="shared" si="2"/>
        <v>0.271</v>
      </c>
      <c r="D47" s="87"/>
      <c r="E47" s="58">
        <v>38184</v>
      </c>
      <c r="F47" s="59">
        <f t="shared" si="0"/>
        <v>10.347864</v>
      </c>
      <c r="G47" s="59">
        <f t="shared" si="3"/>
        <v>558.784656</v>
      </c>
      <c r="H47" s="60">
        <f t="shared" si="4"/>
        <v>0.918002630239065</v>
      </c>
      <c r="I47" s="61">
        <f t="shared" si="6"/>
        <v>512.965783945231</v>
      </c>
      <c r="J47" s="61"/>
      <c r="K47" s="62">
        <f>(NORMSDIST((I47-$K$28)/B15)-NORMSDIST((I47-$L$28)/B15))</f>
        <v>0</v>
      </c>
      <c r="L47" s="62">
        <f>(NORMSDIST((I47-$L$28)/B15)-NORMSDIST((I47-$M$28)/B15))</f>
        <v>0</v>
      </c>
      <c r="M47" s="63">
        <f>(NORMSDIST((I47-$M$28)/B15)-NORMSDIST((I47-$N$28)/B15))</f>
        <v>1.58818513895653e-11</v>
      </c>
      <c r="N47" s="63">
        <f>(NORMSDIST((I47-$N$28)/B15)-NORMSDIST((I47-$O$28)/B15))</f>
        <v>0.00672762927913784</v>
      </c>
      <c r="O47" s="63">
        <f>(NORMSDIST((I47-$O$28)/B15)-NORMSDIST((I47-$P$28)/B15))</f>
        <v>0.948251735166233</v>
      </c>
      <c r="P47" s="63">
        <f>(NORMSDIST((I47-$P$28)/B15)-NORMSDIST((I47-$Q$28)/B15))</f>
        <v>0.0450206332500096</v>
      </c>
      <c r="Q47" s="63">
        <f>(NORMSDIST((I47-$Q$28)/B15)-NORMSDIST((I47-$R$28)/B15))</f>
        <v>2.28873750820888e-9</v>
      </c>
      <c r="R47" s="63"/>
      <c r="S47" s="64">
        <f t="shared" si="1"/>
        <v>1</v>
      </c>
    </row>
    <row r="48" s="14" customFormat="1" ht="18" hidden="1" customHeight="1" spans="1:19">
      <c r="A48" s="65"/>
      <c r="B48" s="65"/>
      <c r="C48" s="56">
        <f t="shared" si="2"/>
        <v>0.272</v>
      </c>
      <c r="D48" s="87"/>
      <c r="E48" s="58">
        <v>38184</v>
      </c>
      <c r="F48" s="59">
        <f t="shared" si="0"/>
        <v>10.386048</v>
      </c>
      <c r="G48" s="59">
        <f t="shared" si="3"/>
        <v>560.846592</v>
      </c>
      <c r="H48" s="60">
        <f t="shared" si="4"/>
        <v>0.916502630239065</v>
      </c>
      <c r="I48" s="61">
        <f t="shared" si="6"/>
        <v>514.017376728616</v>
      </c>
      <c r="J48" s="61"/>
      <c r="K48" s="62">
        <f>(NORMSDIST((I48-$K$28)/B15)-NORMSDIST((I48-$L$28)/B15))</f>
        <v>0</v>
      </c>
      <c r="L48" s="62">
        <f>(NORMSDIST((I48-$L$28)/B15)-NORMSDIST((I48-$M$28)/B15))</f>
        <v>0</v>
      </c>
      <c r="M48" s="63">
        <f>(NORMSDIST((I48-$M$28)/B15)-NORMSDIST((I48-$N$28)/B15))</f>
        <v>2.85327317328665e-14</v>
      </c>
      <c r="N48" s="63">
        <f>(NORMSDIST((I48-$N$28)/B15)-NORMSDIST((I48-$O$28)/B15))</f>
        <v>0.000407258376684871</v>
      </c>
      <c r="O48" s="63">
        <f>(NORMSDIST((I48-$O$28)/B15)-NORMSDIST((I48-$P$28)/B15))</f>
        <v>0.793157519479651</v>
      </c>
      <c r="P48" s="63">
        <f>(NORMSDIST((I48-$P$28)/B15)-NORMSDIST((I48-$Q$28)/B15))</f>
        <v>0.206434913165734</v>
      </c>
      <c r="Q48" s="63">
        <f>(NORMSDIST((I48-$Q$28)/B15)-NORMSDIST((I48-$R$28)/B15))</f>
        <v>3.08977901779301e-7</v>
      </c>
      <c r="R48" s="63"/>
      <c r="S48" s="64">
        <f t="shared" si="1"/>
        <v>1</v>
      </c>
    </row>
    <row r="49" s="14" customFormat="1" ht="9.6" customHeight="1" spans="4:19">
      <c r="D49" s="88"/>
    </row>
    <row r="50" s="14" customFormat="1" ht="18" customHeight="1" spans="4:19">
      <c r="D50" s="89"/>
      <c r="I50" s="90" t="s">
        <v>90</v>
      </c>
      <c r="J50" s="90" t="s">
        <v>89</v>
      </c>
      <c r="K50" s="53">
        <f>K28</f>
        <v>490</v>
      </c>
      <c r="L50" s="53">
        <f t="shared" ref="L50:R50" si="7">L28</f>
        <v>495</v>
      </c>
      <c r="M50" s="53">
        <f t="shared" si="7"/>
        <v>500</v>
      </c>
      <c r="N50" s="53">
        <f t="shared" si="7"/>
        <v>505</v>
      </c>
      <c r="O50" s="53">
        <f t="shared" si="7"/>
        <v>510</v>
      </c>
      <c r="P50" s="53">
        <f t="shared" si="7"/>
        <v>515</v>
      </c>
      <c r="Q50" s="53">
        <f t="shared" si="7"/>
        <v>520</v>
      </c>
      <c r="R50" s="53">
        <f t="shared" si="7"/>
        <v>525</v>
      </c>
      <c r="S50" s="54" t="s">
        <v>96</v>
      </c>
    </row>
    <row r="51" s="14" customFormat="1" ht="18" customHeight="1" spans="4:19">
      <c r="I51" s="91">
        <f t="shared" ref="I51:I70" si="8">D29</f>
        <v>0</v>
      </c>
      <c r="J51" s="56">
        <f t="shared" ref="J51:J70" si="9">C29</f>
        <v>0.253</v>
      </c>
      <c r="K51" s="63">
        <f t="shared" ref="K51:K70" si="10">D29*K29</f>
        <v>0</v>
      </c>
      <c r="L51" s="63">
        <f t="shared" ref="L51:L70" si="11">D29*L29</f>
        <v>0</v>
      </c>
      <c r="M51" s="63">
        <f t="shared" ref="M51:M70" si="12">D29*M29</f>
        <v>0</v>
      </c>
      <c r="N51" s="63">
        <f t="shared" ref="N51:N70" si="13">D29*N29</f>
        <v>0</v>
      </c>
      <c r="O51" s="63">
        <f t="shared" ref="O51:O70" si="14">D29*O29</f>
        <v>0</v>
      </c>
      <c r="P51" s="63">
        <f t="shared" ref="P51:P70" si="15">D29*P29</f>
        <v>0</v>
      </c>
      <c r="Q51" s="63">
        <f t="shared" ref="Q51:Q70" si="16">D29*Q29</f>
        <v>0</v>
      </c>
      <c r="R51" s="63"/>
      <c r="S51" s="64"/>
    </row>
    <row r="52" s="14" customFormat="1" ht="18" customHeight="1" spans="4:19">
      <c r="I52" s="91">
        <f t="shared" si="8"/>
        <v>0</v>
      </c>
      <c r="J52" s="56">
        <f t="shared" si="9"/>
        <v>0.254</v>
      </c>
      <c r="K52" s="63">
        <f t="shared" si="10"/>
        <v>0</v>
      </c>
      <c r="L52" s="63">
        <f t="shared" si="11"/>
        <v>0</v>
      </c>
      <c r="M52" s="63">
        <f t="shared" si="12"/>
        <v>0</v>
      </c>
      <c r="N52" s="63">
        <f t="shared" si="13"/>
        <v>0</v>
      </c>
      <c r="O52" s="63">
        <f t="shared" si="14"/>
        <v>0</v>
      </c>
      <c r="P52" s="63">
        <f t="shared" si="15"/>
        <v>0</v>
      </c>
      <c r="Q52" s="63">
        <f t="shared" si="16"/>
        <v>0</v>
      </c>
      <c r="R52" s="63"/>
      <c r="S52" s="64"/>
    </row>
    <row r="53" s="14" customFormat="1" ht="18" customHeight="1" spans="4:19">
      <c r="I53" s="91">
        <f t="shared" si="8"/>
        <v>0</v>
      </c>
      <c r="J53" s="56">
        <f t="shared" si="9"/>
        <v>0.255</v>
      </c>
      <c r="K53" s="63">
        <f t="shared" si="10"/>
        <v>0</v>
      </c>
      <c r="L53" s="63">
        <f t="shared" si="11"/>
        <v>0</v>
      </c>
      <c r="M53" s="63">
        <f t="shared" si="12"/>
        <v>0</v>
      </c>
      <c r="N53" s="63">
        <f t="shared" si="13"/>
        <v>0</v>
      </c>
      <c r="O53" s="63">
        <f t="shared" si="14"/>
        <v>0</v>
      </c>
      <c r="P53" s="63">
        <f t="shared" si="15"/>
        <v>0</v>
      </c>
      <c r="Q53" s="63">
        <f t="shared" si="16"/>
        <v>0</v>
      </c>
      <c r="R53" s="63"/>
      <c r="S53" s="64"/>
    </row>
    <row r="54" s="14" customFormat="1" ht="18" customHeight="1" spans="4:19">
      <c r="I54" s="91">
        <f t="shared" si="8"/>
        <v>0</v>
      </c>
      <c r="J54" s="56">
        <f t="shared" si="9"/>
        <v>0.256</v>
      </c>
      <c r="K54" s="73">
        <f t="shared" si="10"/>
        <v>0</v>
      </c>
      <c r="L54" s="73">
        <f t="shared" si="11"/>
        <v>0</v>
      </c>
      <c r="M54" s="73">
        <f t="shared" si="12"/>
        <v>0</v>
      </c>
      <c r="N54" s="73">
        <f t="shared" si="13"/>
        <v>0</v>
      </c>
      <c r="O54" s="73">
        <f t="shared" si="14"/>
        <v>0</v>
      </c>
      <c r="P54" s="73">
        <f t="shared" si="15"/>
        <v>0</v>
      </c>
      <c r="Q54" s="73">
        <f t="shared" si="16"/>
        <v>0</v>
      </c>
      <c r="R54" s="73"/>
      <c r="S54" s="64"/>
    </row>
    <row r="55" s="14" customFormat="1" ht="18" customHeight="1" spans="4:19">
      <c r="I55" s="91">
        <f t="shared" si="8"/>
        <v>0</v>
      </c>
      <c r="J55" s="56">
        <f t="shared" si="9"/>
        <v>0.257</v>
      </c>
      <c r="K55" s="63">
        <f t="shared" si="10"/>
        <v>0</v>
      </c>
      <c r="L55" s="63">
        <f t="shared" si="11"/>
        <v>0</v>
      </c>
      <c r="M55" s="63">
        <f t="shared" si="12"/>
        <v>0</v>
      </c>
      <c r="N55" s="63">
        <f t="shared" si="13"/>
        <v>0</v>
      </c>
      <c r="O55" s="63">
        <f t="shared" si="14"/>
        <v>0</v>
      </c>
      <c r="P55" s="63">
        <f t="shared" si="15"/>
        <v>0</v>
      </c>
      <c r="Q55" s="63">
        <f t="shared" si="16"/>
        <v>0</v>
      </c>
      <c r="R55" s="63"/>
      <c r="S55" s="64"/>
    </row>
    <row r="56" s="14" customFormat="1" ht="18" customHeight="1" spans="4:19">
      <c r="I56" s="91">
        <f t="shared" si="8"/>
        <v>0</v>
      </c>
      <c r="J56" s="56">
        <f t="shared" si="9"/>
        <v>0.258</v>
      </c>
      <c r="K56" s="63">
        <f t="shared" si="10"/>
        <v>0</v>
      </c>
      <c r="L56" s="63">
        <f t="shared" si="11"/>
        <v>0</v>
      </c>
      <c r="M56" s="63">
        <f t="shared" si="12"/>
        <v>0</v>
      </c>
      <c r="N56" s="63">
        <f t="shared" si="13"/>
        <v>0</v>
      </c>
      <c r="O56" s="63">
        <f t="shared" si="14"/>
        <v>0</v>
      </c>
      <c r="P56" s="63">
        <f t="shared" si="15"/>
        <v>0</v>
      </c>
      <c r="Q56" s="63">
        <f t="shared" si="16"/>
        <v>0</v>
      </c>
      <c r="R56" s="63"/>
      <c r="S56" s="64"/>
    </row>
    <row r="57" s="14" customFormat="1" ht="18" customHeight="1" spans="4:19">
      <c r="I57" s="91">
        <f t="shared" si="8"/>
        <v>0</v>
      </c>
      <c r="J57" s="56">
        <f t="shared" si="9"/>
        <v>0.259</v>
      </c>
      <c r="K57" s="63">
        <f t="shared" si="10"/>
        <v>0</v>
      </c>
      <c r="L57" s="63">
        <f t="shared" si="11"/>
        <v>0</v>
      </c>
      <c r="M57" s="63">
        <f t="shared" si="12"/>
        <v>0</v>
      </c>
      <c r="N57" s="63">
        <f t="shared" si="13"/>
        <v>0</v>
      </c>
      <c r="O57" s="63">
        <f t="shared" si="14"/>
        <v>0</v>
      </c>
      <c r="P57" s="63">
        <f t="shared" si="15"/>
        <v>0</v>
      </c>
      <c r="Q57" s="63">
        <f t="shared" si="16"/>
        <v>0</v>
      </c>
      <c r="R57" s="63"/>
      <c r="S57" s="64"/>
    </row>
    <row r="58" s="14" customFormat="1" ht="18" customHeight="1" spans="4:19">
      <c r="I58" s="91">
        <f t="shared" si="8"/>
        <v>0.0774693055489119</v>
      </c>
      <c r="J58" s="56">
        <f t="shared" si="9"/>
        <v>0.26</v>
      </c>
      <c r="K58" s="63">
        <f t="shared" si="10"/>
        <v>2.31867558010534e-8</v>
      </c>
      <c r="L58" s="63">
        <f t="shared" si="11"/>
        <v>0.0158568432345224</v>
      </c>
      <c r="M58" s="63">
        <f t="shared" si="12"/>
        <v>0.0615801820695239</v>
      </c>
      <c r="N58" s="63">
        <f t="shared" si="13"/>
        <v>3.22570581074603e-5</v>
      </c>
      <c r="O58" s="63">
        <f t="shared" si="14"/>
        <v>2.31961942367176e-15</v>
      </c>
      <c r="P58" s="63">
        <f t="shared" si="15"/>
        <v>6.62617177258578e-33</v>
      </c>
      <c r="Q58" s="63">
        <f t="shared" si="16"/>
        <v>6.21728058045955e-58</v>
      </c>
      <c r="R58" s="63"/>
      <c r="S58" s="64"/>
    </row>
    <row r="59" s="14" customFormat="1" ht="18" customHeight="1" spans="4:19">
      <c r="I59" s="91">
        <f t="shared" si="8"/>
        <v>0.263945094894464</v>
      </c>
      <c r="J59" s="56">
        <f t="shared" si="9"/>
        <v>0.261</v>
      </c>
      <c r="K59" s="63">
        <f t="shared" si="10"/>
        <v>4.12906870945888e-10</v>
      </c>
      <c r="L59" s="63">
        <f t="shared" si="11"/>
        <v>0.0103918227973383</v>
      </c>
      <c r="M59" s="63">
        <f t="shared" si="12"/>
        <v>0.251440093671241</v>
      </c>
      <c r="N59" s="63">
        <f t="shared" si="13"/>
        <v>0.00211317800657009</v>
      </c>
      <c r="O59" s="63">
        <f t="shared" si="14"/>
        <v>6.40782987019898e-12</v>
      </c>
      <c r="P59" s="63">
        <f t="shared" si="15"/>
        <v>8.53206695009438e-28</v>
      </c>
      <c r="Q59" s="63">
        <f t="shared" si="16"/>
        <v>3.82202937543214e-51</v>
      </c>
      <c r="R59" s="63"/>
      <c r="S59" s="64"/>
    </row>
    <row r="60" s="14" customFormat="1" ht="18" customHeight="1" spans="4:19">
      <c r="I60" s="91">
        <f t="shared" si="8"/>
        <v>0.392800050363027</v>
      </c>
      <c r="J60" s="56">
        <f t="shared" si="9"/>
        <v>0.262</v>
      </c>
      <c r="K60" s="63">
        <f t="shared" si="10"/>
        <v>1.42455008291338e-12</v>
      </c>
      <c r="L60" s="63">
        <f t="shared" si="11"/>
        <v>0.00142062766732514</v>
      </c>
      <c r="M60" s="63">
        <f t="shared" si="12"/>
        <v>0.364144545630665</v>
      </c>
      <c r="N60" s="63">
        <f t="shared" si="13"/>
        <v>0.0272348738649057</v>
      </c>
      <c r="O60" s="63">
        <f t="shared" si="14"/>
        <v>3.1987064071064e-9</v>
      </c>
      <c r="P60" s="63">
        <f t="shared" si="15"/>
        <v>1.92302783114505e-23</v>
      </c>
      <c r="Q60" s="63">
        <f t="shared" si="16"/>
        <v>4.01232627335925e-45</v>
      </c>
      <c r="R60" s="63"/>
      <c r="S60" s="64"/>
    </row>
    <row r="61" s="14" customFormat="1" ht="18" customHeight="1" spans="4:19">
      <c r="I61" s="91">
        <f t="shared" si="8"/>
        <v>0.224587026016574</v>
      </c>
      <c r="J61" s="56">
        <f t="shared" si="9"/>
        <v>0.263</v>
      </c>
      <c r="K61" s="63">
        <f t="shared" si="10"/>
        <v>8.47761736873344e-16</v>
      </c>
      <c r="L61" s="63">
        <f t="shared" si="11"/>
        <v>3.45663719185242e-5</v>
      </c>
      <c r="M61" s="63">
        <f t="shared" si="12"/>
        <v>0.159779606748372</v>
      </c>
      <c r="N61" s="63">
        <f t="shared" si="13"/>
        <v>0.0647725941177806</v>
      </c>
      <c r="O61" s="63">
        <f t="shared" si="14"/>
        <v>2.58778501925466e-7</v>
      </c>
      <c r="P61" s="63">
        <f t="shared" si="15"/>
        <v>6.77786562433623e-20</v>
      </c>
      <c r="Q61" s="63">
        <f t="shared" si="16"/>
        <v>6.42110490965061e-40</v>
      </c>
      <c r="R61" s="63"/>
      <c r="S61" s="64"/>
    </row>
    <row r="62" s="14" customFormat="1" ht="18" hidden="1" customHeight="1" spans="4:19">
      <c r="I62" s="91">
        <f t="shared" si="8"/>
        <v>0.0411985231770231</v>
      </c>
      <c r="J62" s="56">
        <f t="shared" si="9"/>
        <v>0.264</v>
      </c>
      <c r="K62" s="63">
        <f t="shared" si="10"/>
        <v>0</v>
      </c>
      <c r="L62" s="63">
        <f t="shared" si="11"/>
        <v>1.23710268058561e-7</v>
      </c>
      <c r="M62" s="63">
        <f t="shared" si="12"/>
        <v>0.0148148906370381</v>
      </c>
      <c r="N62" s="63">
        <f t="shared" si="13"/>
        <v>0.0263806129218266</v>
      </c>
      <c r="O62" s="63">
        <f t="shared" si="14"/>
        <v>2.89590789032249e-6</v>
      </c>
      <c r="P62" s="63">
        <f t="shared" si="15"/>
        <v>3.16940235060631e-17</v>
      </c>
      <c r="Q62" s="63">
        <f t="shared" si="16"/>
        <v>1.32766369660323e-35</v>
      </c>
      <c r="R62" s="63">
        <f t="shared" ref="R62:R70" si="17">D40*R40</f>
        <v>0</v>
      </c>
      <c r="S62" s="64"/>
    </row>
    <row r="63" s="14" customFormat="1" ht="18" hidden="1" customHeight="1" spans="4:19">
      <c r="I63" s="91">
        <f t="shared" si="8"/>
        <v>0</v>
      </c>
      <c r="J63" s="56">
        <f t="shared" si="9"/>
        <v>0.265</v>
      </c>
      <c r="K63" s="63">
        <f t="shared" si="10"/>
        <v>0</v>
      </c>
      <c r="L63" s="63">
        <f t="shared" si="11"/>
        <v>0</v>
      </c>
      <c r="M63" s="63">
        <f t="shared" si="12"/>
        <v>0</v>
      </c>
      <c r="N63" s="63">
        <f t="shared" si="13"/>
        <v>0</v>
      </c>
      <c r="O63" s="63">
        <f t="shared" si="14"/>
        <v>0</v>
      </c>
      <c r="P63" s="63">
        <f t="shared" si="15"/>
        <v>0</v>
      </c>
      <c r="Q63" s="63">
        <f t="shared" si="16"/>
        <v>0</v>
      </c>
      <c r="R63" s="63">
        <f t="shared" si="17"/>
        <v>0</v>
      </c>
      <c r="S63" s="64"/>
    </row>
    <row r="64" s="14" customFormat="1" ht="18" hidden="1" customHeight="1" spans="4:19">
      <c r="I64" s="91">
        <f t="shared" si="8"/>
        <v>0</v>
      </c>
      <c r="J64" s="56">
        <f t="shared" si="9"/>
        <v>0.266</v>
      </c>
      <c r="K64" s="63">
        <f t="shared" si="10"/>
        <v>0</v>
      </c>
      <c r="L64" s="63">
        <f t="shared" si="11"/>
        <v>0</v>
      </c>
      <c r="M64" s="63">
        <f t="shared" si="12"/>
        <v>0</v>
      </c>
      <c r="N64" s="63">
        <f t="shared" si="13"/>
        <v>0</v>
      </c>
      <c r="O64" s="63">
        <f t="shared" si="14"/>
        <v>0</v>
      </c>
      <c r="P64" s="63">
        <f t="shared" si="15"/>
        <v>0</v>
      </c>
      <c r="Q64" s="63">
        <f t="shared" si="16"/>
        <v>0</v>
      </c>
      <c r="R64" s="63">
        <f t="shared" si="17"/>
        <v>0</v>
      </c>
      <c r="S64" s="64"/>
    </row>
    <row r="65" s="14" customFormat="1" ht="18" hidden="1" customHeight="1" spans="1:19">
      <c r="I65" s="91">
        <f t="shared" si="8"/>
        <v>0</v>
      </c>
      <c r="J65" s="56">
        <f t="shared" si="9"/>
        <v>0.267</v>
      </c>
      <c r="K65" s="63">
        <f t="shared" si="10"/>
        <v>0</v>
      </c>
      <c r="L65" s="63">
        <f t="shared" si="11"/>
        <v>0</v>
      </c>
      <c r="M65" s="63">
        <f t="shared" si="12"/>
        <v>0</v>
      </c>
      <c r="N65" s="63">
        <f t="shared" si="13"/>
        <v>0</v>
      </c>
      <c r="O65" s="63">
        <f t="shared" si="14"/>
        <v>0</v>
      </c>
      <c r="P65" s="63">
        <f t="shared" si="15"/>
        <v>0</v>
      </c>
      <c r="Q65" s="63">
        <f t="shared" si="16"/>
        <v>0</v>
      </c>
      <c r="R65" s="63">
        <f t="shared" si="17"/>
        <v>0</v>
      </c>
      <c r="S65" s="64"/>
    </row>
    <row r="66" s="14" customFormat="1" ht="18" hidden="1" customHeight="1" spans="1:19">
      <c r="I66" s="91">
        <f t="shared" si="8"/>
        <v>0</v>
      </c>
      <c r="J66" s="56">
        <f t="shared" si="9"/>
        <v>0.268</v>
      </c>
      <c r="K66" s="63">
        <f t="shared" si="10"/>
        <v>0</v>
      </c>
      <c r="L66" s="63">
        <f t="shared" si="11"/>
        <v>0</v>
      </c>
      <c r="M66" s="63">
        <f t="shared" si="12"/>
        <v>0</v>
      </c>
      <c r="N66" s="63">
        <f t="shared" si="13"/>
        <v>0</v>
      </c>
      <c r="O66" s="63">
        <f t="shared" si="14"/>
        <v>0</v>
      </c>
      <c r="P66" s="63">
        <f t="shared" si="15"/>
        <v>0</v>
      </c>
      <c r="Q66" s="63">
        <f t="shared" si="16"/>
        <v>0</v>
      </c>
      <c r="R66" s="63">
        <f t="shared" si="17"/>
        <v>0</v>
      </c>
      <c r="S66" s="64"/>
    </row>
    <row r="67" s="14" customFormat="1" ht="18" hidden="1" customHeight="1" spans="1:19">
      <c r="I67" s="91">
        <f t="shared" si="8"/>
        <v>0</v>
      </c>
      <c r="J67" s="56">
        <f t="shared" si="9"/>
        <v>0.269</v>
      </c>
      <c r="K67" s="63">
        <f t="shared" si="10"/>
        <v>0</v>
      </c>
      <c r="L67" s="63">
        <f t="shared" si="11"/>
        <v>0</v>
      </c>
      <c r="M67" s="63">
        <f t="shared" si="12"/>
        <v>0</v>
      </c>
      <c r="N67" s="63">
        <f t="shared" si="13"/>
        <v>0</v>
      </c>
      <c r="O67" s="63">
        <f t="shared" si="14"/>
        <v>0</v>
      </c>
      <c r="P67" s="63">
        <f t="shared" si="15"/>
        <v>0</v>
      </c>
      <c r="Q67" s="63">
        <f t="shared" si="16"/>
        <v>0</v>
      </c>
      <c r="R67" s="63">
        <f t="shared" si="17"/>
        <v>0</v>
      </c>
      <c r="S67" s="64"/>
    </row>
    <row r="68" s="14" customFormat="1" ht="18" hidden="1" customHeight="1" spans="1:19">
      <c r="I68" s="91">
        <f t="shared" si="8"/>
        <v>0</v>
      </c>
      <c r="J68" s="56">
        <f t="shared" si="9"/>
        <v>0.27</v>
      </c>
      <c r="K68" s="63">
        <f t="shared" si="10"/>
        <v>0</v>
      </c>
      <c r="L68" s="63">
        <f t="shared" si="11"/>
        <v>0</v>
      </c>
      <c r="M68" s="63">
        <f t="shared" si="12"/>
        <v>0</v>
      </c>
      <c r="N68" s="63">
        <f t="shared" si="13"/>
        <v>0</v>
      </c>
      <c r="O68" s="63">
        <f t="shared" si="14"/>
        <v>0</v>
      </c>
      <c r="P68" s="63">
        <f t="shared" si="15"/>
        <v>0</v>
      </c>
      <c r="Q68" s="63">
        <f t="shared" si="16"/>
        <v>0</v>
      </c>
      <c r="R68" s="63">
        <f t="shared" si="17"/>
        <v>0</v>
      </c>
      <c r="S68" s="64"/>
    </row>
    <row r="69" s="14" customFormat="1" ht="18" hidden="1" customHeight="1" spans="1:19">
      <c r="I69" s="91">
        <f t="shared" si="8"/>
        <v>0</v>
      </c>
      <c r="J69" s="56">
        <f t="shared" si="9"/>
        <v>0.271</v>
      </c>
      <c r="K69" s="63">
        <f t="shared" si="10"/>
        <v>0</v>
      </c>
      <c r="L69" s="63">
        <f t="shared" si="11"/>
        <v>0</v>
      </c>
      <c r="M69" s="63">
        <f t="shared" si="12"/>
        <v>0</v>
      </c>
      <c r="N69" s="63">
        <f t="shared" si="13"/>
        <v>0</v>
      </c>
      <c r="O69" s="63">
        <f t="shared" si="14"/>
        <v>0</v>
      </c>
      <c r="P69" s="63">
        <f t="shared" si="15"/>
        <v>0</v>
      </c>
      <c r="Q69" s="63">
        <f t="shared" si="16"/>
        <v>0</v>
      </c>
      <c r="R69" s="63">
        <f t="shared" si="17"/>
        <v>0</v>
      </c>
      <c r="S69" s="64"/>
    </row>
    <row r="70" s="14" customFormat="1" ht="18" hidden="1" customHeight="1" spans="1:19">
      <c r="I70" s="91">
        <f t="shared" si="8"/>
        <v>0</v>
      </c>
      <c r="J70" s="56">
        <f t="shared" si="9"/>
        <v>0.272</v>
      </c>
      <c r="K70" s="63">
        <f t="shared" si="10"/>
        <v>0</v>
      </c>
      <c r="L70" s="63">
        <f t="shared" si="11"/>
        <v>0</v>
      </c>
      <c r="M70" s="63">
        <f t="shared" si="12"/>
        <v>0</v>
      </c>
      <c r="N70" s="63">
        <f t="shared" si="13"/>
        <v>0</v>
      </c>
      <c r="O70" s="63">
        <f t="shared" si="14"/>
        <v>0</v>
      </c>
      <c r="P70" s="63">
        <f t="shared" si="15"/>
        <v>0</v>
      </c>
      <c r="Q70" s="63">
        <f t="shared" si="16"/>
        <v>0</v>
      </c>
      <c r="R70" s="63">
        <f t="shared" si="17"/>
        <v>0</v>
      </c>
      <c r="S70" s="64"/>
    </row>
    <row r="71" s="14" customFormat="1" ht="18" customHeight="1" spans="1:19">
      <c r="I71" s="92" t="s">
        <v>100</v>
      </c>
      <c r="J71" s="93"/>
      <c r="K71" s="94">
        <f t="shared" ref="K71:Q71" si="18">SUM(K51:K70)</f>
        <v>2.36010880698439e-8</v>
      </c>
      <c r="L71" s="94">
        <f t="shared" si="18"/>
        <v>0.0277039837813724</v>
      </c>
      <c r="M71" s="94">
        <f t="shared" si="18"/>
        <v>0.85175931875684</v>
      </c>
      <c r="N71" s="94">
        <f t="shared" si="18"/>
        <v>0.12053351596919</v>
      </c>
      <c r="O71" s="94">
        <f t="shared" si="18"/>
        <v>3.15789150880455e-6</v>
      </c>
      <c r="P71" s="94">
        <f t="shared" si="18"/>
        <v>3.1761821393438e-17</v>
      </c>
      <c r="Q71" s="94">
        <f t="shared" si="18"/>
        <v>1.32772790805356e-35</v>
      </c>
      <c r="R71" s="94"/>
      <c r="S71" s="95">
        <f>SUM(K71:R71)</f>
        <v>1</v>
      </c>
    </row>
    <row r="72" ht="18" customHeight="1" spans="1:19">
      <c r="K72" s="53">
        <f>K50</f>
        <v>490</v>
      </c>
      <c r="L72" s="53">
        <f t="shared" ref="L72:R72" si="19">L50</f>
        <v>495</v>
      </c>
      <c r="M72" s="53">
        <f t="shared" si="19"/>
        <v>500</v>
      </c>
      <c r="N72" s="53">
        <f t="shared" si="19"/>
        <v>505</v>
      </c>
      <c r="O72" s="53">
        <f t="shared" si="19"/>
        <v>510</v>
      </c>
      <c r="P72" s="53">
        <f t="shared" si="19"/>
        <v>515</v>
      </c>
      <c r="Q72" s="53">
        <f t="shared" si="19"/>
        <v>520</v>
      </c>
      <c r="R72" s="53">
        <f t="shared" si="19"/>
        <v>525</v>
      </c>
    </row>
    <row r="73" ht="4.8" customHeight="1" spans="1:19">
      <c r="I73" s="96"/>
    </row>
    <row r="74" ht="4.8" customHeight="1" spans="1:19">
      <c r="I74" s="96"/>
    </row>
    <row r="75" ht="4.8" customHeight="1" spans="1:19">
      <c r="I75" s="96"/>
    </row>
    <row r="76" ht="26.4" customHeight="1" spans="1:19">
      <c r="A76" s="97" t="s">
        <v>101</v>
      </c>
      <c r="B76" s="98" t="s">
        <v>89</v>
      </c>
      <c r="C76" s="98" t="str">
        <f>C9</f>
        <v>芜湖（80mg）</v>
      </c>
      <c r="D76" s="98" t="str">
        <f t="shared" ref="D76:O76" si="20">D9</f>
        <v>芜湖（105mg）</v>
      </c>
      <c r="E76" s="98" t="str">
        <f t="shared" si="20"/>
        <v>芜湖（125mg）</v>
      </c>
      <c r="F76" s="98" t="str">
        <f t="shared" si="20"/>
        <v>厂家3</v>
      </c>
      <c r="G76" s="98" t="str">
        <f t="shared" si="20"/>
        <v>厂家4</v>
      </c>
      <c r="H76" s="98" t="str">
        <f t="shared" si="20"/>
        <v>厂家5</v>
      </c>
      <c r="I76" s="98" t="str">
        <f t="shared" si="20"/>
        <v>厂家6</v>
      </c>
      <c r="J76" s="98" t="str">
        <f t="shared" si="20"/>
        <v>厂家7</v>
      </c>
      <c r="K76" s="98" t="str">
        <f t="shared" si="20"/>
        <v>厂家8</v>
      </c>
      <c r="L76" s="98" t="str">
        <f t="shared" si="20"/>
        <v>厂家9</v>
      </c>
      <c r="M76" s="98" t="str">
        <f t="shared" si="20"/>
        <v>厂家10</v>
      </c>
      <c r="N76" s="98" t="str">
        <f t="shared" si="20"/>
        <v>厂家11</v>
      </c>
      <c r="O76" s="98" t="str">
        <f t="shared" si="20"/>
        <v>厂家12</v>
      </c>
    </row>
    <row r="77" ht="17.4" customHeight="1" spans="1:19">
      <c r="A77" s="97"/>
      <c r="B77" s="99">
        <f>C29</f>
        <v>0.253</v>
      </c>
      <c r="C77" s="100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</row>
    <row r="78" ht="17.4" customHeight="1" spans="1:19">
      <c r="A78" s="97"/>
      <c r="B78" s="99">
        <f t="shared" ref="B78:B96" si="21">C30</f>
        <v>0.254</v>
      </c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</row>
    <row r="79" ht="17.4" customHeight="1" spans="1:19">
      <c r="A79" s="97"/>
      <c r="B79" s="99">
        <f t="shared" si="21"/>
        <v>0.255</v>
      </c>
      <c r="C79" s="100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</row>
    <row r="80" ht="17.4" customHeight="1" spans="1:19">
      <c r="A80" s="97"/>
      <c r="B80" s="99">
        <f t="shared" si="21"/>
        <v>0.256</v>
      </c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</row>
    <row r="81" ht="17.4" customHeight="1" spans="1:15">
      <c r="A81" s="97"/>
      <c r="B81" s="99">
        <f t="shared" si="21"/>
        <v>0.257</v>
      </c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</row>
    <row r="82" ht="17.4" customHeight="1" spans="1:15">
      <c r="A82" s="97"/>
      <c r="B82" s="99">
        <f t="shared" si="21"/>
        <v>0.258</v>
      </c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</row>
    <row r="83" ht="17.4" customHeight="1" spans="1:15">
      <c r="A83" s="97"/>
      <c r="B83" s="99">
        <f t="shared" si="21"/>
        <v>0.259</v>
      </c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</row>
    <row r="84" ht="17.4" customHeight="1" spans="1:15">
      <c r="A84" s="97"/>
      <c r="B84" s="99">
        <f t="shared" si="21"/>
        <v>0.26</v>
      </c>
      <c r="C84" s="100">
        <v>0.0341140293136703</v>
      </c>
      <c r="D84" s="100"/>
      <c r="E84" s="101"/>
      <c r="F84" s="100"/>
      <c r="G84" s="100"/>
      <c r="H84" s="100"/>
      <c r="I84" s="100"/>
      <c r="J84" s="100"/>
      <c r="K84" s="100"/>
      <c r="L84" s="100"/>
      <c r="M84" s="100"/>
      <c r="N84" s="100"/>
      <c r="O84" s="100"/>
    </row>
    <row r="85" ht="17.4" customHeight="1" spans="1:15">
      <c r="A85" s="97"/>
      <c r="B85" s="99">
        <f t="shared" si="21"/>
        <v>0.261</v>
      </c>
      <c r="C85" s="100">
        <v>0.0586334878828709</v>
      </c>
      <c r="D85" s="100"/>
      <c r="E85" s="101"/>
      <c r="F85" s="100"/>
      <c r="G85" s="100"/>
      <c r="H85" s="100"/>
      <c r="I85" s="100"/>
      <c r="J85" s="100"/>
      <c r="K85" s="100"/>
      <c r="L85" s="100"/>
      <c r="M85" s="100"/>
      <c r="N85" s="100"/>
      <c r="O85" s="100"/>
    </row>
    <row r="86" ht="17.4" customHeight="1" spans="1:15">
      <c r="A86" s="97"/>
      <c r="B86" s="99">
        <f t="shared" si="21"/>
        <v>0.262</v>
      </c>
      <c r="C86" s="100">
        <v>0.0841203302499458</v>
      </c>
      <c r="D86" s="100"/>
      <c r="E86" s="101"/>
      <c r="F86" s="100"/>
      <c r="G86" s="100"/>
      <c r="H86" s="100"/>
      <c r="I86" s="100"/>
      <c r="J86" s="100"/>
      <c r="K86" s="100"/>
      <c r="L86" s="100"/>
      <c r="M86" s="100"/>
      <c r="N86" s="100"/>
      <c r="O86" s="100"/>
    </row>
    <row r="87" ht="17.4" customHeight="1" spans="1:15">
      <c r="A87" s="97"/>
      <c r="B87" s="99">
        <f t="shared" si="21"/>
        <v>0.263</v>
      </c>
      <c r="C87" s="100">
        <v>0.231516943533095</v>
      </c>
      <c r="D87" s="100"/>
      <c r="E87" s="101"/>
      <c r="F87" s="100"/>
      <c r="G87" s="100"/>
      <c r="H87" s="100"/>
      <c r="I87" s="100"/>
      <c r="J87" s="100"/>
      <c r="K87" s="100"/>
      <c r="L87" s="100"/>
      <c r="M87" s="100"/>
      <c r="N87" s="100"/>
      <c r="O87" s="100"/>
    </row>
    <row r="88" ht="17.4" customHeight="1" spans="1:15">
      <c r="A88" s="97"/>
      <c r="B88" s="99">
        <f t="shared" si="21"/>
        <v>0.264</v>
      </c>
      <c r="C88" s="100">
        <v>0.320133020125304</v>
      </c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</row>
    <row r="89" ht="17.4" customHeight="1" spans="1:15">
      <c r="A89" s="97"/>
      <c r="B89" s="99">
        <f t="shared" si="21"/>
        <v>0.265</v>
      </c>
      <c r="C89" s="100">
        <v>0.22052468114755</v>
      </c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  <c r="O89" s="100"/>
    </row>
    <row r="90" ht="17.4" customHeight="1" spans="1:15">
      <c r="A90" s="97"/>
      <c r="B90" s="99">
        <f t="shared" si="21"/>
        <v>0.266</v>
      </c>
      <c r="C90" s="100">
        <v>0.0509575077475633</v>
      </c>
      <c r="D90" s="100"/>
      <c r="E90" s="100"/>
      <c r="F90" s="100"/>
      <c r="G90" s="100"/>
      <c r="H90" s="100"/>
      <c r="I90" s="100"/>
      <c r="J90" s="100"/>
      <c r="K90" s="100"/>
      <c r="L90" s="100"/>
      <c r="M90" s="100"/>
      <c r="N90" s="100"/>
      <c r="O90" s="100"/>
    </row>
    <row r="91" ht="17.4" customHeight="1" spans="1:15">
      <c r="A91" s="97"/>
      <c r="B91" s="99">
        <f t="shared" si="21"/>
        <v>0.267</v>
      </c>
      <c r="C91" s="100">
        <v>0</v>
      </c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</row>
    <row r="92" ht="17.4" customHeight="1" spans="1:15">
      <c r="A92" s="97"/>
      <c r="B92" s="99">
        <f t="shared" si="21"/>
        <v>0.268</v>
      </c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</row>
    <row r="93" ht="17.4" customHeight="1" spans="1:15">
      <c r="A93" s="97"/>
      <c r="B93" s="99">
        <f t="shared" si="21"/>
        <v>0.269</v>
      </c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</row>
    <row r="94" ht="17.4" customHeight="1" spans="1:15">
      <c r="A94" s="97"/>
      <c r="B94" s="99">
        <f t="shared" si="21"/>
        <v>0.27</v>
      </c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</row>
    <row r="95" ht="17.4" customHeight="1" spans="1:15">
      <c r="A95" s="97"/>
      <c r="B95" s="99">
        <f t="shared" si="21"/>
        <v>0.271</v>
      </c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</row>
    <row r="96" ht="17.4" customHeight="1" spans="1:15">
      <c r="A96" s="97"/>
      <c r="B96" s="99">
        <f t="shared" si="21"/>
        <v>0.272</v>
      </c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</row>
  </sheetData>
  <sheetProtection formatCells="0" formatColumns="0" formatRows="0" insertRows="0" insertColumns="0" insertHyperlinks="0" deleteColumns="0" deleteRows="0" sort="0" autoFilter="0" pivotTables="0"/>
  <mergeCells count="23">
    <mergeCell ref="A1:F1"/>
    <mergeCell ref="G1:I1"/>
    <mergeCell ref="L1:O1"/>
    <mergeCell ref="Q10:U10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1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{1afc8cb5-e6c5-4992-b083-788cc463c2be}</x14:id>
        </ext>
      </extLst>
    </cfRule>
  </conditionalFormatting>
  <conditionalFormatting sqref="D30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{72426585-dabb-4a8d-9ebb-0e97a1b56228}</x14:id>
        </ext>
      </extLst>
    </cfRule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{2a532db1-f854-4a44-a83d-6a2296f6aaa5}</x14:id>
        </ext>
      </extLst>
    </cfRule>
  </conditionalFormatting>
  <conditionalFormatting sqref="D33:D44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{5e45cee5-ae45-4a89-8f53-e975a62e26e6}</x14:id>
        </ext>
      </extLst>
    </cfRule>
  </conditionalFormatting>
  <conditionalFormatting sqref="D43:D48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{bed5f2a0-793c-42bb-bb36-f2df10796d5c}</x14:id>
        </ext>
      </extLst>
    </cfRule>
    <cfRule type="dataBar" priority="1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{08a2f5a0-0124-46a4-8550-16e05cd09e51}</x14:id>
        </ext>
      </extLst>
    </cfRule>
  </conditionalFormatting>
  <conditionalFormatting sqref="D49:D5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{821f69de-2b0f-4219-8221-734f9f5b4bf1}</x14:id>
        </ext>
      </extLst>
    </cfRule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{d885fc85-f176-4f6c-9265-f9ca6d2c2c4b}</x14:id>
        </ext>
      </extLst>
    </cfRule>
  </conditionalFormatting>
  <conditionalFormatting sqref="D29:D32 D43:D48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{00c885fd-b823-4cdb-a55e-8c7c32a3be2e}</x14:id>
        </ext>
      </extLst>
    </cfRule>
  </conditionalFormatting>
  <conditionalFormatting sqref="K29:R48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{7a0fe5dd-d1cc-4c8a-aba7-ab5cb26fbcff}</x14:id>
        </ext>
      </extLst>
    </cfRule>
  </conditionalFormatting>
  <conditionalFormatting sqref="K29:Q39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{3a0ee684-25d1-4ebc-8ae9-954b9bf94733}</x14:id>
        </ext>
      </extLst>
    </cfRule>
  </conditionalFormatting>
  <conditionalFormatting sqref="M29:O30 O35 N31:O34 M31:M48">
    <cfRule type="dataBar" priority="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{1b572797-540f-4ab6-b0be-faf0abf64dbf}</x14:id>
        </ext>
      </extLst>
    </cfRule>
    <cfRule type="colorScale" priority="23">
      <colorScale>
        <cfvo type="percent" val="0"/>
        <cfvo type="percent" val="0"/>
        <color theme="0"/>
        <color theme="0"/>
      </colorScale>
    </cfRule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{34942a95-5d9e-478d-a076-92d59e11f0c4}</x14:id>
        </ext>
      </extLst>
    </cfRule>
    <cfRule type="dataBar" priority="25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{419c1cbc-7e7f-4168-b2cc-2aab04fa4f19}</x14:id>
        </ext>
      </extLst>
    </cfRule>
    <cfRule type="dataBar" priority="2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{40b50949-36be-4f65-bb20-9046220576e0}</x14:id>
        </ext>
      </extLst>
    </cfRule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{0c9500e9-4a42-45c2-9074-d309ed5507ff}</x14:id>
        </ext>
      </extLst>
    </cfRule>
  </conditionalFormatting>
  <conditionalFormatting sqref="P29:R35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{1943748d-d066-49ca-a916-351735dc7e92}</x14:id>
        </ext>
      </extLst>
    </cfRule>
    <cfRule type="colorScale" priority="16">
      <colorScale>
        <cfvo type="percent" val="0"/>
        <cfvo type="percent" val="0"/>
        <color theme="0"/>
        <color theme="0"/>
      </colorScale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{be0f0d5b-a280-49e1-aa5b-76131196e412}</x14:id>
        </ext>
      </extLst>
    </cfRule>
    <cfRule type="dataBar" priority="1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{5c21a085-222d-483f-a7de-f19d0801886c}</x14:id>
        </ext>
      </extLst>
    </cfRule>
    <cfRule type="dataBar" priority="19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{4cbe00f0-7d60-4405-8d39-e651d8ba0ac3}</x14:id>
        </ext>
      </extLst>
    </cfRule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{d4beec4f-e732-4627-b629-7f1dc9dc81b9}</x14:id>
        </ext>
      </extLst>
    </cfRule>
  </conditionalFormatting>
  <conditionalFormatting sqref="P36:R48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{1e67ab2b-b7a2-4fd4-8622-82a69c58da6c}</x14:id>
        </ext>
      </extLst>
    </cfRule>
    <cfRule type="colorScale" priority="29">
      <colorScale>
        <cfvo type="percent" val="0"/>
        <cfvo type="percent" val="0"/>
        <color theme="0"/>
        <color theme="0"/>
      </colorScale>
    </cfRule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{07933f5b-ce54-4a2d-99f2-0fbf846b0469}</x14:id>
        </ext>
      </extLst>
    </cfRule>
    <cfRule type="dataBar" priority="3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{24ca04ae-0734-414f-a40e-baf6defafb7a}</x14:id>
        </ext>
      </extLst>
    </cfRule>
    <cfRule type="dataBar" priority="3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{081acca7-21af-40da-9c7f-754e78cef8eb}</x14:id>
        </ext>
      </extLst>
    </cfRule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{86b3cefb-5bba-408c-bb17-027514fb52ae}</x14:id>
        </ext>
      </extLst>
    </cfRule>
  </conditionalFormatting>
  <conditionalFormatting sqref="C84:E9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{56ec189e-4c9d-47c1-8d9f-4bd637b4adb7}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fc8cb5-e6c5-4992-b083-788cc463c2b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72426585-dabb-4a8d-9ebb-0e97a1b562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532db1-f854-4a44-a83d-6a2296f6aa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5e45cee5-ae45-4a89-8f53-e975a62e26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bed5f2a0-793c-42bb-bb36-f2df10796d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8a2f5a0-0124-46a4-8550-16e05cd09e5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D43:D48</xm:sqref>
        </x14:conditionalFormatting>
        <x14:conditionalFormatting xmlns:xm="http://schemas.microsoft.com/office/excel/2006/main">
          <x14:cfRule type="dataBar" id="{821f69de-2b0f-4219-8221-734f9f5b4b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5fc85-f176-4f6c-9265-f9ca6d2c2c4b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00c885fd-b823-4cdb-a55e-8c7c32a3be2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D43:D48</xm:sqref>
        </x14:conditionalFormatting>
        <x14:conditionalFormatting xmlns:xm="http://schemas.microsoft.com/office/excel/2006/main">
          <x14:cfRule type="dataBar" id="{7a0fe5dd-d1cc-4c8a-aba7-ab5cb26fb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3a0ee684-25d1-4ebc-8ae9-954b9bf947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K29:Q39</xm:sqref>
        </x14:conditionalFormatting>
        <x14:conditionalFormatting xmlns:xm="http://schemas.microsoft.com/office/excel/2006/main">
          <x14:cfRule type="dataBar" id="{1b572797-540f-4ab6-b0be-faf0abf64d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34942a95-5d9e-478d-a076-92d59e11f0c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19c1cbc-7e7f-4168-b2cc-2aab04fa4f19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0b50949-36be-4f65-bb20-9046220576e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0c9500e9-4a42-45c2-9074-d309ed5507f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1943748d-d066-49ca-a916-351735dc7e9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be0f0d5b-a280-49e1-aa5b-76131196e412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5c21a085-222d-483f-a7de-f19d0801886c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cbe00f0-7d60-4405-8d39-e651d8ba0ac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d4beec4f-e732-4627-b629-7f1dc9dc81b9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1e67ab2b-b7a2-4fd4-8622-82a69c58da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07933f5b-ce54-4a2d-99f2-0fbf846b0469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4ca04ae-0734-414f-a40e-baf6defafb7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081acca7-21af-40da-9c7f-754e78cef8e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86b3cefb-5bba-408c-bb17-027514fb52a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56ec189e-4c9d-47c1-8d9f-4bd637b4ad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C84:E92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10"/>
  <sheetViews>
    <sheetView showGridLines="0" workbookViewId="0">
      <selection activeCell="F3" sqref="F3"/>
    </sheetView>
  </sheetViews>
  <sheetFormatPr defaultColWidth="8.89285714285714" defaultRowHeight="16.8" outlineLevelCol="3"/>
  <cols>
    <col min="1" max="4" width="19.6696428571429" style="7" customWidth="1"/>
    <col min="5" max="16384" width="8.89285714285714" style="7"/>
  </cols>
  <sheetData>
    <row r="1" ht="33.6" customHeight="1" spans="1:4">
      <c r="A1" s="8"/>
      <c r="B1" s="9" t="s">
        <v>74</v>
      </c>
      <c r="C1" s="9" t="s">
        <v>75</v>
      </c>
      <c r="D1" s="9" t="s">
        <v>76</v>
      </c>
    </row>
    <row r="2" ht="33.6" customHeight="1" spans="1:4">
      <c r="A2" s="10" t="s">
        <v>97</v>
      </c>
      <c r="B2" s="11">
        <v>0</v>
      </c>
      <c r="C2" s="11">
        <v>0</v>
      </c>
      <c r="D2" s="11">
        <v>-2.5</v>
      </c>
    </row>
    <row r="3" ht="33.6" customHeight="1" spans="1:4">
      <c r="A3" s="10" t="s">
        <v>106</v>
      </c>
      <c r="B3" s="11">
        <v>0</v>
      </c>
      <c r="C3" s="11">
        <v>-1</v>
      </c>
      <c r="D3" s="11">
        <v>-1.7</v>
      </c>
    </row>
    <row r="4" ht="33.6" customHeight="1" spans="1:4">
      <c r="A4" s="10" t="s">
        <v>118</v>
      </c>
      <c r="B4" s="11">
        <v>0</v>
      </c>
      <c r="C4" s="11">
        <v>-1.2</v>
      </c>
      <c r="D4" s="11">
        <v>-1.2</v>
      </c>
    </row>
    <row r="5" ht="33.6" customHeight="1" spans="1:4">
      <c r="A5" s="10" t="s">
        <v>140</v>
      </c>
      <c r="B5" s="11">
        <v>0</v>
      </c>
      <c r="C5" s="11">
        <v>-1.5</v>
      </c>
      <c r="D5" s="11">
        <v>-1.8</v>
      </c>
    </row>
    <row r="6" ht="33.6" customHeight="1" spans="1:4">
      <c r="A6" s="10" t="s">
        <v>150</v>
      </c>
      <c r="B6" s="12">
        <v>-4.1</v>
      </c>
      <c r="C6" s="12">
        <v>-2.59</v>
      </c>
      <c r="D6" s="12">
        <v>-5.49</v>
      </c>
    </row>
    <row r="7" s="6" customFormat="1" ht="33.6" customHeight="1" spans="1:4">
      <c r="A7" s="10" t="s">
        <v>161</v>
      </c>
      <c r="B7" s="12">
        <v>-4</v>
      </c>
      <c r="C7" s="12">
        <v>-2.23</v>
      </c>
      <c r="D7" s="12" t="s">
        <v>182</v>
      </c>
    </row>
    <row r="8" s="6" customFormat="1" ht="33.6" customHeight="1" spans="1:4">
      <c r="A8" s="10" t="s">
        <v>173</v>
      </c>
      <c r="B8" s="12">
        <v>-2.5</v>
      </c>
      <c r="C8" s="12">
        <v>-1.54</v>
      </c>
      <c r="D8" s="12" t="s">
        <v>182</v>
      </c>
    </row>
    <row r="9" s="6" customFormat="1" ht="33.6" customHeight="1" spans="1:4">
      <c r="A9" s="10" t="s">
        <v>177</v>
      </c>
      <c r="B9" s="12">
        <v>-5.7</v>
      </c>
      <c r="C9" s="12">
        <v>-4.4</v>
      </c>
      <c r="D9" s="12" t="s">
        <v>182</v>
      </c>
    </row>
    <row r="10" s="6" customFormat="1" ht="33.6" customHeight="1" spans="1:4">
      <c r="A10" s="10" t="s">
        <v>181</v>
      </c>
      <c r="B10" s="12">
        <v>-6.2</v>
      </c>
      <c r="C10" s="12">
        <v>-4.8</v>
      </c>
      <c r="D10" s="12" t="s">
        <v>182</v>
      </c>
    </row>
  </sheetData>
  <pageMargins left="0.7" right="0.7" top="0.75" bottom="0.75" header="0.3" footer="0.3"/>
  <pageSetup paperSize="9" orientation="portrait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18"/>
  <sheetViews>
    <sheetView showGridLines="0" workbookViewId="0">
      <selection activeCell="B18" sqref="B18"/>
    </sheetView>
  </sheetViews>
  <sheetFormatPr defaultColWidth="8.89285714285714" defaultRowHeight="16.8" outlineLevelCol="3"/>
  <cols>
    <col min="1" max="1" width="8.89285714285714" style="1"/>
    <col min="2" max="2" width="64" style="1" customWidth="1"/>
    <col min="3" max="3" width="8.89285714285714" style="1"/>
    <col min="4" max="4" width="17.7767857142857" style="1" customWidth="1"/>
    <col min="5" max="16384" width="8.89285714285714" style="1"/>
  </cols>
  <sheetData>
    <row r="1" ht="24.6" customHeight="1" spans="1:4">
      <c r="A1" s="2" t="s">
        <v>183</v>
      </c>
      <c r="B1" s="2" t="s">
        <v>184</v>
      </c>
      <c r="C1" s="2" t="s">
        <v>185</v>
      </c>
      <c r="D1" s="2" t="s">
        <v>186</v>
      </c>
    </row>
    <row r="2" ht="72.6" hidden="1" customHeight="1" spans="1:4">
      <c r="A2" s="3">
        <v>1</v>
      </c>
      <c r="B2" s="4" t="s">
        <v>187</v>
      </c>
      <c r="C2" s="3" t="s">
        <v>188</v>
      </c>
      <c r="D2" s="3" t="s">
        <v>189</v>
      </c>
    </row>
    <row r="3" ht="72.6" hidden="1" customHeight="1" spans="1:4">
      <c r="A3" s="3">
        <v>2</v>
      </c>
      <c r="B3" s="4" t="s">
        <v>190</v>
      </c>
      <c r="C3" s="3" t="s">
        <v>188</v>
      </c>
      <c r="D3" s="3" t="s">
        <v>191</v>
      </c>
    </row>
    <row r="4" ht="72.6" hidden="1" customHeight="1" spans="1:4">
      <c r="A4" s="3">
        <v>3</v>
      </c>
      <c r="B4" s="4" t="s">
        <v>192</v>
      </c>
      <c r="C4" s="3" t="s">
        <v>188</v>
      </c>
      <c r="D4" s="3" t="s">
        <v>193</v>
      </c>
    </row>
    <row r="5" ht="72.6" hidden="1" customHeight="1" spans="1:4">
      <c r="A5" s="3">
        <v>4</v>
      </c>
      <c r="B5" s="5" t="s">
        <v>194</v>
      </c>
      <c r="C5" s="3" t="s">
        <v>188</v>
      </c>
      <c r="D5" s="3" t="s">
        <v>195</v>
      </c>
    </row>
    <row r="6" ht="72.6" hidden="1" customHeight="1" spans="1:4">
      <c r="A6" s="3">
        <v>5</v>
      </c>
      <c r="B6" s="4" t="s">
        <v>196</v>
      </c>
      <c r="C6" s="3" t="s">
        <v>188</v>
      </c>
      <c r="D6" s="3" t="s">
        <v>197</v>
      </c>
    </row>
    <row r="7" ht="72.6" hidden="1" customHeight="1" spans="1:4">
      <c r="A7" s="3">
        <v>6</v>
      </c>
      <c r="B7" s="4" t="s">
        <v>198</v>
      </c>
      <c r="C7" s="3" t="s">
        <v>188</v>
      </c>
      <c r="D7" s="3" t="s">
        <v>199</v>
      </c>
    </row>
    <row r="8" ht="72.6" hidden="1" customHeight="1" spans="1:4">
      <c r="A8" s="3">
        <v>7</v>
      </c>
      <c r="B8" s="4" t="s">
        <v>200</v>
      </c>
      <c r="C8" s="3" t="s">
        <v>188</v>
      </c>
      <c r="D8" s="3" t="s">
        <v>201</v>
      </c>
    </row>
    <row r="9" ht="72.6" hidden="1" customHeight="1" spans="1:4">
      <c r="A9" s="3">
        <v>8</v>
      </c>
      <c r="B9" s="4" t="s">
        <v>202</v>
      </c>
      <c r="C9" s="3" t="s">
        <v>188</v>
      </c>
      <c r="D9" s="3" t="s">
        <v>203</v>
      </c>
    </row>
    <row r="10" ht="72.6" hidden="1" customHeight="1" spans="1:4">
      <c r="A10" s="3">
        <v>9</v>
      </c>
      <c r="B10" s="4" t="s">
        <v>204</v>
      </c>
      <c r="C10" s="3" t="s">
        <v>188</v>
      </c>
      <c r="D10" s="3" t="s">
        <v>205</v>
      </c>
    </row>
    <row r="11" ht="72.6" hidden="1" customHeight="1" spans="1:4">
      <c r="A11" s="3">
        <v>10</v>
      </c>
      <c r="B11" s="4" t="s">
        <v>206</v>
      </c>
      <c r="C11" s="3" t="s">
        <v>188</v>
      </c>
      <c r="D11" s="3" t="s">
        <v>207</v>
      </c>
    </row>
    <row r="12" ht="72.6" hidden="1" customHeight="1" spans="1:4">
      <c r="A12" s="3">
        <v>11</v>
      </c>
      <c r="B12" s="4" t="s">
        <v>208</v>
      </c>
      <c r="C12" s="3" t="s">
        <v>188</v>
      </c>
      <c r="D12" s="3" t="s">
        <v>209</v>
      </c>
    </row>
    <row r="13" ht="72.6" hidden="1" customHeight="1" spans="1:4">
      <c r="A13" s="3">
        <v>12</v>
      </c>
      <c r="B13" s="4" t="s">
        <v>210</v>
      </c>
      <c r="C13" s="3" t="s">
        <v>188</v>
      </c>
      <c r="D13" s="3" t="s">
        <v>211</v>
      </c>
    </row>
    <row r="14" ht="92.4" hidden="1" customHeight="1" spans="1:4">
      <c r="A14" s="3">
        <v>13</v>
      </c>
      <c r="B14" s="4" t="s">
        <v>212</v>
      </c>
      <c r="C14" s="3" t="s">
        <v>188</v>
      </c>
      <c r="D14" s="3" t="s">
        <v>213</v>
      </c>
    </row>
    <row r="15" ht="92.4" hidden="1" customHeight="1" spans="1:4">
      <c r="A15" s="3">
        <v>14</v>
      </c>
      <c r="B15" s="4" t="s">
        <v>214</v>
      </c>
      <c r="C15" s="3" t="s">
        <v>188</v>
      </c>
      <c r="D15" s="3" t="s">
        <v>215</v>
      </c>
    </row>
    <row r="16" ht="165" hidden="1" customHeight="1" spans="1:4">
      <c r="A16" s="3">
        <v>15</v>
      </c>
      <c r="B16" s="4" t="s">
        <v>216</v>
      </c>
      <c r="C16" s="3" t="s">
        <v>188</v>
      </c>
      <c r="D16" s="3" t="s">
        <v>217</v>
      </c>
    </row>
    <row r="17" ht="117.6" customHeight="1" spans="1:4">
      <c r="A17" s="3">
        <v>16</v>
      </c>
      <c r="B17" s="4" t="s">
        <v>218</v>
      </c>
      <c r="C17" s="3" t="s">
        <v>188</v>
      </c>
      <c r="D17" s="3" t="s">
        <v>219</v>
      </c>
    </row>
    <row r="18" ht="101.4" customHeight="1" spans="1:4">
      <c r="A18" s="3">
        <v>17</v>
      </c>
      <c r="B18" s="4" t="s">
        <v>220</v>
      </c>
      <c r="C18" s="3" t="s">
        <v>188</v>
      </c>
      <c r="D18" s="3" t="s">
        <v>221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NT10-72GDF</vt:lpstr>
      <vt:lpstr>NT10-78GDF</vt:lpstr>
      <vt:lpstr>NT12R-66GDF</vt:lpstr>
      <vt:lpstr>NT12R-66GDF (2.0)</vt:lpstr>
      <vt:lpstr>NT12-66GDF</vt:lpstr>
      <vt:lpstr>NT12R-78GDF </vt:lpstr>
      <vt:lpstr>NT12R-48GDF</vt:lpstr>
      <vt:lpstr>NT12R-48BGDF</vt:lpstr>
      <vt:lpstr>NT12R-54GDF</vt:lpstr>
      <vt:lpstr>NT12R-54BGDF</vt:lpstr>
      <vt:lpstr>标板基准</vt:lpstr>
      <vt:lpstr>更改履历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静水流深</dc:creator>
  <cp:lastModifiedBy>猪噜噜的梦幻记</cp:lastModifiedBy>
  <dcterms:created xsi:type="dcterms:W3CDTF">2015-06-06T02:19:00Z</dcterms:created>
  <dcterms:modified xsi:type="dcterms:W3CDTF">2026-05-06T17:34:57Z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3DAC44985D0E4C95973E5DB63C72BFA4_13</vt:lpwstr>
  </property>
  <property fmtid="{D5CDD505-2E9C-101B-9397-08002B2CF9AE}" pid="3" name="KSOProductBuildVer">
    <vt:lpwstr>2052-12.1.25867.25867</vt:lpwstr>
  </property>
  <property fmtid="{D5CDD505-2E9C-101B-9397-08002B2CF9AE}" pid="4" name="CalculationRule">
    <vt:i4>0</vt:i4>
  </property>
</Properties>
</file>