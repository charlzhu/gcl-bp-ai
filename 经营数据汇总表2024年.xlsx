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 activeTab="1"/>
  </bookViews>
  <sheets>
    <sheet name="2024" sheetId="1" r:id="rId1"/>
    <sheet name="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Q9" authorId="0">
      <text>
        <r>
          <rPr>
            <b/>
            <sz val="9"/>
            <rFont val="宋体"/>
            <charset val="134"/>
          </rPr>
          <t>剔除合肥委外471.873MW</t>
        </r>
      </text>
    </comment>
    <comment ref="K11" authorId="0">
      <text>
        <r>
          <rPr>
            <b/>
            <sz val="9"/>
            <rFont val="宋体"/>
            <charset val="134"/>
          </rPr>
          <t>含过账至能科的315.89MW</t>
        </r>
      </text>
    </comment>
    <comment ref="Q11" authorId="0">
      <text>
        <r>
          <rPr>
            <b/>
            <sz val="9"/>
            <rFont val="宋体"/>
            <charset val="134"/>
          </rPr>
          <t>委外阜宁168.9MW；委外晶飞3.9MW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I27" authorId="0">
      <text>
        <r>
          <rPr>
            <b/>
            <sz val="9"/>
            <rFont val="宋体"/>
            <charset val="134"/>
          </rPr>
          <t>剔除合肥协鑫光能过账315.89MW</t>
        </r>
      </text>
    </comment>
    <comment ref="J27" authorId="0">
      <text>
        <r>
          <rPr>
            <b/>
            <sz val="9"/>
            <rFont val="宋体"/>
            <charset val="134"/>
          </rPr>
          <t>剔除合肥协鑫光能过账315.88MW</t>
        </r>
        <r>
          <rPr>
            <sz val="9"/>
            <rFont val="宋体"/>
            <charset val="134"/>
          </rPr>
          <t xml:space="preserve">
</t>
        </r>
      </text>
    </comment>
    <comment ref="G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剔除32.66MW内部交易（阜宁过账合肥）</t>
        </r>
      </text>
    </comment>
    <comment ref="H28" authorId="0">
      <text>
        <r>
          <rPr>
            <b/>
            <sz val="9"/>
            <rFont val="宋体"/>
            <charset val="134"/>
          </rPr>
          <t>作者:
剔除47MW内部交易（阜宁过账合肥）</t>
        </r>
        <r>
          <rPr>
            <sz val="9"/>
            <rFont val="宋体"/>
            <charset val="134"/>
          </rPr>
          <t xml:space="preserve">
</t>
        </r>
      </text>
    </comment>
    <comment ref="I28" authorId="0">
      <text>
        <r>
          <rPr>
            <b/>
            <sz val="9"/>
            <rFont val="宋体"/>
            <charset val="134"/>
          </rPr>
          <t>剔除公司间81.95MW</t>
        </r>
      </text>
    </comment>
    <comment ref="J28" authorId="0">
      <text>
        <r>
          <rPr>
            <b/>
            <sz val="9"/>
            <rFont val="宋体"/>
            <charset val="134"/>
          </rPr>
          <t>吴艳:剔除公司间24.52MW</t>
        </r>
      </text>
    </comment>
    <comment ref="K28" authorId="0">
      <text>
        <r>
          <rPr>
            <b/>
            <sz val="9"/>
            <rFont val="宋体"/>
            <charset val="134"/>
          </rPr>
          <t>刘莹莹：剔除公司间交易11.16MW</t>
        </r>
      </text>
    </comment>
    <comment ref="O28" authorId="0">
      <text>
        <r>
          <rPr>
            <b/>
            <sz val="9"/>
            <rFont val="宋体"/>
            <charset val="134"/>
          </rPr>
          <t>剔除合肥委外471.873MW</t>
        </r>
      </text>
    </comment>
  </commentList>
</comments>
</file>

<file path=xl/sharedStrings.xml><?xml version="1.0" encoding="utf-8"?>
<sst xmlns="http://schemas.openxmlformats.org/spreadsheetml/2006/main" count="121" uniqueCount="63">
  <si>
    <t>业务模块</t>
  </si>
  <si>
    <t>项目</t>
  </si>
  <si>
    <t>基地</t>
  </si>
  <si>
    <t xml:space="preserve">单位 </t>
  </si>
  <si>
    <t>2024年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</si>
  <si>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</si>
  <si>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</si>
  <si>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</si>
  <si>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</si>
  <si>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</si>
  <si>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</si>
  <si>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</si>
  <si>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</si>
  <si>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</si>
  <si>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</si>
  <si>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</si>
  <si>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</si>
  <si>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组件事业部</t>
  </si>
  <si>
    <t>产出</t>
  </si>
  <si>
    <t>合肥</t>
  </si>
  <si>
    <t>MW</t>
  </si>
  <si>
    <t>委外加工-合肥</t>
  </si>
  <si>
    <t>阜宁</t>
  </si>
  <si>
    <t>委外加工-阜宁</t>
  </si>
  <si>
    <t>合计</t>
  </si>
  <si>
    <t>发货</t>
  </si>
  <si>
    <r>
      <rPr>
        <sz val="8"/>
        <color theme="1"/>
        <rFont val="微软雅黑"/>
        <charset val="134"/>
      </rPr>
      <t xml:space="preserve">库存
</t>
    </r>
    <r>
      <rPr>
        <sz val="5"/>
        <color theme="1"/>
        <rFont val="微软雅黑"/>
        <charset val="134"/>
      </rPr>
      <t>（SAP数据）</t>
    </r>
  </si>
  <si>
    <t>/</t>
  </si>
  <si>
    <r>
      <rPr>
        <b/>
        <sz val="8"/>
        <color theme="1"/>
        <rFont val="微软雅黑"/>
        <charset val="134"/>
      </rPr>
      <t xml:space="preserve">合计
</t>
    </r>
    <r>
      <rPr>
        <b/>
        <sz val="6"/>
        <color theme="1"/>
        <rFont val="微软雅黑"/>
        <charset val="134"/>
      </rPr>
      <t>（SAP-数据 不含寄存）</t>
    </r>
  </si>
  <si>
    <t>类型</t>
  </si>
  <si>
    <t>事项</t>
  </si>
  <si>
    <t>单位</t>
  </si>
  <si>
    <t>月度产量目标</t>
  </si>
  <si>
    <t>合肥目标</t>
  </si>
  <si>
    <t>阜宁目标</t>
  </si>
  <si>
    <t>综合计划书产出目标</t>
  </si>
  <si>
    <t>实际产出(含委外国内+海外)</t>
  </si>
  <si>
    <t>实际产量(不含委外)</t>
  </si>
  <si>
    <t>合肥产量</t>
  </si>
  <si>
    <t>合肥一厂</t>
  </si>
  <si>
    <t>合肥二厂</t>
  </si>
  <si>
    <t>合肥三厂</t>
  </si>
  <si>
    <t>阜宁产量</t>
  </si>
  <si>
    <t>阜宁一厂</t>
  </si>
  <si>
    <t>阜宁二厂</t>
  </si>
  <si>
    <t>海外OEM代工厂</t>
  </si>
  <si>
    <t>国内OEM代工厂</t>
  </si>
  <si>
    <t>委外加工-合肥主体</t>
  </si>
  <si>
    <t>委外加工-阜宁主体</t>
  </si>
  <si>
    <t>委外加工-集成主体（不含海外OEM）</t>
  </si>
  <si>
    <t>产量版型结构</t>
  </si>
  <si>
    <t>事业部产量-N型</t>
  </si>
  <si>
    <t>事业部产量-P型</t>
  </si>
  <si>
    <t>阜宁基地-N型</t>
  </si>
  <si>
    <t>阜宁基地-P型</t>
  </si>
  <si>
    <t>合肥基地-N型</t>
  </si>
  <si>
    <t>合肥基地-P型</t>
  </si>
  <si>
    <t>实物发货</t>
  </si>
  <si>
    <t>实际发出量</t>
  </si>
  <si>
    <t>合肥发货</t>
  </si>
  <si>
    <t>阜宁发货</t>
  </si>
  <si>
    <t>全球营销中心（包含绿能等）</t>
  </si>
  <si>
    <t>组件事业部（剔除内部交易，含绿能等）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</si>
</sst>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\-yy;@"/>
    <numFmt numFmtId="177" formatCode="0.0"/>
  </numFmts>
  <fonts count="32">
    <font>
      <sz val="11"/>
      <color theme="1"/>
      <name val="等线"/>
      <charset val="134"/>
      <scheme val="minor"/>
    </font>
    <font>
      <b/>
      <sz val="8"/>
      <color theme="0"/>
      <name val="微软雅黑"/>
      <charset val="134"/>
    </font>
    <font>
      <sz val="8"/>
      <color theme="0"/>
      <name val="微软雅黑"/>
      <charset val="134"/>
    </font>
    <font>
      <sz val="8"/>
      <name val="微软雅黑"/>
      <charset val="134"/>
    </font>
    <font>
      <sz val="11"/>
      <color theme="1"/>
      <name val="微软雅黑"/>
      <charset val="134"/>
    </font>
    <font>
      <sz val="9"/>
      <color theme="0"/>
      <name val="微软雅黑"/>
      <charset val="134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5"/>
      <color theme="1"/>
      <name val="微软雅黑"/>
      <charset val="134"/>
    </font>
    <font>
      <b/>
      <sz val="6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ashed">
        <color theme="0" tint="-0.349986266670736"/>
      </left>
      <right style="dashed">
        <color theme="0" tint="-0.349986266670736"/>
      </right>
      <top style="dashed">
        <color theme="0" tint="-0.349986266670736"/>
      </top>
      <bottom style="dashed">
        <color theme="0" tint="-0.349986266670736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3" fillId="0" borderId="1" xfId="0" applyNumberFormat="1" applyFont="1" applyFill="1" applyBorder="1" applyAlignment="1">
      <alignment horizontal="center" vertical="center"/>
    </xf>
    <xf numFmtId="43" fontId="3" fillId="3" borderId="1" xfId="0" applyNumberFormat="1" applyFont="1" applyFill="1" applyBorder="1" applyAlignment="1">
      <alignment horizontal="right" vertical="center"/>
    </xf>
    <xf numFmtId="43" fontId="3" fillId="3" borderId="1" xfId="0" applyNumberFormat="1" applyFont="1" applyFill="1" applyBorder="1" applyAlignment="1">
      <alignment horizontal="center" vertical="center"/>
    </xf>
    <xf numFmtId="43" fontId="3" fillId="3" borderId="1" xfId="0" applyNumberFormat="1" applyFont="1" applyFill="1" applyBorder="1" applyAlignment="1">
      <alignment vertical="center"/>
    </xf>
    <xf numFmtId="43" fontId="3" fillId="0" borderId="1" xfId="0" applyNumberFormat="1" applyFont="1" applyFill="1" applyBorder="1" applyAlignment="1">
      <alignment horizontal="right" vertical="center"/>
    </xf>
    <xf numFmtId="43" fontId="3" fillId="0" borderId="1" xfId="0" applyNumberFormat="1" applyFont="1" applyFill="1" applyBorder="1" applyAlignment="1">
      <alignment vertical="center"/>
    </xf>
    <xf numFmtId="43" fontId="3" fillId="3" borderId="1" xfId="0" applyNumberFormat="1" applyFont="1" applyFill="1" applyBorder="1" applyAlignment="1">
      <alignment horizontal="left" vertical="center"/>
    </xf>
    <xf numFmtId="43" fontId="3" fillId="4" borderId="1" xfId="0" applyNumberFormat="1" applyFont="1" applyFill="1" applyBorder="1" applyAlignment="1">
      <alignment horizontal="right" vertical="center"/>
    </xf>
    <xf numFmtId="43" fontId="3" fillId="4" borderId="1" xfId="0" applyNumberFormat="1" applyFont="1" applyFill="1" applyBorder="1" applyAlignment="1">
      <alignment horizontal="center" vertical="center"/>
    </xf>
    <xf numFmtId="43" fontId="3" fillId="4" borderId="1" xfId="0" applyNumberFormat="1" applyFont="1" applyFill="1" applyBorder="1" applyAlignment="1">
      <alignment vertical="center"/>
    </xf>
    <xf numFmtId="43" fontId="3" fillId="3" borderId="1" xfId="0" applyNumberFormat="1" applyFont="1" applyFill="1" applyBorder="1" applyAlignment="1">
      <alignment horizontal="right" vertical="center" wrapText="1"/>
    </xf>
    <xf numFmtId="43" fontId="3" fillId="0" borderId="1" xfId="0" applyNumberFormat="1" applyFont="1" applyFill="1" applyBorder="1" applyAlignment="1">
      <alignment horizontal="left" vertical="center"/>
    </xf>
    <xf numFmtId="43" fontId="3" fillId="4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6" fillId="0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" fontId="6" fillId="6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/>
    </xf>
    <xf numFmtId="177" fontId="6" fillId="6" borderId="4" xfId="0" applyNumberFormat="1" applyFont="1" applyFill="1" applyBorder="1" applyAlignment="1">
      <alignment horizontal="center" vertical="center"/>
    </xf>
    <xf numFmtId="177" fontId="6" fillId="0" borderId="4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workbookViewId="0">
      <selection activeCell="E7" sqref="E7"/>
    </sheetView>
  </sheetViews>
  <sheetFormatPr defaultColWidth="9" defaultRowHeight="16.5"/>
  <cols>
    <col min="1" max="2" width="8.66666666666667" style="17"/>
    <col min="3" max="3" width="11.4166666666667" style="17" customWidth="1"/>
    <col min="4" max="18" width="8.58333333333333" style="17" customWidth="1"/>
    <col min="19" max="16384" width="8.66666666666667" style="17"/>
  </cols>
  <sheetData>
    <row r="1" spans="1:17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</row>
    <row r="2" spans="1:17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ht="20" customHeight="1" spans="1:17">
      <c r="A3" s="20" t="s">
        <v>17</v>
      </c>
      <c r="B3" s="20" t="s">
        <v>18</v>
      </c>
      <c r="C3" s="21" t="s">
        <v>19</v>
      </c>
      <c r="D3" s="21" t="s">
        <v>20</v>
      </c>
      <c r="E3" s="22">
        <f>SUM(F3:Q3)</f>
        <v>14136.22338</v>
      </c>
      <c r="F3" s="23">
        <v>1084.174</v>
      </c>
      <c r="G3" s="23">
        <v>640.519554999923</v>
      </c>
      <c r="H3" s="23">
        <v>1130.48</v>
      </c>
      <c r="I3" s="23">
        <v>1544.77006499996</v>
      </c>
      <c r="J3" s="23">
        <v>1411.17194</v>
      </c>
      <c r="K3" s="23">
        <v>905.97975</v>
      </c>
      <c r="L3" s="23">
        <v>875.629485</v>
      </c>
      <c r="M3" s="23">
        <v>1125.64530400002</v>
      </c>
      <c r="N3" s="23">
        <v>1293.82191000004</v>
      </c>
      <c r="O3" s="23">
        <v>1431.49946000003</v>
      </c>
      <c r="P3" s="23">
        <v>1340.55142200001</v>
      </c>
      <c r="Q3" s="28">
        <v>1351.98048900001</v>
      </c>
    </row>
    <row r="4" ht="20" customHeight="1" spans="1:17">
      <c r="A4" s="20"/>
      <c r="B4" s="20"/>
      <c r="C4" s="21" t="s">
        <v>21</v>
      </c>
      <c r="D4" s="21" t="s">
        <v>20</v>
      </c>
      <c r="E4" s="22">
        <f t="shared" ref="E4:E6" si="0">SUM(F4:Q4)</f>
        <v>79.312605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0.976475</v>
      </c>
      <c r="O4" s="23">
        <v>25.70327</v>
      </c>
      <c r="P4" s="23">
        <v>9.141015</v>
      </c>
      <c r="Q4" s="28">
        <v>43.491845</v>
      </c>
    </row>
    <row r="5" ht="20" customHeight="1" spans="1:17">
      <c r="A5" s="20"/>
      <c r="B5" s="21"/>
      <c r="C5" s="21" t="s">
        <v>22</v>
      </c>
      <c r="D5" s="21" t="s">
        <v>20</v>
      </c>
      <c r="E5" s="22">
        <f t="shared" si="0"/>
        <v>7303.08778000026</v>
      </c>
      <c r="F5" s="23">
        <v>388.019290000006</v>
      </c>
      <c r="G5" s="23">
        <v>202.45938</v>
      </c>
      <c r="H5" s="23">
        <v>520.895254999996</v>
      </c>
      <c r="I5" s="23">
        <v>829.40921</v>
      </c>
      <c r="J5" s="23">
        <v>780.48512</v>
      </c>
      <c r="K5" s="23">
        <v>475.84969</v>
      </c>
      <c r="L5" s="23">
        <v>507.27625</v>
      </c>
      <c r="M5" s="23">
        <v>513.705415000072</v>
      </c>
      <c r="N5" s="23">
        <v>714.147540000037</v>
      </c>
      <c r="O5" s="23">
        <v>910.6515199999</v>
      </c>
      <c r="P5" s="23">
        <v>707.159775000012</v>
      </c>
      <c r="Q5" s="28">
        <v>753.029335000242</v>
      </c>
    </row>
    <row r="6" ht="20" customHeight="1" spans="1:17">
      <c r="A6" s="20"/>
      <c r="B6" s="21"/>
      <c r="C6" s="21" t="s">
        <v>23</v>
      </c>
      <c r="D6" s="21" t="s">
        <v>20</v>
      </c>
      <c r="E6" s="22">
        <f t="shared" si="0"/>
        <v>37.77953</v>
      </c>
      <c r="F6" s="23">
        <v>8.2</v>
      </c>
      <c r="G6" s="23">
        <v>0</v>
      </c>
      <c r="H6" s="23">
        <v>0</v>
      </c>
      <c r="I6" s="23">
        <v>3.04668</v>
      </c>
      <c r="J6" s="23">
        <v>21.87157</v>
      </c>
      <c r="K6" s="23">
        <v>4.66128</v>
      </c>
      <c r="L6" s="23">
        <v>0</v>
      </c>
      <c r="M6" s="23"/>
      <c r="N6" s="23"/>
      <c r="O6" s="23"/>
      <c r="P6" s="23"/>
      <c r="Q6" s="28"/>
    </row>
    <row r="7" ht="20" customHeight="1" spans="1:17">
      <c r="A7" s="20"/>
      <c r="B7" s="21"/>
      <c r="C7" s="24" t="s">
        <v>24</v>
      </c>
      <c r="D7" s="25" t="s">
        <v>20</v>
      </c>
      <c r="E7" s="26">
        <f>SUM(E3:E6)</f>
        <v>21556.4032950003</v>
      </c>
      <c r="F7" s="26">
        <f t="shared" ref="F7:L7" si="1">SUM(F3:F5)</f>
        <v>1472.19329000001</v>
      </c>
      <c r="G7" s="26">
        <f t="shared" si="1"/>
        <v>842.978934999923</v>
      </c>
      <c r="H7" s="26">
        <f t="shared" si="1"/>
        <v>1651.375255</v>
      </c>
      <c r="I7" s="26">
        <f t="shared" si="1"/>
        <v>2374.17927499996</v>
      </c>
      <c r="J7" s="26">
        <f t="shared" si="1"/>
        <v>2191.65706</v>
      </c>
      <c r="K7" s="26">
        <f t="shared" si="1"/>
        <v>1381.82944</v>
      </c>
      <c r="L7" s="26">
        <f t="shared" si="1"/>
        <v>1382.905735</v>
      </c>
      <c r="M7" s="26">
        <f>SUM(M3:M6)</f>
        <v>1639.35071900009</v>
      </c>
      <c r="N7" s="26">
        <f>SUM(N3:N6)</f>
        <v>2008.94592500008</v>
      </c>
      <c r="O7" s="26">
        <f>SUM(O3:O6)</f>
        <v>2367.85424999993</v>
      </c>
      <c r="P7" s="26">
        <f>SUM(P3:P6)</f>
        <v>2056.85221200002</v>
      </c>
      <c r="Q7" s="29">
        <f>SUM(Q3:Q6)</f>
        <v>2148.50166900025</v>
      </c>
    </row>
    <row r="8" ht="20" customHeight="1" spans="1:17">
      <c r="A8" s="20"/>
      <c r="B8" s="21" t="s">
        <v>25</v>
      </c>
      <c r="C8" s="21" t="s">
        <v>19</v>
      </c>
      <c r="D8" s="21" t="s">
        <v>20</v>
      </c>
      <c r="E8" s="22">
        <f>SUM(F8:Q8)</f>
        <v>14643.4492530001</v>
      </c>
      <c r="F8" s="23">
        <v>1000.16139500016</v>
      </c>
      <c r="G8" s="23">
        <v>531.927469999959</v>
      </c>
      <c r="H8" s="23">
        <v>825.38</v>
      </c>
      <c r="I8" s="23">
        <v>1548.57</v>
      </c>
      <c r="J8" s="23">
        <v>1562.42787000001</v>
      </c>
      <c r="K8" s="23">
        <v>1155.2011</v>
      </c>
      <c r="L8" s="23">
        <v>986.718635</v>
      </c>
      <c r="M8" s="23">
        <v>1303.682211</v>
      </c>
      <c r="N8" s="23">
        <v>1381.146282</v>
      </c>
      <c r="O8" s="23">
        <v>1256.9018</v>
      </c>
      <c r="P8" s="23">
        <v>1692.321127</v>
      </c>
      <c r="Q8" s="28">
        <v>1399.011363</v>
      </c>
    </row>
    <row r="9" ht="20" customHeight="1" spans="1:17">
      <c r="A9" s="20"/>
      <c r="B9" s="21"/>
      <c r="C9" s="21" t="s">
        <v>22</v>
      </c>
      <c r="D9" s="21" t="s">
        <v>20</v>
      </c>
      <c r="E9" s="22">
        <f>SUM(F9:Q9)</f>
        <v>6721.30365999999</v>
      </c>
      <c r="F9" s="23">
        <v>444.099</v>
      </c>
      <c r="G9" s="23">
        <v>213.52999</v>
      </c>
      <c r="H9" s="23">
        <v>424.88</v>
      </c>
      <c r="I9" s="23">
        <v>627.317725000001</v>
      </c>
      <c r="J9" s="23">
        <v>800.4399</v>
      </c>
      <c r="K9" s="23">
        <v>782.639</v>
      </c>
      <c r="L9" s="23">
        <v>391.23567</v>
      </c>
      <c r="M9" s="23">
        <v>407.573855</v>
      </c>
      <c r="N9" s="23">
        <v>799.114515</v>
      </c>
      <c r="O9" s="23">
        <v>840.386674999986</v>
      </c>
      <c r="P9" s="23">
        <v>660.874105000002</v>
      </c>
      <c r="Q9" s="30">
        <v>329.213225</v>
      </c>
    </row>
    <row r="10" ht="20" customHeight="1" spans="1:17">
      <c r="A10" s="20"/>
      <c r="B10" s="21"/>
      <c r="C10" s="24" t="s">
        <v>24</v>
      </c>
      <c r="D10" s="25" t="s">
        <v>20</v>
      </c>
      <c r="E10" s="26">
        <f>SUM(E8:E9)</f>
        <v>21364.7529130001</v>
      </c>
      <c r="F10" s="26">
        <f t="shared" ref="F10:Q10" si="2">SUM(F8:F9)</f>
        <v>1444.26039500016</v>
      </c>
      <c r="G10" s="26">
        <f t="shared" si="2"/>
        <v>745.457459999959</v>
      </c>
      <c r="H10" s="26">
        <f t="shared" si="2"/>
        <v>1250.26</v>
      </c>
      <c r="I10" s="26">
        <f t="shared" si="2"/>
        <v>2175.887725</v>
      </c>
      <c r="J10" s="26">
        <f t="shared" si="2"/>
        <v>2362.86777000001</v>
      </c>
      <c r="K10" s="26">
        <f t="shared" si="2"/>
        <v>1937.8401</v>
      </c>
      <c r="L10" s="26">
        <f t="shared" si="2"/>
        <v>1377.954305</v>
      </c>
      <c r="M10" s="26">
        <f t="shared" si="2"/>
        <v>1711.256066</v>
      </c>
      <c r="N10" s="26">
        <f t="shared" si="2"/>
        <v>2180.260797</v>
      </c>
      <c r="O10" s="26">
        <f t="shared" si="2"/>
        <v>2097.28847499999</v>
      </c>
      <c r="P10" s="26">
        <f t="shared" si="2"/>
        <v>2353.195232</v>
      </c>
      <c r="Q10" s="29">
        <f t="shared" si="2"/>
        <v>1728.224588</v>
      </c>
    </row>
    <row r="11" ht="20" customHeight="1" spans="1:17">
      <c r="A11" s="20"/>
      <c r="B11" s="20" t="s">
        <v>26</v>
      </c>
      <c r="C11" s="21" t="s">
        <v>19</v>
      </c>
      <c r="D11" s="21" t="s">
        <v>20</v>
      </c>
      <c r="E11" s="22" t="s">
        <v>27</v>
      </c>
      <c r="F11" s="23">
        <v>406.330099999995</v>
      </c>
      <c r="G11" s="23">
        <v>519.1976</v>
      </c>
      <c r="H11" s="23">
        <v>826.58</v>
      </c>
      <c r="I11" s="23">
        <v>868.884775</v>
      </c>
      <c r="J11" s="23">
        <v>903.088490000014</v>
      </c>
      <c r="K11" s="23">
        <v>873.541940000004</v>
      </c>
      <c r="L11" s="23">
        <v>800.25555</v>
      </c>
      <c r="M11" s="23">
        <v>644.439158000003</v>
      </c>
      <c r="N11" s="23">
        <v>576.802146000001</v>
      </c>
      <c r="O11" s="23">
        <v>777.635331000001</v>
      </c>
      <c r="P11" s="23">
        <v>581.949576000001</v>
      </c>
      <c r="Q11" s="31">
        <v>750.664302</v>
      </c>
    </row>
    <row r="12" ht="20" customHeight="1" spans="1:17">
      <c r="A12" s="20"/>
      <c r="B12" s="20"/>
      <c r="C12" s="21" t="s">
        <v>22</v>
      </c>
      <c r="D12" s="21" t="s">
        <v>20</v>
      </c>
      <c r="E12" s="22" t="s">
        <v>27</v>
      </c>
      <c r="F12" s="23">
        <v>105.61214</v>
      </c>
      <c r="G12" s="23">
        <v>127.016</v>
      </c>
      <c r="H12" s="23">
        <v>220.984065</v>
      </c>
      <c r="I12" s="23">
        <v>397.57524</v>
      </c>
      <c r="J12" s="23">
        <v>352.154605</v>
      </c>
      <c r="K12" s="23">
        <v>223.98174</v>
      </c>
      <c r="L12" s="23">
        <v>315.43425</v>
      </c>
      <c r="M12" s="23">
        <v>411.34264</v>
      </c>
      <c r="N12" s="23">
        <v>321.92062</v>
      </c>
      <c r="O12" s="23">
        <v>397.33502</v>
      </c>
      <c r="P12" s="23">
        <v>284.593955</v>
      </c>
      <c r="Q12" s="28">
        <f>238.236355-168.9</f>
        <v>69.336355</v>
      </c>
    </row>
    <row r="13" ht="25" customHeight="1" spans="1:17">
      <c r="A13" s="20"/>
      <c r="B13" s="20"/>
      <c r="C13" s="27" t="s">
        <v>28</v>
      </c>
      <c r="D13" s="25" t="s">
        <v>20</v>
      </c>
      <c r="E13" s="26" t="s">
        <v>27</v>
      </c>
      <c r="F13" s="26">
        <f t="shared" ref="F13:Q13" si="3">SUM(F11:F12)</f>
        <v>511.942239999995</v>
      </c>
      <c r="G13" s="26">
        <f t="shared" si="3"/>
        <v>646.2136</v>
      </c>
      <c r="H13" s="26">
        <f t="shared" si="3"/>
        <v>1047.564065</v>
      </c>
      <c r="I13" s="26">
        <f t="shared" si="3"/>
        <v>1266.460015</v>
      </c>
      <c r="J13" s="26">
        <f t="shared" si="3"/>
        <v>1255.24309500001</v>
      </c>
      <c r="K13" s="26">
        <f t="shared" si="3"/>
        <v>1097.52368</v>
      </c>
      <c r="L13" s="26">
        <f t="shared" si="3"/>
        <v>1115.6898</v>
      </c>
      <c r="M13" s="26">
        <f t="shared" si="3"/>
        <v>1055.781798</v>
      </c>
      <c r="N13" s="26">
        <f t="shared" si="3"/>
        <v>898.722766000001</v>
      </c>
      <c r="O13" s="26">
        <f t="shared" si="3"/>
        <v>1174.970351</v>
      </c>
      <c r="P13" s="26">
        <f t="shared" si="3"/>
        <v>866.543531000001</v>
      </c>
      <c r="Q13" s="29">
        <f t="shared" si="3"/>
        <v>820.000657000001</v>
      </c>
    </row>
  </sheetData>
  <mergeCells count="21">
    <mergeCell ref="A1:A2"/>
    <mergeCell ref="A3:A13"/>
    <mergeCell ref="B1:B2"/>
    <mergeCell ref="B3:B7"/>
    <mergeCell ref="B8:B10"/>
    <mergeCell ref="B11:B1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topLeftCell="A13" workbookViewId="0">
      <selection activeCell="L34" sqref="L34"/>
    </sheetView>
  </sheetViews>
  <sheetFormatPr defaultColWidth="9" defaultRowHeight="14"/>
  <cols>
    <col min="2" max="2" width="16.6666666666667" customWidth="1"/>
  </cols>
  <sheetData>
    <row r="1" spans="1:15">
      <c r="A1" s="1" t="s">
        <v>29</v>
      </c>
      <c r="B1" s="2" t="s">
        <v>30</v>
      </c>
      <c r="C1" s="1" t="s">
        <v>31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15">
      <c r="A2" s="4"/>
      <c r="B2" s="5" t="s">
        <v>32</v>
      </c>
      <c r="C2" s="6" t="s">
        <v>20</v>
      </c>
      <c r="D2" s="7">
        <f>SUM(D3:D4)</f>
        <v>1450</v>
      </c>
      <c r="E2" s="7">
        <f t="shared" ref="E2:O2" si="0">SUM(E3:E4)</f>
        <v>900</v>
      </c>
      <c r="F2" s="7">
        <f t="shared" si="0"/>
        <v>1682</v>
      </c>
      <c r="G2" s="7">
        <f t="shared" si="0"/>
        <v>2200</v>
      </c>
      <c r="H2" s="7">
        <f t="shared" si="0"/>
        <v>2200</v>
      </c>
      <c r="I2" s="7">
        <f t="shared" si="0"/>
        <v>1500</v>
      </c>
      <c r="J2" s="7">
        <f t="shared" si="0"/>
        <v>1741</v>
      </c>
      <c r="K2" s="7">
        <f t="shared" si="0"/>
        <v>1700</v>
      </c>
      <c r="L2" s="7">
        <f t="shared" si="0"/>
        <v>2100</v>
      </c>
      <c r="M2" s="7">
        <f t="shared" si="0"/>
        <v>2300</v>
      </c>
      <c r="N2" s="7">
        <f t="shared" si="0"/>
        <v>2000</v>
      </c>
      <c r="O2" s="7">
        <f t="shared" si="0"/>
        <v>2100</v>
      </c>
    </row>
    <row r="3" spans="1:15">
      <c r="A3" s="4"/>
      <c r="B3" s="8" t="s">
        <v>33</v>
      </c>
      <c r="C3" s="4" t="s">
        <v>20</v>
      </c>
      <c r="D3" s="9">
        <v>1000</v>
      </c>
      <c r="E3" s="9">
        <v>630</v>
      </c>
      <c r="F3" s="9">
        <v>1082</v>
      </c>
      <c r="G3" s="9">
        <v>1400</v>
      </c>
      <c r="H3" s="9">
        <v>1400</v>
      </c>
      <c r="I3" s="9">
        <v>1000</v>
      </c>
      <c r="J3" s="9">
        <f>J5-J4</f>
        <v>1241</v>
      </c>
      <c r="K3" s="9">
        <v>1150</v>
      </c>
      <c r="L3" s="9">
        <v>1300</v>
      </c>
      <c r="M3" s="9">
        <v>1400</v>
      </c>
      <c r="N3" s="9">
        <v>1300</v>
      </c>
      <c r="O3" s="9">
        <v>1350</v>
      </c>
    </row>
    <row r="4" spans="1:15">
      <c r="A4" s="4"/>
      <c r="B4" s="8" t="s">
        <v>34</v>
      </c>
      <c r="C4" s="4" t="s">
        <v>20</v>
      </c>
      <c r="D4" s="9">
        <v>450</v>
      </c>
      <c r="E4" s="9">
        <v>270</v>
      </c>
      <c r="F4" s="9">
        <v>600</v>
      </c>
      <c r="G4" s="9">
        <v>800</v>
      </c>
      <c r="H4" s="9">
        <v>800</v>
      </c>
      <c r="I4" s="9">
        <v>500</v>
      </c>
      <c r="J4" s="9">
        <v>500</v>
      </c>
      <c r="K4" s="9">
        <v>550</v>
      </c>
      <c r="L4" s="9">
        <v>800</v>
      </c>
      <c r="M4" s="9">
        <v>900</v>
      </c>
      <c r="N4" s="9">
        <v>700</v>
      </c>
      <c r="O4" s="9">
        <v>750</v>
      </c>
    </row>
    <row r="5" spans="1:15">
      <c r="A5" s="4"/>
      <c r="B5" s="8" t="s">
        <v>35</v>
      </c>
      <c r="C5" s="4" t="s">
        <v>20</v>
      </c>
      <c r="D5" s="9">
        <v>1450</v>
      </c>
      <c r="E5" s="9">
        <v>900</v>
      </c>
      <c r="F5" s="9">
        <v>1880</v>
      </c>
      <c r="G5" s="9">
        <v>2200</v>
      </c>
      <c r="H5" s="9">
        <v>2200</v>
      </c>
      <c r="I5" s="9">
        <f>SUM(I3:I4)</f>
        <v>1500</v>
      </c>
      <c r="J5" s="9">
        <v>1741</v>
      </c>
      <c r="K5" s="9">
        <v>1700</v>
      </c>
      <c r="L5" s="9">
        <v>2100</v>
      </c>
      <c r="M5" s="9">
        <v>2300</v>
      </c>
      <c r="N5" s="9"/>
      <c r="O5" s="9"/>
    </row>
    <row r="6" spans="1:15">
      <c r="A6" s="4"/>
      <c r="B6" s="10" t="s">
        <v>36</v>
      </c>
      <c r="C6" s="6" t="s">
        <v>20</v>
      </c>
      <c r="D6" s="7">
        <f>D8+D12+D15+D16</f>
        <v>1480.39329000001</v>
      </c>
      <c r="E6" s="7">
        <f t="shared" ref="E6:O6" si="1">E8+E12+E15+E16</f>
        <v>842.978934999923</v>
      </c>
      <c r="F6" s="7">
        <f t="shared" si="1"/>
        <v>1651.375255</v>
      </c>
      <c r="G6" s="7">
        <f t="shared" si="1"/>
        <v>2377.22595499996</v>
      </c>
      <c r="H6" s="7">
        <f t="shared" si="1"/>
        <v>2213.52863</v>
      </c>
      <c r="I6" s="7">
        <f t="shared" si="1"/>
        <v>1386.49072</v>
      </c>
      <c r="J6" s="7">
        <f t="shared" si="1"/>
        <v>1382.905735</v>
      </c>
      <c r="K6" s="7">
        <f t="shared" si="1"/>
        <v>1639.35071900009</v>
      </c>
      <c r="L6" s="7">
        <f t="shared" si="1"/>
        <v>2008.94592500008</v>
      </c>
      <c r="M6" s="7">
        <f t="shared" si="1"/>
        <v>2367.85424999993</v>
      </c>
      <c r="N6" s="7">
        <f t="shared" si="1"/>
        <v>2056.85221200002</v>
      </c>
      <c r="O6" s="7">
        <f t="shared" si="1"/>
        <v>2148.50166900025</v>
      </c>
    </row>
    <row r="7" spans="1:15">
      <c r="A7" s="4"/>
      <c r="B7" s="5" t="s">
        <v>37</v>
      </c>
      <c r="C7" s="6" t="s">
        <v>20</v>
      </c>
      <c r="D7" s="7">
        <f>D8+D12</f>
        <v>1472.19329000001</v>
      </c>
      <c r="E7" s="7">
        <f t="shared" ref="E7:O7" si="2">E8+E12</f>
        <v>842.978934999923</v>
      </c>
      <c r="F7" s="7">
        <f t="shared" si="2"/>
        <v>1651.375255</v>
      </c>
      <c r="G7" s="7">
        <f t="shared" si="2"/>
        <v>2374.17927499996</v>
      </c>
      <c r="H7" s="7">
        <f t="shared" si="2"/>
        <v>2191.65706</v>
      </c>
      <c r="I7" s="7">
        <f t="shared" si="2"/>
        <v>1381.82944</v>
      </c>
      <c r="J7" s="7">
        <f t="shared" si="2"/>
        <v>1382.905735</v>
      </c>
      <c r="K7" s="7">
        <f t="shared" si="2"/>
        <v>1639.35071900009</v>
      </c>
      <c r="L7" s="7">
        <f t="shared" si="2"/>
        <v>2007.96945000008</v>
      </c>
      <c r="M7" s="7">
        <f t="shared" si="2"/>
        <v>2342.15097999993</v>
      </c>
      <c r="N7" s="7">
        <f t="shared" si="2"/>
        <v>2047.71119700002</v>
      </c>
      <c r="O7" s="7">
        <f t="shared" si="2"/>
        <v>2105.00982400025</v>
      </c>
    </row>
    <row r="8" spans="1:15">
      <c r="A8" s="4"/>
      <c r="B8" s="11" t="s">
        <v>38</v>
      </c>
      <c r="C8" s="12" t="s">
        <v>20</v>
      </c>
      <c r="D8" s="13">
        <f>SUM(D9:D11)</f>
        <v>1084.174</v>
      </c>
      <c r="E8" s="13">
        <f t="shared" ref="E8:O8" si="3">SUM(E9:E11)</f>
        <v>640.519554999923</v>
      </c>
      <c r="F8" s="13">
        <v>1130.48</v>
      </c>
      <c r="G8" s="13">
        <f t="shared" si="3"/>
        <v>1544.77006499996</v>
      </c>
      <c r="H8" s="13">
        <f t="shared" si="3"/>
        <v>1411.17194</v>
      </c>
      <c r="I8" s="13">
        <f t="shared" si="3"/>
        <v>905.97975</v>
      </c>
      <c r="J8" s="13">
        <f t="shared" si="3"/>
        <v>875.629485</v>
      </c>
      <c r="K8" s="13">
        <f t="shared" si="3"/>
        <v>1125.64530400002</v>
      </c>
      <c r="L8" s="13">
        <f t="shared" si="3"/>
        <v>1293.82191000004</v>
      </c>
      <c r="M8" s="13">
        <f t="shared" si="3"/>
        <v>1431.49946000003</v>
      </c>
      <c r="N8" s="13">
        <f t="shared" si="3"/>
        <v>1340.55142200001</v>
      </c>
      <c r="O8" s="13">
        <f t="shared" si="3"/>
        <v>1351.98048900001</v>
      </c>
    </row>
    <row r="9" spans="1:15">
      <c r="A9" s="4"/>
      <c r="B9" s="8" t="s">
        <v>39</v>
      </c>
      <c r="C9" s="4" t="s">
        <v>20</v>
      </c>
      <c r="D9" s="9">
        <v>516.098</v>
      </c>
      <c r="E9" s="9">
        <v>312.93</v>
      </c>
      <c r="F9" s="9">
        <v>555.257</v>
      </c>
      <c r="G9" s="9">
        <v>771.476</v>
      </c>
      <c r="H9" s="9">
        <v>700.30292</v>
      </c>
      <c r="I9" s="9">
        <f>440.17521-0.09</f>
        <v>440.08521</v>
      </c>
      <c r="J9" s="9">
        <v>418.77297</v>
      </c>
      <c r="K9" s="9">
        <v>549.640121000006</v>
      </c>
      <c r="L9" s="9">
        <v>630.249040000007</v>
      </c>
      <c r="M9" s="9">
        <v>692.552197000012</v>
      </c>
      <c r="N9" s="9">
        <v>643.633869000004</v>
      </c>
      <c r="O9" s="9">
        <v>651.575728000006</v>
      </c>
    </row>
    <row r="10" spans="1:15">
      <c r="A10" s="4"/>
      <c r="B10" s="8" t="s">
        <v>40</v>
      </c>
      <c r="C10" s="4" t="s">
        <v>20</v>
      </c>
      <c r="D10" s="9">
        <v>568.076</v>
      </c>
      <c r="E10" s="9">
        <v>327.589554999923</v>
      </c>
      <c r="F10" s="9">
        <v>575.223</v>
      </c>
      <c r="G10" s="9">
        <v>773.29406499996</v>
      </c>
      <c r="H10" s="9">
        <v>710.86902</v>
      </c>
      <c r="I10" s="9">
        <f>465.98454-0.09</f>
        <v>465.89454</v>
      </c>
      <c r="J10" s="9">
        <v>456.856515</v>
      </c>
      <c r="K10" s="9">
        <v>576.005183000015</v>
      </c>
      <c r="L10" s="9">
        <v>663.572870000034</v>
      </c>
      <c r="M10" s="9">
        <v>738.947263000016</v>
      </c>
      <c r="N10" s="9">
        <v>696.917553000003</v>
      </c>
      <c r="O10" s="9">
        <v>700.404761000007</v>
      </c>
    </row>
    <row r="11" spans="1:15">
      <c r="A11" s="4"/>
      <c r="B11" s="8" t="s">
        <v>41</v>
      </c>
      <c r="C11" s="4" t="s">
        <v>20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/>
      <c r="L11" s="9"/>
      <c r="M11" s="9"/>
      <c r="N11" s="9"/>
      <c r="O11" s="9"/>
    </row>
    <row r="12" spans="1:15">
      <c r="A12" s="4"/>
      <c r="B12" s="11" t="s">
        <v>42</v>
      </c>
      <c r="C12" s="12" t="s">
        <v>20</v>
      </c>
      <c r="D12" s="13">
        <f>SUM(D13:D14)</f>
        <v>388.019290000006</v>
      </c>
      <c r="E12" s="13">
        <f t="shared" ref="E12:O12" si="4">SUM(E13:E14)</f>
        <v>202.45938</v>
      </c>
      <c r="F12" s="13">
        <f t="shared" si="4"/>
        <v>520.895254999996</v>
      </c>
      <c r="G12" s="13">
        <f t="shared" si="4"/>
        <v>829.40921</v>
      </c>
      <c r="H12" s="13">
        <f t="shared" si="4"/>
        <v>780.48512</v>
      </c>
      <c r="I12" s="13">
        <f t="shared" si="4"/>
        <v>475.84969</v>
      </c>
      <c r="J12" s="13">
        <f t="shared" si="4"/>
        <v>507.27625</v>
      </c>
      <c r="K12" s="13">
        <f t="shared" si="4"/>
        <v>513.705415000072</v>
      </c>
      <c r="L12" s="13">
        <f t="shared" si="4"/>
        <v>714.147540000037</v>
      </c>
      <c r="M12" s="13">
        <f t="shared" si="4"/>
        <v>910.6515199999</v>
      </c>
      <c r="N12" s="13">
        <f t="shared" si="4"/>
        <v>707.159775000012</v>
      </c>
      <c r="O12" s="13">
        <f t="shared" si="4"/>
        <v>753.029335000242</v>
      </c>
    </row>
    <row r="13" spans="1:15">
      <c r="A13" s="4"/>
      <c r="B13" s="8" t="s">
        <v>43</v>
      </c>
      <c r="C13" s="4" t="s">
        <v>20</v>
      </c>
      <c r="D13" s="9">
        <v>0</v>
      </c>
      <c r="E13" s="9">
        <v>29.44</v>
      </c>
      <c r="F13" s="9">
        <v>104.10962</v>
      </c>
      <c r="G13" s="9">
        <v>120.81194</v>
      </c>
      <c r="H13" s="9">
        <v>135.2324</v>
      </c>
      <c r="I13" s="9">
        <v>81.03325</v>
      </c>
      <c r="J13" s="9">
        <v>11.29332</v>
      </c>
      <c r="K13" s="9">
        <v>0.464835</v>
      </c>
      <c r="L13" s="9">
        <v>66.6215450000003</v>
      </c>
      <c r="M13" s="9">
        <v>191.279984999996</v>
      </c>
      <c r="N13" s="9">
        <v>34.4494399999993</v>
      </c>
      <c r="O13" s="9">
        <v>24.1024549999997</v>
      </c>
    </row>
    <row r="14" spans="1:15">
      <c r="A14" s="4"/>
      <c r="B14" s="8" t="s">
        <v>44</v>
      </c>
      <c r="C14" s="4" t="s">
        <v>20</v>
      </c>
      <c r="D14" s="9">
        <v>388.019290000006</v>
      </c>
      <c r="E14" s="9">
        <v>173.01938</v>
      </c>
      <c r="F14" s="9">
        <v>416.785634999996</v>
      </c>
      <c r="G14" s="9">
        <v>708.59727</v>
      </c>
      <c r="H14" s="9">
        <v>645.25272</v>
      </c>
      <c r="I14" s="9">
        <f>394.90644-0.09</f>
        <v>394.81644</v>
      </c>
      <c r="J14" s="9">
        <v>495.98293</v>
      </c>
      <c r="K14" s="9">
        <v>513.240580000072</v>
      </c>
      <c r="L14" s="9">
        <v>647.525995000037</v>
      </c>
      <c r="M14" s="9">
        <v>719.371534999904</v>
      </c>
      <c r="N14" s="9">
        <v>672.710335000013</v>
      </c>
      <c r="O14" s="9">
        <v>728.926880000242</v>
      </c>
    </row>
    <row r="15" spans="1:15">
      <c r="A15" s="4"/>
      <c r="B15" s="11" t="s">
        <v>45</v>
      </c>
      <c r="C15" s="12" t="s">
        <v>20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</row>
    <row r="16" spans="1:15">
      <c r="A16" s="4"/>
      <c r="B16" s="11" t="s">
        <v>46</v>
      </c>
      <c r="C16" s="12" t="s">
        <v>20</v>
      </c>
      <c r="D16" s="13">
        <f>SUM(D17:D19)</f>
        <v>8.2</v>
      </c>
      <c r="E16" s="13">
        <f t="shared" ref="E16:O16" si="5">SUM(E17:E19)</f>
        <v>0</v>
      </c>
      <c r="F16" s="13">
        <f t="shared" si="5"/>
        <v>0</v>
      </c>
      <c r="G16" s="13">
        <f t="shared" si="5"/>
        <v>3.04668</v>
      </c>
      <c r="H16" s="13">
        <f t="shared" si="5"/>
        <v>21.87157</v>
      </c>
      <c r="I16" s="13">
        <f t="shared" si="5"/>
        <v>4.66128</v>
      </c>
      <c r="J16" s="13">
        <f t="shared" si="5"/>
        <v>0</v>
      </c>
      <c r="K16" s="13">
        <f t="shared" si="5"/>
        <v>0</v>
      </c>
      <c r="L16" s="13">
        <f t="shared" si="5"/>
        <v>0.976475</v>
      </c>
      <c r="M16" s="13">
        <f t="shared" si="5"/>
        <v>25.70327</v>
      </c>
      <c r="N16" s="13">
        <f t="shared" si="5"/>
        <v>9.141015</v>
      </c>
      <c r="O16" s="13">
        <f t="shared" si="5"/>
        <v>43.491845</v>
      </c>
    </row>
    <row r="17" spans="1:15">
      <c r="A17" s="4"/>
      <c r="B17" s="8" t="s">
        <v>47</v>
      </c>
      <c r="C17" s="4" t="s">
        <v>20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/>
      <c r="L17" s="9">
        <v>0.976475</v>
      </c>
      <c r="M17" s="9">
        <v>25.70327</v>
      </c>
      <c r="N17" s="9">
        <v>9.141015</v>
      </c>
      <c r="O17" s="9">
        <v>43.491845</v>
      </c>
    </row>
    <row r="18" spans="1:15">
      <c r="A18" s="4"/>
      <c r="B18" s="8" t="s">
        <v>48</v>
      </c>
      <c r="C18" s="4" t="s">
        <v>20</v>
      </c>
      <c r="D18" s="9">
        <v>8.2</v>
      </c>
      <c r="E18" s="9">
        <v>0</v>
      </c>
      <c r="F18" s="9">
        <v>0</v>
      </c>
      <c r="G18" s="9">
        <v>3.04668</v>
      </c>
      <c r="H18" s="9">
        <f>20.63033+1.24124</f>
        <v>21.87157</v>
      </c>
      <c r="I18" s="9">
        <v>4.66128</v>
      </c>
      <c r="J18" s="9">
        <v>0</v>
      </c>
      <c r="K18" s="9"/>
      <c r="L18" s="9"/>
      <c r="M18" s="9"/>
      <c r="N18" s="9"/>
      <c r="O18" s="9"/>
    </row>
    <row r="19" ht="11" customHeight="1" spans="1:15">
      <c r="A19" s="4"/>
      <c r="B19" s="14" t="s">
        <v>49</v>
      </c>
      <c r="C19" s="6" t="s">
        <v>20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/>
      <c r="L19" s="7"/>
      <c r="M19" s="7"/>
      <c r="N19" s="7"/>
      <c r="O19" s="7"/>
    </row>
    <row r="20" spans="1:15">
      <c r="A20" s="8" t="s">
        <v>50</v>
      </c>
      <c r="B20" s="15" t="s">
        <v>51</v>
      </c>
      <c r="C20" s="4" t="s">
        <v>20</v>
      </c>
      <c r="D20" s="9">
        <f>D22+D24</f>
        <v>901.6096</v>
      </c>
      <c r="E20" s="9">
        <f t="shared" ref="E20:O21" si="6">E22+E24</f>
        <v>514.558</v>
      </c>
      <c r="F20" s="9">
        <f t="shared" si="6"/>
        <v>947.454884999954</v>
      </c>
      <c r="G20" s="9">
        <v>1420.78227499996</v>
      </c>
      <c r="H20" s="9">
        <f t="shared" si="6"/>
        <v>1320.529</v>
      </c>
      <c r="I20" s="9">
        <f t="shared" si="6"/>
        <v>1230.587</v>
      </c>
      <c r="J20" s="9">
        <f t="shared" si="6"/>
        <v>1047.948</v>
      </c>
      <c r="K20" s="9">
        <f>K22+K24</f>
        <v>1574.69110400001</v>
      </c>
      <c r="L20" s="9">
        <f t="shared" si="6"/>
        <v>2007.65094499984</v>
      </c>
      <c r="M20" s="9">
        <f t="shared" si="6"/>
        <v>2315.00640999976</v>
      </c>
      <c r="N20" s="9">
        <f t="shared" si="6"/>
        <v>2047.69766700006</v>
      </c>
      <c r="O20" s="9">
        <f t="shared" si="6"/>
        <v>2105.02348400007</v>
      </c>
    </row>
    <row r="21" spans="1:15">
      <c r="A21" s="8"/>
      <c r="B21" s="15" t="s">
        <v>52</v>
      </c>
      <c r="C21" s="4" t="s">
        <v>20</v>
      </c>
      <c r="D21" s="9">
        <f>D23+D25</f>
        <v>570.583690000006</v>
      </c>
      <c r="E21" s="9">
        <f t="shared" si="6"/>
        <v>328.42</v>
      </c>
      <c r="F21" s="9">
        <f t="shared" si="6"/>
        <v>703.921310000014</v>
      </c>
      <c r="G21" s="9">
        <v>953.397</v>
      </c>
      <c r="H21" s="9">
        <f t="shared" si="6"/>
        <v>871.026</v>
      </c>
      <c r="I21" s="9">
        <f t="shared" si="6"/>
        <v>151.2444</v>
      </c>
      <c r="J21" s="9">
        <f t="shared" si="6"/>
        <v>334.957735</v>
      </c>
      <c r="K21" s="9">
        <f t="shared" si="6"/>
        <v>64.6596150000001</v>
      </c>
      <c r="L21" s="9">
        <f t="shared" si="6"/>
        <v>0.294699999999996</v>
      </c>
      <c r="M21" s="9">
        <f t="shared" si="6"/>
        <v>27.14457</v>
      </c>
      <c r="N21" s="9">
        <f t="shared" si="6"/>
        <v>0.0135300000000001</v>
      </c>
      <c r="O21" s="9">
        <f t="shared" si="6"/>
        <v>-0.01366</v>
      </c>
    </row>
    <row r="22" spans="1:15">
      <c r="A22" s="8"/>
      <c r="B22" s="8" t="s">
        <v>53</v>
      </c>
      <c r="C22" s="4" t="s">
        <v>20</v>
      </c>
      <c r="D22" s="9">
        <v>348.446</v>
      </c>
      <c r="E22" s="9">
        <v>173.018</v>
      </c>
      <c r="F22" s="9">
        <v>424.580914999948</v>
      </c>
      <c r="G22" s="9">
        <v>764.10921</v>
      </c>
      <c r="H22" s="9">
        <v>655.619</v>
      </c>
      <c r="I22" s="9">
        <v>430.017</v>
      </c>
      <c r="J22" s="9">
        <v>503.87</v>
      </c>
      <c r="K22" s="9">
        <v>513.704330000006</v>
      </c>
      <c r="L22" s="9">
        <v>714.171909999918</v>
      </c>
      <c r="M22" s="9">
        <v>910.650404999745</v>
      </c>
      <c r="N22" s="9">
        <v>707.146160000057</v>
      </c>
      <c r="O22" s="9">
        <v>753.042905000079</v>
      </c>
    </row>
    <row r="23" spans="1:15">
      <c r="A23" s="8"/>
      <c r="B23" s="8" t="s">
        <v>54</v>
      </c>
      <c r="C23" s="4" t="s">
        <v>20</v>
      </c>
      <c r="D23" s="9">
        <v>39.5732900000058</v>
      </c>
      <c r="E23" s="9">
        <v>29.44</v>
      </c>
      <c r="F23" s="9">
        <v>96.3143400000004</v>
      </c>
      <c r="G23" s="9">
        <v>65.3</v>
      </c>
      <c r="H23" s="9">
        <v>124.866</v>
      </c>
      <c r="I23" s="9">
        <v>45.83</v>
      </c>
      <c r="J23" s="9">
        <v>3.40625</v>
      </c>
      <c r="K23" s="9">
        <v>0.001085</v>
      </c>
      <c r="L23" s="9">
        <v>-0.024370000000002</v>
      </c>
      <c r="M23" s="9">
        <v>0.001115</v>
      </c>
      <c r="N23" s="9">
        <v>0.013615</v>
      </c>
      <c r="O23" s="9">
        <v>-0.01357</v>
      </c>
    </row>
    <row r="24" spans="1:15">
      <c r="A24" s="8"/>
      <c r="B24" s="8" t="s">
        <v>55</v>
      </c>
      <c r="C24" s="4" t="s">
        <v>20</v>
      </c>
      <c r="D24" s="9">
        <v>553.1636</v>
      </c>
      <c r="E24" s="9">
        <v>341.54</v>
      </c>
      <c r="F24" s="9">
        <v>522.873970000007</v>
      </c>
      <c r="G24" s="9">
        <v>656.67306499996</v>
      </c>
      <c r="H24" s="9">
        <v>664.91</v>
      </c>
      <c r="I24" s="9">
        <v>800.57</v>
      </c>
      <c r="J24" s="9">
        <v>544.078</v>
      </c>
      <c r="K24" s="9">
        <v>1060.986774</v>
      </c>
      <c r="L24" s="9">
        <v>1293.47903499992</v>
      </c>
      <c r="M24" s="9">
        <v>1404.35600500001</v>
      </c>
      <c r="N24" s="9">
        <v>1340.551507</v>
      </c>
      <c r="O24" s="9">
        <v>1351.98057899999</v>
      </c>
    </row>
    <row r="25" spans="1:15">
      <c r="A25" s="8"/>
      <c r="B25" s="8" t="s">
        <v>56</v>
      </c>
      <c r="C25" s="4" t="s">
        <v>20</v>
      </c>
      <c r="D25" s="9">
        <v>531.0104</v>
      </c>
      <c r="E25" s="9">
        <v>298.98</v>
      </c>
      <c r="F25" s="9">
        <v>607.606970000013</v>
      </c>
      <c r="G25" s="9">
        <v>888.097</v>
      </c>
      <c r="H25" s="9">
        <v>746.16</v>
      </c>
      <c r="I25" s="9">
        <v>105.4144</v>
      </c>
      <c r="J25" s="9">
        <v>331.551485</v>
      </c>
      <c r="K25" s="9">
        <v>64.6585300000001</v>
      </c>
      <c r="L25" s="9">
        <v>0.319069999999998</v>
      </c>
      <c r="M25" s="9">
        <v>27.143455</v>
      </c>
      <c r="N25" s="9">
        <v>-8.49999999998962e-5</v>
      </c>
      <c r="O25" s="9">
        <v>-9.00000000000039e-5</v>
      </c>
    </row>
    <row r="26" spans="1:15">
      <c r="A26" s="8" t="s">
        <v>57</v>
      </c>
      <c r="B26" s="16" t="s">
        <v>58</v>
      </c>
      <c r="C26" s="12" t="s">
        <v>20</v>
      </c>
      <c r="D26" s="13">
        <f>SUM(D27:D28)</f>
        <v>1444.26039500016</v>
      </c>
      <c r="E26" s="13">
        <f t="shared" ref="E26:O26" si="7">SUM(E27:E28)</f>
        <v>745.457459999959</v>
      </c>
      <c r="F26" s="13">
        <f t="shared" si="7"/>
        <v>1250.26</v>
      </c>
      <c r="G26" s="13">
        <f t="shared" si="7"/>
        <v>2175.887725</v>
      </c>
      <c r="H26" s="13">
        <f t="shared" si="7"/>
        <v>2362.86777000001</v>
      </c>
      <c r="I26" s="13">
        <f t="shared" si="7"/>
        <v>1937.8401</v>
      </c>
      <c r="J26" s="13">
        <f t="shared" si="7"/>
        <v>1377.954305</v>
      </c>
      <c r="K26" s="13">
        <f t="shared" si="7"/>
        <v>1711.256066</v>
      </c>
      <c r="L26" s="13">
        <f t="shared" si="7"/>
        <v>2180.260797</v>
      </c>
      <c r="M26" s="13">
        <f t="shared" si="7"/>
        <v>2097.28847499999</v>
      </c>
      <c r="N26" s="13">
        <f t="shared" si="7"/>
        <v>2353.195232</v>
      </c>
      <c r="O26" s="13">
        <f t="shared" si="7"/>
        <v>2202.528053</v>
      </c>
    </row>
    <row r="27" spans="1:15">
      <c r="A27" s="8"/>
      <c r="B27" s="15" t="s">
        <v>59</v>
      </c>
      <c r="C27" s="4" t="s">
        <v>20</v>
      </c>
      <c r="D27" s="9">
        <v>1000.16139500016</v>
      </c>
      <c r="E27" s="9">
        <v>531.927469999959</v>
      </c>
      <c r="F27" s="9">
        <v>825.38</v>
      </c>
      <c r="G27" s="9">
        <v>1548.57</v>
      </c>
      <c r="H27" s="9">
        <v>1562.42787000001</v>
      </c>
      <c r="I27" s="9">
        <f>1471.08-315.8789</f>
        <v>1155.2011</v>
      </c>
      <c r="J27" s="9">
        <v>986.718635</v>
      </c>
      <c r="K27" s="9">
        <v>1303.682211</v>
      </c>
      <c r="L27" s="9">
        <v>1381.146282</v>
      </c>
      <c r="M27" s="9">
        <v>1256.9018</v>
      </c>
      <c r="N27" s="9">
        <v>1692.321127</v>
      </c>
      <c r="O27" s="9">
        <v>1873.314828</v>
      </c>
    </row>
    <row r="28" spans="1:15">
      <c r="A28" s="8"/>
      <c r="B28" s="15" t="s">
        <v>60</v>
      </c>
      <c r="C28" s="4" t="s">
        <v>20</v>
      </c>
      <c r="D28" s="9">
        <v>444.099</v>
      </c>
      <c r="E28" s="9">
        <v>213.52999</v>
      </c>
      <c r="F28" s="9">
        <v>424.88</v>
      </c>
      <c r="G28" s="9">
        <f>659.977725000001-32.66</f>
        <v>627.317725000001</v>
      </c>
      <c r="H28" s="9">
        <v>800.4399</v>
      </c>
      <c r="I28" s="9">
        <v>782.639</v>
      </c>
      <c r="J28" s="9">
        <f>415.75567-24.52</f>
        <v>391.23567</v>
      </c>
      <c r="K28" s="9">
        <v>407.573855</v>
      </c>
      <c r="L28" s="9">
        <v>799.114515</v>
      </c>
      <c r="M28" s="9">
        <v>840.386674999986</v>
      </c>
      <c r="N28" s="9">
        <v>660.874105000002</v>
      </c>
      <c r="O28" s="9">
        <v>329.213225</v>
      </c>
    </row>
    <row r="29" spans="1:15">
      <c r="A29" s="8"/>
      <c r="B29" s="15" t="s">
        <v>61</v>
      </c>
      <c r="C29" s="4" t="s">
        <v>20</v>
      </c>
      <c r="D29" s="9">
        <v>1388.41</v>
      </c>
      <c r="E29" s="9">
        <v>740.543984999959</v>
      </c>
      <c r="F29" s="9">
        <v>1202.06</v>
      </c>
      <c r="G29" s="9">
        <v>2179.827725</v>
      </c>
      <c r="H29" s="9">
        <v>2232.08207500001</v>
      </c>
      <c r="I29" s="9">
        <v>1598.31795</v>
      </c>
      <c r="J29" s="9">
        <v>821.956105</v>
      </c>
      <c r="K29" s="9">
        <v>1452.87991</v>
      </c>
      <c r="L29" s="9">
        <v>1770.608245</v>
      </c>
      <c r="M29" s="9">
        <v>1251.991975</v>
      </c>
      <c r="N29" s="9">
        <v>1587.187025</v>
      </c>
      <c r="O29" s="9">
        <v>1817.1957</v>
      </c>
    </row>
    <row r="30" spans="1:15">
      <c r="A30" s="8"/>
      <c r="B30" s="15" t="s">
        <v>62</v>
      </c>
      <c r="C30" s="4" t="s">
        <v>20</v>
      </c>
      <c r="D30" s="9">
        <v>55.854</v>
      </c>
      <c r="E30" s="9">
        <v>4.913475</v>
      </c>
      <c r="F30" s="9">
        <v>48.2</v>
      </c>
      <c r="G30" s="9">
        <v>28.72</v>
      </c>
      <c r="H30" s="9">
        <v>130.781795</v>
      </c>
      <c r="I30" s="9">
        <f>138.49343+201.02872</f>
        <v>339.52215</v>
      </c>
      <c r="J30" s="9">
        <v>555.9982</v>
      </c>
      <c r="K30" s="9">
        <v>258.376156</v>
      </c>
      <c r="L30" s="9">
        <v>409.652552</v>
      </c>
      <c r="M30" s="9">
        <v>845.303579999983</v>
      </c>
      <c r="N30" s="9">
        <v>766.008207000001</v>
      </c>
      <c r="O30" s="9">
        <v>385.332353</v>
      </c>
    </row>
  </sheetData>
  <mergeCells count="3">
    <mergeCell ref="A2:A19"/>
    <mergeCell ref="A20:A25"/>
    <mergeCell ref="A26:A30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</vt:lpstr>
      <vt:lpstr>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mickey</cp:lastModifiedBy>
  <dcterms:created xsi:type="dcterms:W3CDTF">2015-06-05T18:19:00Z</dcterms:created>
  <dcterms:modified xsi:type="dcterms:W3CDTF">2025-01-07T09:48:23Z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5A6C2F80CD0C40E285A492798531DB9F_13</vt:lpwstr>
  </property>
  <property fmtid="{D5CDD505-2E9C-101B-9397-08002B2CF9AE}" pid="3" name="KSOProductBuildVer">
    <vt:lpwstr>2052-12.1.0.19770</vt:lpwstr>
  </property>
</Properties>
</file>