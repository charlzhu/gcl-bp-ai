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760" windowHeight="15360"/>
  </bookViews>
  <sheets>
    <sheet name="产销存汇总" sheetId="1" r:id="rId1"/>
  </sheets>
  <definedNames>
    <definedName name="_xlnm._FilterDatabase" localSheetId="0" hidden="1">产销存汇总!$A$1:$R$40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295331</author>
  </authors>
  <commentList>
    <comment ref="G37" authorId="0">
      <text>
        <r>
          <rPr>
            <b/>
            <sz val="9"/>
            <rFont val="宋体"/>
            <charset val="134"/>
          </rPr>
          <t>295331:</t>
        </r>
        <r>
          <rPr>
            <sz val="9"/>
            <rFont val="宋体"/>
            <charset val="134"/>
          </rPr>
          <t xml:space="preserve">
含委外成品（阜宁代工）4.048165MW</t>
        </r>
      </text>
    </comment>
    <comment ref="H37" authorId="0">
      <text>
        <r>
          <rPr>
            <b/>
            <sz val="9"/>
            <rFont val="宋体"/>
            <charset val="134"/>
          </rPr>
          <t>295331:</t>
        </r>
        <r>
          <rPr>
            <sz val="9"/>
            <rFont val="宋体"/>
            <charset val="134"/>
          </rPr>
          <t xml:space="preserve">
含委外成品（阜宁代工）3.07675MW</t>
        </r>
      </text>
    </comment>
    <comment ref="I37" authorId="0">
      <text>
        <r>
          <rPr>
            <b/>
            <sz val="9"/>
            <rFont val="宋体"/>
            <charset val="134"/>
          </rPr>
          <t>295331:</t>
        </r>
        <r>
          <rPr>
            <sz val="9"/>
            <rFont val="宋体"/>
            <charset val="134"/>
          </rPr>
          <t xml:space="preserve">
含委外成品（阜宁代工）2.48MW</t>
        </r>
      </text>
    </comment>
    <comment ref="J37" authorId="0">
      <text>
        <r>
          <rPr>
            <b/>
            <sz val="9"/>
            <rFont val="宋体"/>
            <charset val="134"/>
          </rPr>
          <t>295331:</t>
        </r>
        <r>
          <rPr>
            <sz val="9"/>
            <rFont val="宋体"/>
            <charset val="134"/>
          </rPr>
          <t xml:space="preserve">
含委外成品（阜宁代工）0.4879MW</t>
        </r>
      </text>
    </comment>
  </commentList>
</comments>
</file>

<file path=xl/sharedStrings.xml><?xml version="1.0" encoding="utf-8"?>
<sst xmlns="http://schemas.openxmlformats.org/spreadsheetml/2006/main" count="64" uniqueCount="64">
  <si>
    <t>分类</t>
  </si>
  <si>
    <t>项目</t>
  </si>
  <si>
    <t>2026年</t>
  </si>
  <si>
    <t>Q1</t>
  </si>
  <si>
    <t>Q2</t>
  </si>
  <si>
    <t>Q3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</si>
  <si>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</si>
  <si>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</si>
  <si>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</si>
  <si>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</si>
  <si>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</si>
  <si>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</si>
  <si>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</si>
  <si>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</si>
  <si>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</si>
  <si>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</si>
  <si>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</si>
  <si>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</si>
  <si>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产量</t>
  </si>
  <si>
    <t>实际产量(含委外)</t>
  </si>
  <si>
    <t>实际产量(不含委外)</t>
  </si>
  <si>
    <t>合肥产量</t>
  </si>
  <si>
    <t>阜宁产量</t>
  </si>
  <si>
    <t>广德产量</t>
  </si>
  <si>
    <t>委外加工</t>
  </si>
  <si>
    <t>委外-合肥主体</t>
  </si>
  <si>
    <t>委外-阜宁主体</t>
  </si>
  <si>
    <t>产量-模式</t>
  </si>
  <si>
    <t>自产</t>
  </si>
  <si>
    <t>自产-合肥基地</t>
  </si>
  <si>
    <t>自产-阜宁基地</t>
  </si>
  <si>
    <t>自产-广德基地</t>
  </si>
  <si>
    <t>代工</t>
  </si>
  <si>
    <t>代工-合肥基地</t>
  </si>
  <si>
    <t>代工-阜宁基地</t>
  </si>
  <si>
    <t>代工-广德基地</t>
  </si>
  <si>
    <t>产量-版型</t>
  </si>
  <si>
    <t>182N</t>
  </si>
  <si>
    <t>182N-合肥基地</t>
  </si>
  <si>
    <t>182N-阜宁基地</t>
  </si>
  <si>
    <t>182N-广德基地</t>
  </si>
  <si>
    <t>210N</t>
  </si>
  <si>
    <t>210N-合肥基地</t>
  </si>
  <si>
    <t>210N-阜宁基地</t>
  </si>
  <si>
    <t>210N-广德基地</t>
  </si>
  <si>
    <t>210R</t>
  </si>
  <si>
    <t>210R-合肥基地</t>
  </si>
  <si>
    <t>210R-阜宁基地</t>
  </si>
  <si>
    <t>210R-广德基地</t>
  </si>
  <si>
    <t>发货</t>
  </si>
  <si>
    <t>发货合计</t>
  </si>
  <si>
    <t>合肥发货</t>
  </si>
  <si>
    <t>阜宁发货</t>
  </si>
  <si>
    <t>广德发货</t>
  </si>
  <si>
    <t>存货</t>
  </si>
  <si>
    <t>存货合计</t>
  </si>
  <si>
    <t>合肥存货</t>
  </si>
  <si>
    <t>阜宁存货</t>
  </si>
  <si>
    <t>广德存货</t>
  </si>
  <si>
    <t>寄存</t>
  </si>
  <si>
    <t>寄存仓</t>
  </si>
  <si>
    <t>寄存仓-合肥</t>
  </si>
  <si>
    <t>寄存仓-阜宁</t>
  </si>
  <si>
    <t>寄存仓-广德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</si>
</sst>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);[Red]\(0.0\)"/>
    <numFmt numFmtId="177" formatCode="0.00_);[Red]\(0.00\)"/>
    <numFmt numFmtId="178" formatCode="[$-409]mmm\-yy;@"/>
    <numFmt numFmtId="179" formatCode="0.0_ "/>
  </numFmts>
  <fonts count="24">
    <font>
      <sz val="11"/>
      <color theme="1"/>
      <name val="宋体"/>
      <charset val="134"/>
      <scheme val="minor"/>
    </font>
    <font>
      <sz val="8"/>
      <color theme="1"/>
      <name val="微软雅黑"/>
      <charset val="134"/>
    </font>
    <font>
      <sz val="8"/>
      <color theme="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/>
      <diagonal/>
    </border>
    <border>
      <left style="dashed">
        <color auto="1"/>
      </left>
      <right style="dashed">
        <color auto="1"/>
      </right>
      <top/>
      <bottom/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6" borderId="9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176" fontId="1" fillId="0" borderId="0" xfId="0" applyNumberFormat="1" applyFont="1" applyBorder="1">
      <alignment vertical="center"/>
    </xf>
    <xf numFmtId="177" fontId="1" fillId="0" borderId="0" xfId="0" applyNumberFormat="1" applyFont="1" applyBorder="1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>
      <alignment vertical="center"/>
    </xf>
    <xf numFmtId="0" fontId="1" fillId="0" borderId="0" xfId="0" applyFont="1" applyBorder="1" applyAlignment="1">
      <alignment horizontal="right" vertical="center"/>
    </xf>
    <xf numFmtId="178" fontId="2" fillId="2" borderId="1" xfId="0" applyNumberFormat="1" applyFont="1" applyFill="1" applyBorder="1" applyAlignment="1">
      <alignment horizontal="center" vertical="center"/>
    </xf>
    <xf numFmtId="178" fontId="2" fillId="2" borderId="1" xfId="0" applyNumberFormat="1" applyFont="1" applyFill="1" applyBorder="1" applyAlignment="1">
      <alignment horizontal="right" vertical="center"/>
    </xf>
    <xf numFmtId="176" fontId="1" fillId="0" borderId="1" xfId="0" applyNumberFormat="1" applyFont="1" applyBorder="1" applyAlignment="1">
      <alignment horizontal="center" vertical="center"/>
    </xf>
    <xf numFmtId="176" fontId="1" fillId="3" borderId="1" xfId="0" applyNumberFormat="1" applyFont="1" applyFill="1" applyBorder="1">
      <alignment vertical="center"/>
    </xf>
    <xf numFmtId="176" fontId="1" fillId="3" borderId="1" xfId="0" applyNumberFormat="1" applyFont="1" applyFill="1" applyBorder="1" applyAlignment="1">
      <alignment horizontal="right" vertical="center"/>
    </xf>
    <xf numFmtId="176" fontId="1" fillId="0" borderId="1" xfId="0" applyNumberFormat="1" applyFont="1" applyBorder="1" applyAlignment="1">
      <alignment horizontal="right" vertical="center"/>
    </xf>
    <xf numFmtId="176" fontId="1" fillId="0" borderId="1" xfId="0" applyNumberFormat="1" applyFont="1" applyFill="1" applyBorder="1" applyAlignment="1">
      <alignment horizontal="right" vertical="center"/>
    </xf>
    <xf numFmtId="176" fontId="1" fillId="0" borderId="2" xfId="0" applyNumberFormat="1" applyFont="1" applyBorder="1" applyAlignment="1">
      <alignment horizontal="center" vertical="center"/>
    </xf>
    <xf numFmtId="176" fontId="1" fillId="0" borderId="1" xfId="0" applyNumberFormat="1" applyFont="1" applyBorder="1">
      <alignment vertical="center"/>
    </xf>
    <xf numFmtId="176" fontId="1" fillId="0" borderId="3" xfId="0" applyNumberFormat="1" applyFont="1" applyBorder="1" applyAlignment="1">
      <alignment horizontal="center" vertical="center"/>
    </xf>
    <xf numFmtId="179" fontId="1" fillId="0" borderId="1" xfId="0" applyNumberFormat="1" applyFont="1" applyBorder="1" applyAlignment="1">
      <alignment horizontal="right" vertical="center"/>
    </xf>
    <xf numFmtId="176" fontId="1" fillId="0" borderId="4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176" fontId="1" fillId="3" borderId="1" xfId="0" applyNumberFormat="1" applyFont="1" applyFill="1" applyBorder="1" applyAlignment="1">
      <alignment horizontal="left" vertical="center"/>
    </xf>
    <xf numFmtId="177" fontId="1" fillId="0" borderId="1" xfId="0" applyNumberFormat="1" applyFont="1" applyFill="1" applyBorder="1" applyAlignment="1">
      <alignment horizontal="right" vertical="center"/>
    </xf>
    <xf numFmtId="177" fontId="1" fillId="0" borderId="1" xfId="0" applyNumberFormat="1" applyFont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numFmt numFmtId="180" formatCode="\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R41"/>
  <sheetViews>
    <sheetView showGridLines="0" tabSelected="1" zoomScale="296" zoomScaleNormal="296" workbookViewId="0">
      <pane ySplit="1" topLeftCell="A2" activePane="bottomLeft" state="frozen"/>
      <selection/>
      <selection pane="bottomLeft" activeCell="C3" sqref="C3"/>
    </sheetView>
  </sheetViews>
  <sheetFormatPr defaultColWidth="9" defaultRowHeight="12"/>
  <cols>
    <col min="1" max="1" width="9.18269230769231" style="3" customWidth="1"/>
    <col min="2" max="2" width="17.6923076923077" style="4" customWidth="1"/>
    <col min="3" max="3" width="7.07692307692308" style="5" customWidth="1"/>
    <col min="4" max="10" width="7.63461538461539" style="5" customWidth="1"/>
    <col min="11" max="18" width="7.63461538461539" style="5" hidden="1" customWidth="1"/>
    <col min="19" max="16384" width="9" style="4"/>
  </cols>
  <sheetData>
    <row r="1" ht="14" customHeight="1" spans="1:18">
      <c r="A1" s="6" t="s">
        <v>0</v>
      </c>
      <c r="B1" s="6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</row>
    <row r="2" s="1" customFormat="1" ht="14" customHeight="1" spans="1:18">
      <c r="A2" s="8" t="s">
        <v>18</v>
      </c>
      <c r="B2" s="9" t="s">
        <v>19</v>
      </c>
      <c r="C2" s="10">
        <f t="shared" ref="C2:C17" si="0">SUM(G2:R2)</f>
        <v>4782.70219999996</v>
      </c>
      <c r="D2" s="10">
        <f t="shared" ref="D2:D17" si="1">SUM(G2:I2)</f>
        <v>3731.39315499998</v>
      </c>
      <c r="E2" s="10">
        <f t="shared" ref="E2:E17" si="2">SUM(J2:L2)</f>
        <v>1051.30904499998</v>
      </c>
      <c r="F2" s="10">
        <f>SUM(M2:O2)</f>
        <v>0</v>
      </c>
      <c r="G2" s="10">
        <f t="shared" ref="G2:L2" si="3">SUM(G4:G7)</f>
        <v>1052.96473999991</v>
      </c>
      <c r="H2" s="10">
        <f t="shared" si="3"/>
        <v>998.282775000029</v>
      </c>
      <c r="I2" s="10">
        <f t="shared" si="3"/>
        <v>1680.14564000004</v>
      </c>
      <c r="J2" s="10">
        <f t="shared" si="3"/>
        <v>1051.30904499998</v>
      </c>
      <c r="K2" s="10">
        <f t="shared" si="3"/>
        <v>0</v>
      </c>
      <c r="L2" s="10">
        <f t="shared" si="3"/>
        <v>0</v>
      </c>
      <c r="M2" s="10">
        <f t="shared" ref="M2:R2" si="4">SUM(M4:M7)</f>
        <v>0</v>
      </c>
      <c r="N2" s="10">
        <f t="shared" si="4"/>
        <v>0</v>
      </c>
      <c r="O2" s="10">
        <f t="shared" si="4"/>
        <v>0</v>
      </c>
      <c r="P2" s="10">
        <f t="shared" si="4"/>
        <v>0</v>
      </c>
      <c r="Q2" s="10">
        <f t="shared" si="4"/>
        <v>0</v>
      </c>
      <c r="R2" s="10">
        <f t="shared" si="4"/>
        <v>0</v>
      </c>
    </row>
    <row r="3" s="1" customFormat="1" ht="14" customHeight="1" spans="1:18">
      <c r="A3" s="8"/>
      <c r="B3" s="9" t="s">
        <v>20</v>
      </c>
      <c r="C3" s="10">
        <f t="shared" si="0"/>
        <v>4782.70219999995</v>
      </c>
      <c r="D3" s="10">
        <f t="shared" si="1"/>
        <v>3731.39315499998</v>
      </c>
      <c r="E3" s="10">
        <f t="shared" si="2"/>
        <v>1051.30904499998</v>
      </c>
      <c r="F3" s="10">
        <f t="shared" ref="F2:F17" si="5">SUM(M3:O3)</f>
        <v>0</v>
      </c>
      <c r="G3" s="10">
        <f>SUM(G4:G6)</f>
        <v>1052.96473999991</v>
      </c>
      <c r="H3" s="10">
        <f t="shared" ref="H3:R3" si="6">SUM(H4:H6)</f>
        <v>998.282775000029</v>
      </c>
      <c r="I3" s="10">
        <f t="shared" si="6"/>
        <v>1680.14564000004</v>
      </c>
      <c r="J3" s="10">
        <f t="shared" si="6"/>
        <v>1051.30904499998</v>
      </c>
      <c r="K3" s="10">
        <f t="shared" si="6"/>
        <v>0</v>
      </c>
      <c r="L3" s="10">
        <f t="shared" si="6"/>
        <v>0</v>
      </c>
      <c r="M3" s="10">
        <f t="shared" si="6"/>
        <v>0</v>
      </c>
      <c r="N3" s="10">
        <f t="shared" si="6"/>
        <v>0</v>
      </c>
      <c r="O3" s="10">
        <f t="shared" si="6"/>
        <v>0</v>
      </c>
      <c r="P3" s="10">
        <f t="shared" si="6"/>
        <v>0</v>
      </c>
      <c r="Q3" s="10">
        <f t="shared" si="6"/>
        <v>0</v>
      </c>
      <c r="R3" s="10">
        <f t="shared" si="6"/>
        <v>0</v>
      </c>
    </row>
    <row r="4" s="1" customFormat="1" ht="14" customHeight="1" spans="1:18">
      <c r="A4" s="8"/>
      <c r="B4" s="11" t="s">
        <v>21</v>
      </c>
      <c r="C4" s="11">
        <f t="shared" si="0"/>
        <v>2570.37749</v>
      </c>
      <c r="D4" s="11">
        <f t="shared" si="1"/>
        <v>2039.57211</v>
      </c>
      <c r="E4" s="11">
        <f t="shared" si="2"/>
        <v>530.80538</v>
      </c>
      <c r="F4" s="11">
        <f t="shared" si="5"/>
        <v>0</v>
      </c>
      <c r="G4" s="11">
        <v>501.764745000002</v>
      </c>
      <c r="H4" s="11">
        <v>556.222060000004</v>
      </c>
      <c r="I4" s="11">
        <v>981.585304999994</v>
      </c>
      <c r="J4" s="11">
        <v>530.80538</v>
      </c>
      <c r="K4" s="11"/>
      <c r="L4" s="11"/>
      <c r="M4" s="11"/>
      <c r="N4" s="11"/>
      <c r="O4" s="11"/>
      <c r="P4" s="11"/>
      <c r="Q4" s="11"/>
      <c r="R4" s="11"/>
    </row>
    <row r="5" s="1" customFormat="1" ht="14" customHeight="1" spans="1:18">
      <c r="A5" s="8"/>
      <c r="B5" s="11" t="s">
        <v>22</v>
      </c>
      <c r="C5" s="11">
        <f t="shared" si="0"/>
        <v>1790.62651999999</v>
      </c>
      <c r="D5" s="11">
        <f t="shared" si="1"/>
        <v>1397.370625</v>
      </c>
      <c r="E5" s="11">
        <f t="shared" si="2"/>
        <v>393.255894999991</v>
      </c>
      <c r="F5" s="11">
        <f t="shared" si="5"/>
        <v>0</v>
      </c>
      <c r="G5" s="11">
        <v>451.765204999918</v>
      </c>
      <c r="H5" s="11">
        <v>378.780940000024</v>
      </c>
      <c r="I5" s="11">
        <v>566.824480000053</v>
      </c>
      <c r="J5" s="11">
        <v>393.255894999991</v>
      </c>
      <c r="K5" s="11"/>
      <c r="L5" s="11"/>
      <c r="M5" s="11"/>
      <c r="N5" s="11"/>
      <c r="O5" s="11"/>
      <c r="P5" s="11"/>
      <c r="Q5" s="11"/>
      <c r="R5" s="11"/>
    </row>
    <row r="6" s="1" customFormat="1" ht="14" customHeight="1" spans="1:18">
      <c r="A6" s="8"/>
      <c r="B6" s="11" t="s">
        <v>23</v>
      </c>
      <c r="C6" s="11">
        <f t="shared" si="0"/>
        <v>421.698189999969</v>
      </c>
      <c r="D6" s="11">
        <f t="shared" si="1"/>
        <v>294.450419999984</v>
      </c>
      <c r="E6" s="11">
        <f t="shared" si="2"/>
        <v>127.247769999985</v>
      </c>
      <c r="F6" s="11">
        <f t="shared" si="5"/>
        <v>0</v>
      </c>
      <c r="G6" s="11">
        <v>99.4347899999917</v>
      </c>
      <c r="H6" s="11">
        <v>63.2797750000015</v>
      </c>
      <c r="I6" s="11">
        <v>131.735854999991</v>
      </c>
      <c r="J6" s="11">
        <v>127.247769999985</v>
      </c>
      <c r="K6" s="11"/>
      <c r="L6" s="11"/>
      <c r="M6" s="11"/>
      <c r="N6" s="11"/>
      <c r="O6" s="11"/>
      <c r="P6" s="11"/>
      <c r="Q6" s="11"/>
      <c r="R6" s="11"/>
    </row>
    <row r="7" s="1" customFormat="1" ht="14" customHeight="1" spans="1:18">
      <c r="A7" s="8"/>
      <c r="B7" s="9" t="s">
        <v>24</v>
      </c>
      <c r="C7" s="10">
        <f t="shared" si="0"/>
        <v>0</v>
      </c>
      <c r="D7" s="10">
        <f t="shared" si="1"/>
        <v>0</v>
      </c>
      <c r="E7" s="10">
        <f t="shared" si="2"/>
        <v>0</v>
      </c>
      <c r="F7" s="10">
        <f t="shared" si="5"/>
        <v>0</v>
      </c>
      <c r="G7" s="10">
        <f>SUM(G8:G9)</f>
        <v>0</v>
      </c>
      <c r="H7" s="10">
        <f t="shared" ref="H7:R7" si="7">SUM(H8:H9)</f>
        <v>0</v>
      </c>
      <c r="I7" s="10">
        <f t="shared" si="7"/>
        <v>0</v>
      </c>
      <c r="J7" s="10">
        <f t="shared" si="7"/>
        <v>0</v>
      </c>
      <c r="K7" s="10">
        <f t="shared" si="7"/>
        <v>0</v>
      </c>
      <c r="L7" s="10">
        <f t="shared" si="7"/>
        <v>0</v>
      </c>
      <c r="M7" s="10">
        <f t="shared" si="7"/>
        <v>0</v>
      </c>
      <c r="N7" s="10">
        <f t="shared" si="7"/>
        <v>0</v>
      </c>
      <c r="O7" s="10">
        <f t="shared" si="7"/>
        <v>0</v>
      </c>
      <c r="P7" s="10">
        <f t="shared" si="7"/>
        <v>0</v>
      </c>
      <c r="Q7" s="10">
        <f t="shared" si="7"/>
        <v>0</v>
      </c>
      <c r="R7" s="10">
        <f t="shared" si="7"/>
        <v>0</v>
      </c>
    </row>
    <row r="8" s="1" customFormat="1" ht="14" customHeight="1" spans="1:18">
      <c r="A8" s="8"/>
      <c r="B8" s="12" t="s">
        <v>25</v>
      </c>
      <c r="C8" s="12">
        <f t="shared" si="0"/>
        <v>0</v>
      </c>
      <c r="D8" s="12">
        <f t="shared" si="1"/>
        <v>0</v>
      </c>
      <c r="E8" s="12">
        <f t="shared" si="2"/>
        <v>0</v>
      </c>
      <c r="F8" s="12">
        <f t="shared" si="5"/>
        <v>0</v>
      </c>
      <c r="G8" s="12">
        <v>0</v>
      </c>
      <c r="H8" s="12">
        <v>0</v>
      </c>
      <c r="I8" s="12">
        <v>0</v>
      </c>
      <c r="J8" s="12">
        <v>0</v>
      </c>
      <c r="K8" s="12"/>
      <c r="L8" s="12"/>
      <c r="M8" s="11"/>
      <c r="N8" s="12"/>
      <c r="O8" s="12"/>
      <c r="P8" s="12"/>
      <c r="Q8" s="11"/>
      <c r="R8" s="11"/>
    </row>
    <row r="9" s="1" customFormat="1" ht="14" customHeight="1" spans="1:18">
      <c r="A9" s="8"/>
      <c r="B9" s="12" t="s">
        <v>26</v>
      </c>
      <c r="C9" s="12">
        <f t="shared" si="0"/>
        <v>0</v>
      </c>
      <c r="D9" s="12">
        <f t="shared" si="1"/>
        <v>0</v>
      </c>
      <c r="E9" s="12">
        <f t="shared" si="2"/>
        <v>0</v>
      </c>
      <c r="F9" s="12">
        <f t="shared" si="5"/>
        <v>0</v>
      </c>
      <c r="G9" s="12">
        <v>0</v>
      </c>
      <c r="H9" s="12">
        <v>0</v>
      </c>
      <c r="I9" s="12">
        <v>0</v>
      </c>
      <c r="J9" s="12">
        <v>0</v>
      </c>
      <c r="K9" s="12"/>
      <c r="L9" s="12"/>
      <c r="M9" s="11"/>
      <c r="N9" s="12"/>
      <c r="O9" s="12"/>
      <c r="P9" s="12"/>
      <c r="Q9" s="11"/>
      <c r="R9" s="11"/>
    </row>
    <row r="10" s="1" customFormat="1" ht="14" customHeight="1" spans="1:18">
      <c r="A10" s="13" t="s">
        <v>27</v>
      </c>
      <c r="B10" s="14" t="s">
        <v>28</v>
      </c>
      <c r="C10" s="12">
        <f t="shared" si="0"/>
        <v>3378.29184500002</v>
      </c>
      <c r="D10" s="12">
        <f t="shared" si="1"/>
        <v>3198.19113</v>
      </c>
      <c r="E10" s="12">
        <f t="shared" si="2"/>
        <v>180.100715000018</v>
      </c>
      <c r="F10" s="12">
        <f t="shared" si="5"/>
        <v>0</v>
      </c>
      <c r="G10" s="11">
        <f>SUM(G11:G13)</f>
        <v>954.670089999964</v>
      </c>
      <c r="H10" s="11">
        <f t="shared" ref="H10:R10" si="8">SUM(H11:H13)</f>
        <v>952.786175000021</v>
      </c>
      <c r="I10" s="11">
        <f t="shared" si="8"/>
        <v>1290.73486500002</v>
      </c>
      <c r="J10" s="11">
        <f t="shared" si="8"/>
        <v>180.100715000018</v>
      </c>
      <c r="K10" s="11">
        <f t="shared" si="8"/>
        <v>0</v>
      </c>
      <c r="L10" s="11">
        <f t="shared" si="8"/>
        <v>0</v>
      </c>
      <c r="M10" s="11">
        <f t="shared" si="8"/>
        <v>0</v>
      </c>
      <c r="N10" s="11">
        <f t="shared" si="8"/>
        <v>0</v>
      </c>
      <c r="O10" s="11">
        <f t="shared" si="8"/>
        <v>0</v>
      </c>
      <c r="P10" s="11">
        <f t="shared" si="8"/>
        <v>0</v>
      </c>
      <c r="Q10" s="11">
        <f t="shared" si="8"/>
        <v>0</v>
      </c>
      <c r="R10" s="11">
        <f t="shared" si="8"/>
        <v>0</v>
      </c>
    </row>
    <row r="11" s="1" customFormat="1" ht="14" customHeight="1" outlineLevel="1" spans="1:18">
      <c r="A11" s="15"/>
      <c r="B11" s="11" t="s">
        <v>29</v>
      </c>
      <c r="C11" s="12">
        <f t="shared" si="0"/>
        <v>1981.354925</v>
      </c>
      <c r="D11" s="12">
        <f t="shared" si="1"/>
        <v>1967.351605</v>
      </c>
      <c r="E11" s="12">
        <f t="shared" si="2"/>
        <v>14.00332</v>
      </c>
      <c r="F11" s="12">
        <f t="shared" si="5"/>
        <v>0</v>
      </c>
      <c r="G11" s="11">
        <v>501.764745000002</v>
      </c>
      <c r="H11" s="11">
        <v>556.222060000004</v>
      </c>
      <c r="I11" s="11">
        <v>909.364799999991</v>
      </c>
      <c r="J11" s="11">
        <v>14.00332</v>
      </c>
      <c r="K11" s="11"/>
      <c r="L11" s="11"/>
      <c r="M11" s="11"/>
      <c r="N11" s="11"/>
      <c r="O11" s="11"/>
      <c r="P11" s="11"/>
      <c r="Q11" s="11"/>
      <c r="R11" s="11"/>
    </row>
    <row r="12" s="1" customFormat="1" ht="14" customHeight="1" outlineLevel="1" spans="1:18">
      <c r="A12" s="15"/>
      <c r="B12" s="11" t="s">
        <v>30</v>
      </c>
      <c r="C12" s="12">
        <f t="shared" si="0"/>
        <v>1169.23744500003</v>
      </c>
      <c r="D12" s="12">
        <f t="shared" si="1"/>
        <v>1003.09253000001</v>
      </c>
      <c r="E12" s="12">
        <f t="shared" si="2"/>
        <v>166.144915000018</v>
      </c>
      <c r="F12" s="12">
        <f t="shared" si="5"/>
        <v>0</v>
      </c>
      <c r="G12" s="11">
        <v>353.47055499997</v>
      </c>
      <c r="H12" s="11">
        <v>333.284340000016</v>
      </c>
      <c r="I12" s="11">
        <v>316.337635000025</v>
      </c>
      <c r="J12" s="11">
        <v>166.144915000018</v>
      </c>
      <c r="K12" s="11"/>
      <c r="L12" s="11"/>
      <c r="M12" s="11"/>
      <c r="N12" s="11"/>
      <c r="O12" s="11"/>
      <c r="P12" s="11"/>
      <c r="Q12" s="11"/>
      <c r="R12" s="11"/>
    </row>
    <row r="13" s="1" customFormat="1" ht="14" customHeight="1" outlineLevel="1" spans="1:18">
      <c r="A13" s="15"/>
      <c r="B13" s="11" t="s">
        <v>31</v>
      </c>
      <c r="C13" s="12">
        <f t="shared" si="0"/>
        <v>227.699474999994</v>
      </c>
      <c r="D13" s="12">
        <f t="shared" si="1"/>
        <v>227.746994999994</v>
      </c>
      <c r="E13" s="12">
        <f t="shared" si="2"/>
        <v>-0.04752</v>
      </c>
      <c r="F13" s="12">
        <f t="shared" si="5"/>
        <v>0</v>
      </c>
      <c r="G13" s="11">
        <v>99.4347899999917</v>
      </c>
      <c r="H13" s="11">
        <v>63.2797750000015</v>
      </c>
      <c r="I13" s="11">
        <v>65.032430000001</v>
      </c>
      <c r="J13" s="16">
        <v>-0.04752</v>
      </c>
      <c r="K13" s="11"/>
      <c r="L13" s="11"/>
      <c r="M13" s="11"/>
      <c r="N13" s="11"/>
      <c r="O13" s="11"/>
      <c r="P13" s="11"/>
      <c r="Q13" s="11"/>
      <c r="R13" s="11"/>
    </row>
    <row r="14" s="1" customFormat="1" ht="14" customHeight="1" spans="1:18">
      <c r="A14" s="15"/>
      <c r="B14" s="14" t="s">
        <v>32</v>
      </c>
      <c r="C14" s="12">
        <f t="shared" si="0"/>
        <v>1404.41035500003</v>
      </c>
      <c r="D14" s="12">
        <f t="shared" si="1"/>
        <v>533.202025000034</v>
      </c>
      <c r="E14" s="12">
        <f t="shared" si="2"/>
        <v>871.208329999991</v>
      </c>
      <c r="F14" s="12">
        <f t="shared" si="5"/>
        <v>0</v>
      </c>
      <c r="G14" s="11">
        <f>SUM(G15:G17)</f>
        <v>98.294650000001</v>
      </c>
      <c r="H14" s="11">
        <f t="shared" ref="H14:R14" si="9">SUM(H15:H17)</f>
        <v>45.496600000001</v>
      </c>
      <c r="I14" s="11">
        <f t="shared" si="9"/>
        <v>389.410775000032</v>
      </c>
      <c r="J14" s="11">
        <f t="shared" si="9"/>
        <v>871.208329999991</v>
      </c>
      <c r="K14" s="11">
        <f t="shared" si="9"/>
        <v>0</v>
      </c>
      <c r="L14" s="11">
        <f t="shared" si="9"/>
        <v>0</v>
      </c>
      <c r="M14" s="11">
        <f t="shared" si="9"/>
        <v>0</v>
      </c>
      <c r="N14" s="11">
        <f t="shared" si="9"/>
        <v>0</v>
      </c>
      <c r="O14" s="11">
        <f t="shared" si="9"/>
        <v>0</v>
      </c>
      <c r="P14" s="11">
        <f t="shared" si="9"/>
        <v>0</v>
      </c>
      <c r="Q14" s="11">
        <f t="shared" si="9"/>
        <v>0</v>
      </c>
      <c r="R14" s="11">
        <f t="shared" si="9"/>
        <v>0</v>
      </c>
    </row>
    <row r="15" s="1" customFormat="1" ht="14" customHeight="1" outlineLevel="1" spans="1:18">
      <c r="A15" s="15"/>
      <c r="B15" s="11" t="s">
        <v>33</v>
      </c>
      <c r="C15" s="12">
        <f t="shared" si="0"/>
        <v>589.022565000001</v>
      </c>
      <c r="D15" s="12">
        <f t="shared" si="1"/>
        <v>72.2205050000001</v>
      </c>
      <c r="E15" s="12">
        <f t="shared" si="2"/>
        <v>516.802060000001</v>
      </c>
      <c r="F15" s="12">
        <f t="shared" si="5"/>
        <v>0</v>
      </c>
      <c r="G15" s="11">
        <v>0</v>
      </c>
      <c r="H15" s="11">
        <v>0</v>
      </c>
      <c r="I15" s="11">
        <v>72.2205050000001</v>
      </c>
      <c r="J15" s="11">
        <v>516.802060000001</v>
      </c>
      <c r="K15" s="11"/>
      <c r="L15" s="11"/>
      <c r="M15" s="11"/>
      <c r="N15" s="11"/>
      <c r="O15" s="11"/>
      <c r="P15" s="11"/>
      <c r="Q15" s="11"/>
      <c r="R15" s="11"/>
    </row>
    <row r="16" s="1" customFormat="1" ht="14" customHeight="1" outlineLevel="1" spans="1:18">
      <c r="A16" s="15"/>
      <c r="B16" s="11" t="s">
        <v>34</v>
      </c>
      <c r="C16" s="12">
        <f t="shared" si="0"/>
        <v>621.389075000037</v>
      </c>
      <c r="D16" s="12">
        <f t="shared" si="1"/>
        <v>394.278095000032</v>
      </c>
      <c r="E16" s="12">
        <f t="shared" si="2"/>
        <v>227.110980000005</v>
      </c>
      <c r="F16" s="12">
        <f t="shared" si="5"/>
        <v>0</v>
      </c>
      <c r="G16" s="11">
        <v>98.294650000001</v>
      </c>
      <c r="H16" s="11">
        <v>45.496600000001</v>
      </c>
      <c r="I16" s="11">
        <v>250.48684500003</v>
      </c>
      <c r="J16" s="11">
        <v>227.110980000005</v>
      </c>
      <c r="K16" s="11"/>
      <c r="L16" s="11"/>
      <c r="M16" s="11"/>
      <c r="N16" s="11"/>
      <c r="O16" s="11"/>
      <c r="P16" s="11"/>
      <c r="Q16" s="11"/>
      <c r="R16" s="11"/>
    </row>
    <row r="17" s="1" customFormat="1" ht="14" customHeight="1" outlineLevel="1" spans="1:18">
      <c r="A17" s="15"/>
      <c r="B17" s="11" t="s">
        <v>35</v>
      </c>
      <c r="C17" s="12">
        <f t="shared" si="0"/>
        <v>193.998714999987</v>
      </c>
      <c r="D17" s="12">
        <f t="shared" si="1"/>
        <v>66.7034250000021</v>
      </c>
      <c r="E17" s="12">
        <f t="shared" si="2"/>
        <v>127.295289999985</v>
      </c>
      <c r="F17" s="12">
        <f t="shared" si="5"/>
        <v>0</v>
      </c>
      <c r="G17" s="11"/>
      <c r="H17" s="11"/>
      <c r="I17" s="11">
        <v>66.7034250000021</v>
      </c>
      <c r="J17" s="11">
        <v>127.295289999985</v>
      </c>
      <c r="K17" s="11"/>
      <c r="L17" s="11"/>
      <c r="M17" s="11"/>
      <c r="N17" s="11"/>
      <c r="O17" s="11"/>
      <c r="P17" s="11"/>
      <c r="Q17" s="11"/>
      <c r="R17" s="11"/>
    </row>
    <row r="18" s="1" customFormat="1" ht="14" customHeight="1" spans="1:18">
      <c r="A18" s="13" t="s">
        <v>36</v>
      </c>
      <c r="B18" s="11" t="s">
        <v>37</v>
      </c>
      <c r="C18" s="11">
        <f t="shared" ref="C18:C33" si="10">SUM(G18:R18)</f>
        <v>647.061675000002</v>
      </c>
      <c r="D18" s="11">
        <f t="shared" ref="D18:D34" si="11">SUM(G18:I18)</f>
        <v>585.979845000001</v>
      </c>
      <c r="E18" s="11">
        <f t="shared" ref="E18:E34" si="12">SUM(J18:L18)</f>
        <v>61.0818300000005</v>
      </c>
      <c r="F18" s="12">
        <f t="shared" ref="F18:F33" si="13">SUM(M18:O18)</f>
        <v>0</v>
      </c>
      <c r="G18" s="11">
        <f>SUM(G19:G21)</f>
        <v>371.190550000002</v>
      </c>
      <c r="H18" s="11">
        <f t="shared" ref="H18:R18" si="14">SUM(H19:H21)</f>
        <v>56.9155849999997</v>
      </c>
      <c r="I18" s="11">
        <f t="shared" si="14"/>
        <v>157.87371</v>
      </c>
      <c r="J18" s="11">
        <f t="shared" si="14"/>
        <v>61.0818300000005</v>
      </c>
      <c r="K18" s="11">
        <f t="shared" si="14"/>
        <v>0</v>
      </c>
      <c r="L18" s="11">
        <f t="shared" si="14"/>
        <v>0</v>
      </c>
      <c r="M18" s="11">
        <f t="shared" si="14"/>
        <v>0</v>
      </c>
      <c r="N18" s="11">
        <f t="shared" si="14"/>
        <v>0</v>
      </c>
      <c r="O18" s="11">
        <f t="shared" si="14"/>
        <v>0</v>
      </c>
      <c r="P18" s="11">
        <f t="shared" si="14"/>
        <v>0</v>
      </c>
      <c r="Q18" s="11">
        <f t="shared" si="14"/>
        <v>0</v>
      </c>
      <c r="R18" s="11">
        <f t="shared" si="14"/>
        <v>0</v>
      </c>
    </row>
    <row r="19" s="1" customFormat="1" ht="14" customHeight="1" outlineLevel="1" spans="1:18">
      <c r="A19" s="15"/>
      <c r="B19" s="11" t="s">
        <v>38</v>
      </c>
      <c r="C19" s="11">
        <f t="shared" si="10"/>
        <v>581.646080000003</v>
      </c>
      <c r="D19" s="11">
        <f t="shared" si="11"/>
        <v>520.564250000002</v>
      </c>
      <c r="E19" s="11">
        <f t="shared" si="12"/>
        <v>61.0818300000005</v>
      </c>
      <c r="F19" s="12">
        <f t="shared" si="13"/>
        <v>0</v>
      </c>
      <c r="G19" s="11">
        <v>371.190360000002</v>
      </c>
      <c r="H19" s="11">
        <v>56.7089599999997</v>
      </c>
      <c r="I19" s="11">
        <v>92.6649300000006</v>
      </c>
      <c r="J19" s="11">
        <v>61.0818300000005</v>
      </c>
      <c r="K19" s="11"/>
      <c r="L19" s="11"/>
      <c r="M19" s="11"/>
      <c r="N19" s="11"/>
      <c r="O19" s="11"/>
      <c r="P19" s="11"/>
      <c r="Q19" s="11"/>
      <c r="R19" s="11"/>
    </row>
    <row r="20" s="1" customFormat="1" ht="14" customHeight="1" outlineLevel="1" spans="1:18">
      <c r="A20" s="15"/>
      <c r="B20" s="11" t="s">
        <v>39</v>
      </c>
      <c r="C20" s="11">
        <f t="shared" si="10"/>
        <v>65.208779999999</v>
      </c>
      <c r="D20" s="11">
        <f t="shared" si="11"/>
        <v>65.208779999999</v>
      </c>
      <c r="E20" s="11">
        <f t="shared" si="12"/>
        <v>4.33680868994202e-19</v>
      </c>
      <c r="F20" s="12">
        <f t="shared" si="13"/>
        <v>0</v>
      </c>
      <c r="G20" s="11">
        <v>0</v>
      </c>
      <c r="H20" s="11">
        <v>0</v>
      </c>
      <c r="I20" s="11">
        <v>65.208779999999</v>
      </c>
      <c r="J20" s="11">
        <v>4.33680868994202e-19</v>
      </c>
      <c r="K20" s="11"/>
      <c r="L20" s="11"/>
      <c r="M20" s="11"/>
      <c r="N20" s="11"/>
      <c r="O20" s="11"/>
      <c r="P20" s="11"/>
      <c r="Q20" s="11"/>
      <c r="R20" s="11"/>
    </row>
    <row r="21" s="1" customFormat="1" ht="14" customHeight="1" outlineLevel="1" spans="1:18">
      <c r="A21" s="15"/>
      <c r="B21" s="11" t="s">
        <v>40</v>
      </c>
      <c r="C21" s="11">
        <f t="shared" si="10"/>
        <v>0.206815</v>
      </c>
      <c r="D21" s="11">
        <f t="shared" si="11"/>
        <v>0.206815</v>
      </c>
      <c r="E21" s="11">
        <f t="shared" si="12"/>
        <v>-3.46944695195361e-18</v>
      </c>
      <c r="F21" s="12">
        <f t="shared" si="13"/>
        <v>0</v>
      </c>
      <c r="G21" s="11">
        <v>0.000189999999999965</v>
      </c>
      <c r="H21" s="11">
        <v>0.206625</v>
      </c>
      <c r="I21" s="11">
        <v>0</v>
      </c>
      <c r="J21" s="16">
        <v>-3.46944695195361e-18</v>
      </c>
      <c r="K21" s="11"/>
      <c r="L21" s="11"/>
      <c r="M21" s="11"/>
      <c r="N21" s="11"/>
      <c r="O21" s="11"/>
      <c r="P21" s="11"/>
      <c r="Q21" s="11"/>
      <c r="R21" s="11"/>
    </row>
    <row r="22" s="1" customFormat="1" ht="14" customHeight="1" spans="1:18">
      <c r="A22" s="15"/>
      <c r="B22" s="11" t="s">
        <v>41</v>
      </c>
      <c r="C22" s="11">
        <f t="shared" si="10"/>
        <v>2077.65298000001</v>
      </c>
      <c r="D22" s="11">
        <f t="shared" si="11"/>
        <v>1589.07057500001</v>
      </c>
      <c r="E22" s="11">
        <f t="shared" si="12"/>
        <v>488.582405000008</v>
      </c>
      <c r="F22" s="12">
        <f t="shared" si="13"/>
        <v>0</v>
      </c>
      <c r="G22" s="11">
        <f>SUM(G23:G25)</f>
        <v>369.714950000015</v>
      </c>
      <c r="H22" s="11">
        <f t="shared" ref="H22:R22" si="15">SUM(H23:H25)</f>
        <v>490.774395000007</v>
      </c>
      <c r="I22" s="11">
        <f t="shared" si="15"/>
        <v>728.581229999985</v>
      </c>
      <c r="J22" s="11">
        <f t="shared" si="15"/>
        <v>488.582405000008</v>
      </c>
      <c r="K22" s="11">
        <f t="shared" si="15"/>
        <v>0</v>
      </c>
      <c r="L22" s="11">
        <f t="shared" si="15"/>
        <v>0</v>
      </c>
      <c r="M22" s="11">
        <f t="shared" si="15"/>
        <v>0</v>
      </c>
      <c r="N22" s="11">
        <f t="shared" si="15"/>
        <v>0</v>
      </c>
      <c r="O22" s="11">
        <f t="shared" si="15"/>
        <v>0</v>
      </c>
      <c r="P22" s="11">
        <f t="shared" si="15"/>
        <v>0</v>
      </c>
      <c r="Q22" s="11">
        <f t="shared" si="15"/>
        <v>0</v>
      </c>
      <c r="R22" s="11">
        <f t="shared" si="15"/>
        <v>0</v>
      </c>
    </row>
    <row r="23" s="1" customFormat="1" ht="14" customHeight="1" outlineLevel="1" spans="1:18">
      <c r="A23" s="15"/>
      <c r="B23" s="11" t="s">
        <v>42</v>
      </c>
      <c r="C23" s="11">
        <f t="shared" si="10"/>
        <v>820.810065000005</v>
      </c>
      <c r="D23" s="11">
        <f t="shared" si="11"/>
        <v>617.402035000004</v>
      </c>
      <c r="E23" s="11">
        <f t="shared" si="12"/>
        <v>203.408030000001</v>
      </c>
      <c r="F23" s="12">
        <f t="shared" si="13"/>
        <v>0</v>
      </c>
      <c r="G23" s="11">
        <v>74.6915600000001</v>
      </c>
      <c r="H23" s="11">
        <v>195.913890000001</v>
      </c>
      <c r="I23" s="11">
        <v>346.796585000003</v>
      </c>
      <c r="J23" s="11">
        <v>203.408030000001</v>
      </c>
      <c r="K23" s="11"/>
      <c r="L23" s="11"/>
      <c r="M23" s="11"/>
      <c r="N23" s="11"/>
      <c r="O23" s="11"/>
      <c r="P23" s="11"/>
      <c r="Q23" s="11"/>
      <c r="R23" s="11"/>
    </row>
    <row r="24" s="1" customFormat="1" ht="14" customHeight="1" outlineLevel="1" spans="1:18">
      <c r="A24" s="15"/>
      <c r="B24" s="11" t="s">
        <v>43</v>
      </c>
      <c r="C24" s="11">
        <f t="shared" si="10"/>
        <v>1190.18701000001</v>
      </c>
      <c r="D24" s="11">
        <f t="shared" si="11"/>
        <v>904.965115000001</v>
      </c>
      <c r="E24" s="11">
        <f t="shared" si="12"/>
        <v>285.221895000007</v>
      </c>
      <c r="F24" s="12">
        <f t="shared" si="13"/>
        <v>0</v>
      </c>
      <c r="G24" s="11">
        <v>295.023390000015</v>
      </c>
      <c r="H24" s="11">
        <v>294.860505000006</v>
      </c>
      <c r="I24" s="11">
        <v>315.08121999998</v>
      </c>
      <c r="J24" s="11">
        <v>285.221895000007</v>
      </c>
      <c r="K24" s="11"/>
      <c r="L24" s="11"/>
      <c r="M24" s="11"/>
      <c r="N24" s="11"/>
      <c r="O24" s="11"/>
      <c r="P24" s="11"/>
      <c r="Q24" s="11"/>
      <c r="R24" s="11"/>
    </row>
    <row r="25" s="1" customFormat="1" ht="14" customHeight="1" outlineLevel="1" spans="1:18">
      <c r="A25" s="15"/>
      <c r="B25" s="11" t="s">
        <v>44</v>
      </c>
      <c r="C25" s="11">
        <f t="shared" si="10"/>
        <v>66.6559050000021</v>
      </c>
      <c r="D25" s="11">
        <f t="shared" si="11"/>
        <v>66.7034250000021</v>
      </c>
      <c r="E25" s="11">
        <f t="shared" si="12"/>
        <v>-0.04752</v>
      </c>
      <c r="F25" s="12">
        <f t="shared" si="13"/>
        <v>0</v>
      </c>
      <c r="G25" s="11">
        <v>0</v>
      </c>
      <c r="H25" s="11">
        <v>0</v>
      </c>
      <c r="I25" s="11">
        <v>66.7034250000021</v>
      </c>
      <c r="J25" s="16">
        <v>-0.04752</v>
      </c>
      <c r="K25" s="11"/>
      <c r="L25" s="11"/>
      <c r="M25" s="11"/>
      <c r="N25" s="11"/>
      <c r="O25" s="11"/>
      <c r="P25" s="11"/>
      <c r="Q25" s="11"/>
      <c r="R25" s="11"/>
    </row>
    <row r="26" s="1" customFormat="1" ht="14" customHeight="1" spans="1:18">
      <c r="A26" s="15"/>
      <c r="B26" s="11" t="s">
        <v>45</v>
      </c>
      <c r="C26" s="11">
        <f t="shared" si="10"/>
        <v>2057.98754499995</v>
      </c>
      <c r="D26" s="11">
        <f t="shared" si="11"/>
        <v>1556.34273499998</v>
      </c>
      <c r="E26" s="11">
        <f t="shared" si="12"/>
        <v>501.644809999976</v>
      </c>
      <c r="F26" s="12">
        <f t="shared" si="13"/>
        <v>0</v>
      </c>
      <c r="G26" s="11">
        <f>SUM(G27:G29)</f>
        <v>312.059239999985</v>
      </c>
      <c r="H26" s="11">
        <f t="shared" ref="H26:R26" si="16">SUM(H27:H29)</f>
        <v>450.592794999996</v>
      </c>
      <c r="I26" s="11">
        <f t="shared" si="16"/>
        <v>793.690699999997</v>
      </c>
      <c r="J26" s="11">
        <f t="shared" si="16"/>
        <v>501.644809999976</v>
      </c>
      <c r="K26" s="11">
        <f t="shared" si="16"/>
        <v>0</v>
      </c>
      <c r="L26" s="11">
        <f t="shared" si="16"/>
        <v>0</v>
      </c>
      <c r="M26" s="11">
        <f t="shared" si="16"/>
        <v>0</v>
      </c>
      <c r="N26" s="11">
        <f t="shared" si="16"/>
        <v>0</v>
      </c>
      <c r="O26" s="11">
        <f t="shared" si="16"/>
        <v>0</v>
      </c>
      <c r="P26" s="11">
        <f t="shared" si="16"/>
        <v>0</v>
      </c>
      <c r="Q26" s="11">
        <f t="shared" si="16"/>
        <v>0</v>
      </c>
      <c r="R26" s="11">
        <f t="shared" si="16"/>
        <v>0</v>
      </c>
    </row>
    <row r="27" s="1" customFormat="1" ht="14" customHeight="1" outlineLevel="1" spans="1:18">
      <c r="A27" s="15"/>
      <c r="B27" s="11" t="s">
        <v>46</v>
      </c>
      <c r="C27" s="11">
        <f t="shared" si="10"/>
        <v>1167.92134499999</v>
      </c>
      <c r="D27" s="11">
        <f t="shared" si="11"/>
        <v>901.60582499999</v>
      </c>
      <c r="E27" s="11">
        <f t="shared" si="12"/>
        <v>266.31552</v>
      </c>
      <c r="F27" s="12">
        <f t="shared" si="13"/>
        <v>0</v>
      </c>
      <c r="G27" s="11">
        <v>55.8828250000001</v>
      </c>
      <c r="H27" s="11">
        <v>303.599209999999</v>
      </c>
      <c r="I27" s="11">
        <v>542.123789999991</v>
      </c>
      <c r="J27" s="11">
        <v>266.31552</v>
      </c>
      <c r="K27" s="11"/>
      <c r="L27" s="11"/>
      <c r="M27" s="11"/>
      <c r="N27" s="11"/>
      <c r="O27" s="11"/>
      <c r="P27" s="11"/>
      <c r="Q27" s="11"/>
      <c r="R27" s="11"/>
    </row>
    <row r="28" s="1" customFormat="1" ht="14" customHeight="1" outlineLevel="1" spans="1:18">
      <c r="A28" s="17"/>
      <c r="B28" s="11" t="s">
        <v>47</v>
      </c>
      <c r="C28" s="11">
        <f t="shared" si="10"/>
        <v>535.230729999985</v>
      </c>
      <c r="D28" s="11">
        <f t="shared" si="11"/>
        <v>427.196729999994</v>
      </c>
      <c r="E28" s="11">
        <f t="shared" si="12"/>
        <v>108.033999999991</v>
      </c>
      <c r="F28" s="12">
        <f t="shared" si="13"/>
        <v>0</v>
      </c>
      <c r="G28" s="11">
        <v>156.741814999993</v>
      </c>
      <c r="H28" s="11">
        <v>83.9204349999955</v>
      </c>
      <c r="I28" s="11">
        <v>186.534480000005</v>
      </c>
      <c r="J28" s="11">
        <v>108.033999999991</v>
      </c>
      <c r="K28" s="11"/>
      <c r="L28" s="11"/>
      <c r="M28" s="11"/>
      <c r="N28" s="11"/>
      <c r="O28" s="11"/>
      <c r="P28" s="11"/>
      <c r="Q28" s="11"/>
      <c r="R28" s="11"/>
    </row>
    <row r="29" s="1" customFormat="1" ht="14" customHeight="1" outlineLevel="1" spans="1:18">
      <c r="A29" s="17"/>
      <c r="B29" s="11" t="s">
        <v>48</v>
      </c>
      <c r="C29" s="11">
        <f t="shared" si="10"/>
        <v>354.835469999979</v>
      </c>
      <c r="D29" s="11">
        <f t="shared" si="11"/>
        <v>227.540179999994</v>
      </c>
      <c r="E29" s="11">
        <f t="shared" si="12"/>
        <v>127.295289999985</v>
      </c>
      <c r="F29" s="12">
        <f t="shared" si="13"/>
        <v>0</v>
      </c>
      <c r="G29" s="11">
        <v>99.4345999999917</v>
      </c>
      <c r="H29" s="11">
        <v>63.0731500000015</v>
      </c>
      <c r="I29" s="11">
        <v>65.032430000001</v>
      </c>
      <c r="J29" s="11">
        <v>127.295289999985</v>
      </c>
      <c r="K29" s="11"/>
      <c r="L29" s="11"/>
      <c r="M29" s="11"/>
      <c r="N29" s="11"/>
      <c r="O29" s="11"/>
      <c r="P29" s="11"/>
      <c r="Q29" s="11"/>
      <c r="R29" s="11"/>
    </row>
    <row r="30" s="1" customFormat="1" ht="14" customHeight="1" spans="1:18">
      <c r="A30" s="13" t="s">
        <v>49</v>
      </c>
      <c r="B30" s="9" t="s">
        <v>50</v>
      </c>
      <c r="C30" s="10">
        <f t="shared" si="10"/>
        <v>4906.14498500003</v>
      </c>
      <c r="D30" s="10">
        <f t="shared" si="11"/>
        <v>3954.21518000003</v>
      </c>
      <c r="E30" s="10">
        <f t="shared" si="12"/>
        <v>951.929805000001</v>
      </c>
      <c r="F30" s="10">
        <f t="shared" si="13"/>
        <v>0</v>
      </c>
      <c r="G30" s="10">
        <f>SUM(G31:G33)</f>
        <v>995.925925000001</v>
      </c>
      <c r="H30" s="10">
        <f t="shared" ref="H30:R30" si="17">SUM(H31:H33)</f>
        <v>649.644590000002</v>
      </c>
      <c r="I30" s="10">
        <f t="shared" si="17"/>
        <v>2308.64466500002</v>
      </c>
      <c r="J30" s="10">
        <f t="shared" si="17"/>
        <v>951.929805000001</v>
      </c>
      <c r="K30" s="10">
        <f t="shared" si="17"/>
        <v>0</v>
      </c>
      <c r="L30" s="10">
        <f t="shared" si="17"/>
        <v>0</v>
      </c>
      <c r="M30" s="10">
        <f t="shared" si="17"/>
        <v>0</v>
      </c>
      <c r="N30" s="10">
        <f t="shared" si="17"/>
        <v>0</v>
      </c>
      <c r="O30" s="10">
        <f t="shared" si="17"/>
        <v>0</v>
      </c>
      <c r="P30" s="10">
        <f t="shared" si="17"/>
        <v>0</v>
      </c>
      <c r="Q30" s="10">
        <f t="shared" si="17"/>
        <v>0</v>
      </c>
      <c r="R30" s="10">
        <f t="shared" si="17"/>
        <v>0</v>
      </c>
    </row>
    <row r="31" s="1" customFormat="1" ht="14" customHeight="1" outlineLevel="1" spans="1:18">
      <c r="A31" s="15"/>
      <c r="B31" s="12" t="s">
        <v>51</v>
      </c>
      <c r="C31" s="12">
        <f t="shared" si="10"/>
        <v>2607.37507000001</v>
      </c>
      <c r="D31" s="12">
        <f t="shared" si="11"/>
        <v>2169.93703500001</v>
      </c>
      <c r="E31" s="12">
        <f t="shared" si="12"/>
        <v>437.438035000001</v>
      </c>
      <c r="F31" s="12">
        <f t="shared" si="13"/>
        <v>0</v>
      </c>
      <c r="G31" s="12">
        <v>476.569125000001</v>
      </c>
      <c r="H31" s="12">
        <v>454.235395000001</v>
      </c>
      <c r="I31" s="12">
        <v>1239.13251500001</v>
      </c>
      <c r="J31" s="12">
        <v>437.438035000001</v>
      </c>
      <c r="K31" s="12"/>
      <c r="L31" s="12"/>
      <c r="M31" s="11"/>
      <c r="N31" s="11"/>
      <c r="O31" s="11"/>
      <c r="P31" s="11"/>
      <c r="Q31" s="11"/>
      <c r="R31" s="11"/>
    </row>
    <row r="32" s="1" customFormat="1" ht="14" customHeight="1" outlineLevel="1" spans="1:18">
      <c r="A32" s="15"/>
      <c r="B32" s="11" t="s">
        <v>52</v>
      </c>
      <c r="C32" s="11">
        <f t="shared" si="10"/>
        <v>1870.62265000001</v>
      </c>
      <c r="D32" s="11">
        <f t="shared" si="11"/>
        <v>1443.61065500001</v>
      </c>
      <c r="E32" s="11">
        <f t="shared" si="12"/>
        <v>427.011995</v>
      </c>
      <c r="F32" s="12">
        <f t="shared" si="13"/>
        <v>0</v>
      </c>
      <c r="G32" s="11">
        <v>408.55513</v>
      </c>
      <c r="H32" s="11">
        <v>176.556010000001</v>
      </c>
      <c r="I32" s="11">
        <v>858.499515000011</v>
      </c>
      <c r="J32" s="11">
        <v>427.011995</v>
      </c>
      <c r="K32" s="11"/>
      <c r="L32" s="11"/>
      <c r="M32" s="11"/>
      <c r="N32" s="11"/>
      <c r="O32" s="11"/>
      <c r="P32" s="11"/>
      <c r="Q32" s="11"/>
      <c r="R32" s="11"/>
    </row>
    <row r="33" s="1" customFormat="1" ht="14" customHeight="1" outlineLevel="1" spans="1:18">
      <c r="A33" s="15"/>
      <c r="B33" s="11" t="s">
        <v>53</v>
      </c>
      <c r="C33" s="11">
        <f t="shared" si="10"/>
        <v>428.147265000001</v>
      </c>
      <c r="D33" s="11">
        <f t="shared" si="11"/>
        <v>340.667490000001</v>
      </c>
      <c r="E33" s="11">
        <f t="shared" si="12"/>
        <v>87.4797749999998</v>
      </c>
      <c r="F33" s="12">
        <f t="shared" si="13"/>
        <v>0</v>
      </c>
      <c r="G33" s="11">
        <v>110.80167</v>
      </c>
      <c r="H33" s="11">
        <v>18.853185</v>
      </c>
      <c r="I33" s="11">
        <v>211.012635000001</v>
      </c>
      <c r="J33" s="11">
        <v>87.4797749999998</v>
      </c>
      <c r="K33" s="11"/>
      <c r="L33" s="11"/>
      <c r="M33" s="11"/>
      <c r="N33" s="11"/>
      <c r="O33" s="11"/>
      <c r="P33" s="11"/>
      <c r="Q33" s="11"/>
      <c r="R33" s="11"/>
    </row>
    <row r="34" s="1" customFormat="1" ht="14" customHeight="1" spans="1:18">
      <c r="A34" s="8" t="s">
        <v>54</v>
      </c>
      <c r="B34" s="9" t="s">
        <v>55</v>
      </c>
      <c r="C34" s="10">
        <f>SUM(C35:C37)</f>
        <v>0</v>
      </c>
      <c r="D34" s="10">
        <f t="shared" si="11"/>
        <v>1744.229935</v>
      </c>
      <c r="E34" s="10">
        <f t="shared" si="12"/>
        <v>374.23911</v>
      </c>
      <c r="F34" s="10">
        <f>O34</f>
        <v>0</v>
      </c>
      <c r="G34" s="10">
        <f>SUM(G35:G37)</f>
        <v>553.35672</v>
      </c>
      <c r="H34" s="10">
        <f t="shared" ref="H34:R34" si="18">SUM(H35:H37)</f>
        <v>916.52038</v>
      </c>
      <c r="I34" s="10">
        <f t="shared" si="18"/>
        <v>274.352835</v>
      </c>
      <c r="J34" s="10">
        <f t="shared" si="18"/>
        <v>374.23911</v>
      </c>
      <c r="K34" s="10">
        <f t="shared" si="18"/>
        <v>0</v>
      </c>
      <c r="L34" s="10">
        <f t="shared" si="18"/>
        <v>0</v>
      </c>
      <c r="M34" s="10">
        <f t="shared" si="18"/>
        <v>0</v>
      </c>
      <c r="N34" s="10">
        <f t="shared" si="18"/>
        <v>0</v>
      </c>
      <c r="O34" s="10">
        <f t="shared" si="18"/>
        <v>0</v>
      </c>
      <c r="P34" s="10">
        <f t="shared" si="18"/>
        <v>0</v>
      </c>
      <c r="Q34" s="10">
        <f t="shared" si="18"/>
        <v>0</v>
      </c>
      <c r="R34" s="10">
        <f t="shared" si="18"/>
        <v>0</v>
      </c>
    </row>
    <row r="35" s="1" customFormat="1" ht="14" customHeight="1" outlineLevel="1" spans="1:18">
      <c r="A35" s="8"/>
      <c r="B35" s="11" t="s">
        <v>56</v>
      </c>
      <c r="C35" s="11">
        <f>O35</f>
        <v>0</v>
      </c>
      <c r="D35" s="11">
        <f t="shared" ref="D35:D41" si="19">I35</f>
        <v>128.44968</v>
      </c>
      <c r="E35" s="11">
        <f t="shared" ref="E35:E41" si="20">L35</f>
        <v>0</v>
      </c>
      <c r="F35" s="11">
        <f>P35</f>
        <v>0</v>
      </c>
      <c r="G35" s="11">
        <v>282.375195</v>
      </c>
      <c r="H35" s="11">
        <v>399.891785</v>
      </c>
      <c r="I35" s="11">
        <v>128.44968</v>
      </c>
      <c r="J35" s="11">
        <v>222.760775</v>
      </c>
      <c r="K35" s="11"/>
      <c r="L35" s="11"/>
      <c r="M35" s="11"/>
      <c r="N35" s="11"/>
      <c r="O35" s="11"/>
      <c r="P35" s="11"/>
      <c r="Q35" s="11"/>
      <c r="R35" s="11"/>
    </row>
    <row r="36" s="1" customFormat="1" ht="14" customHeight="1" outlineLevel="1" spans="1:18">
      <c r="A36" s="8"/>
      <c r="B36" s="11" t="s">
        <v>57</v>
      </c>
      <c r="C36" s="11">
        <f>O36</f>
        <v>0</v>
      </c>
      <c r="D36" s="11">
        <f t="shared" si="19"/>
        <v>129.838895</v>
      </c>
      <c r="E36" s="11">
        <f t="shared" si="20"/>
        <v>0</v>
      </c>
      <c r="F36" s="11">
        <f>P36</f>
        <v>0</v>
      </c>
      <c r="G36" s="11">
        <v>219.41534</v>
      </c>
      <c r="H36" s="11">
        <v>421.641585</v>
      </c>
      <c r="I36" s="11">
        <v>129.838895</v>
      </c>
      <c r="J36" s="11">
        <v>96.0646650000001</v>
      </c>
      <c r="K36" s="11"/>
      <c r="L36" s="11"/>
      <c r="M36" s="11"/>
      <c r="N36" s="11"/>
      <c r="O36" s="11"/>
      <c r="P36" s="11"/>
      <c r="Q36" s="11"/>
      <c r="R36" s="11"/>
    </row>
    <row r="37" s="1" customFormat="1" ht="14" customHeight="1" outlineLevel="1" spans="1:18">
      <c r="A37" s="8"/>
      <c r="B37" s="11" t="s">
        <v>58</v>
      </c>
      <c r="C37" s="11">
        <f>O37</f>
        <v>0</v>
      </c>
      <c r="D37" s="11">
        <f t="shared" si="19"/>
        <v>16.06426</v>
      </c>
      <c r="E37" s="11">
        <f t="shared" si="20"/>
        <v>0</v>
      </c>
      <c r="F37" s="11">
        <f>P37</f>
        <v>0</v>
      </c>
      <c r="G37" s="11">
        <f>47.51802+4.048165</f>
        <v>51.566185</v>
      </c>
      <c r="H37" s="11">
        <f>91.91026+3.07675</f>
        <v>94.98701</v>
      </c>
      <c r="I37" s="11">
        <f>13.57964+2.48462</f>
        <v>16.06426</v>
      </c>
      <c r="J37" s="11">
        <v>55.41367</v>
      </c>
      <c r="K37" s="11"/>
      <c r="L37" s="11"/>
      <c r="M37" s="11"/>
      <c r="N37" s="11"/>
      <c r="O37" s="11"/>
      <c r="P37" s="11"/>
      <c r="Q37" s="11"/>
      <c r="R37" s="11"/>
    </row>
    <row r="38" s="1" customFormat="1" ht="14" customHeight="1" spans="1:18">
      <c r="A38" s="18" t="s">
        <v>59</v>
      </c>
      <c r="B38" s="19" t="s">
        <v>60</v>
      </c>
      <c r="C38" s="10">
        <f>SUM(C39:C41)</f>
        <v>0</v>
      </c>
      <c r="D38" s="10">
        <f t="shared" si="19"/>
        <v>60.21038</v>
      </c>
      <c r="E38" s="10">
        <f t="shared" si="20"/>
        <v>0</v>
      </c>
      <c r="F38" s="10">
        <f>O38</f>
        <v>0</v>
      </c>
      <c r="G38" s="10">
        <f>SUM(G39:G41)</f>
        <v>22.496475</v>
      </c>
      <c r="H38" s="10">
        <f t="shared" ref="H38:R38" si="21">SUM(H39:H41)</f>
        <v>32.214795</v>
      </c>
      <c r="I38" s="10">
        <f t="shared" si="21"/>
        <v>60.21038</v>
      </c>
      <c r="J38" s="10">
        <f t="shared" si="21"/>
        <v>40.978995</v>
      </c>
      <c r="K38" s="10">
        <f t="shared" si="21"/>
        <v>0</v>
      </c>
      <c r="L38" s="10">
        <f t="shared" si="21"/>
        <v>0</v>
      </c>
      <c r="M38" s="10">
        <f t="shared" si="21"/>
        <v>0</v>
      </c>
      <c r="N38" s="10">
        <f t="shared" si="21"/>
        <v>0</v>
      </c>
      <c r="O38" s="10">
        <f t="shared" si="21"/>
        <v>0</v>
      </c>
      <c r="P38" s="10">
        <f t="shared" si="21"/>
        <v>0</v>
      </c>
      <c r="Q38" s="10">
        <f t="shared" si="21"/>
        <v>0</v>
      </c>
      <c r="R38" s="10">
        <f t="shared" si="21"/>
        <v>0</v>
      </c>
    </row>
    <row r="39" s="2" customFormat="1" ht="14" customHeight="1" outlineLevel="1" spans="1:18">
      <c r="A39" s="18"/>
      <c r="B39" s="20" t="s">
        <v>61</v>
      </c>
      <c r="C39" s="12">
        <f>N39</f>
        <v>0</v>
      </c>
      <c r="D39" s="12">
        <f t="shared" si="19"/>
        <v>48.520225</v>
      </c>
      <c r="E39" s="12">
        <f t="shared" si="20"/>
        <v>0</v>
      </c>
      <c r="F39" s="12">
        <f>P39</f>
        <v>0</v>
      </c>
      <c r="G39" s="20">
        <v>12.560545</v>
      </c>
      <c r="H39" s="20">
        <v>11.645425</v>
      </c>
      <c r="I39" s="20">
        <v>48.520225</v>
      </c>
      <c r="J39" s="20">
        <v>39.597215</v>
      </c>
      <c r="K39" s="20"/>
      <c r="L39" s="20"/>
      <c r="M39" s="21"/>
      <c r="N39" s="21"/>
      <c r="O39" s="21"/>
      <c r="P39" s="21"/>
      <c r="Q39" s="21"/>
      <c r="R39" s="21"/>
    </row>
    <row r="40" s="2" customFormat="1" ht="14" customHeight="1" outlineLevel="1" spans="1:18">
      <c r="A40" s="18"/>
      <c r="B40" s="21" t="s">
        <v>62</v>
      </c>
      <c r="C40" s="12">
        <f>N40</f>
        <v>0</v>
      </c>
      <c r="D40" s="12">
        <f t="shared" si="19"/>
        <v>11.690155</v>
      </c>
      <c r="E40" s="12">
        <f t="shared" si="20"/>
        <v>0</v>
      </c>
      <c r="F40" s="12">
        <f>P40</f>
        <v>0</v>
      </c>
      <c r="G40" s="21">
        <v>8.67233</v>
      </c>
      <c r="H40" s="21">
        <v>19.30577</v>
      </c>
      <c r="I40" s="21">
        <v>11.690155</v>
      </c>
      <c r="J40" s="21">
        <v>1.38178</v>
      </c>
      <c r="K40" s="21"/>
      <c r="L40" s="21"/>
      <c r="M40" s="21"/>
      <c r="N40" s="21"/>
      <c r="O40" s="21"/>
      <c r="P40" s="21"/>
      <c r="Q40" s="21"/>
      <c r="R40" s="21"/>
    </row>
    <row r="41" s="2" customFormat="1" ht="14" customHeight="1" outlineLevel="1" spans="1:18">
      <c r="A41" s="18"/>
      <c r="B41" s="21" t="s">
        <v>63</v>
      </c>
      <c r="C41" s="12">
        <f>N41</f>
        <v>0</v>
      </c>
      <c r="D41" s="12">
        <f t="shared" si="19"/>
        <v>0</v>
      </c>
      <c r="E41" s="12">
        <f t="shared" si="20"/>
        <v>0</v>
      </c>
      <c r="F41" s="12">
        <f>P41</f>
        <v>0</v>
      </c>
      <c r="G41" s="21">
        <v>1.2636</v>
      </c>
      <c r="H41" s="21">
        <v>1.2636</v>
      </c>
      <c r="I41" s="21">
        <v>0</v>
      </c>
      <c r="J41" s="21">
        <v>0</v>
      </c>
      <c r="K41" s="21"/>
      <c r="L41" s="21"/>
      <c r="M41" s="21"/>
      <c r="N41" s="21"/>
      <c r="O41" s="21"/>
      <c r="P41" s="21"/>
      <c r="Q41" s="21"/>
      <c r="R41" s="21"/>
    </row>
  </sheetData>
  <mergeCells count="6">
    <mergeCell ref="A2:A9"/>
    <mergeCell ref="A10:A17"/>
    <mergeCell ref="A18:A29"/>
    <mergeCell ref="A30:A33"/>
    <mergeCell ref="A34:A37"/>
    <mergeCell ref="A38:A41"/>
  </mergeCells>
  <conditionalFormatting sqref="O15">
    <cfRule type="cellIs" dxfId="0" priority="7" operator="equal">
      <formula>0</formula>
    </cfRule>
  </conditionalFormatting>
  <conditionalFormatting sqref="Q15">
    <cfRule type="cellIs" dxfId="0" priority="2" operator="equal">
      <formula>0</formula>
    </cfRule>
  </conditionalFormatting>
  <conditionalFormatting sqref="Q20">
    <cfRule type="cellIs" dxfId="0" priority="1" operator="equal">
      <formula>0</formula>
    </cfRule>
  </conditionalFormatting>
  <conditionalFormatting sqref="N25:P25">
    <cfRule type="cellIs" dxfId="0" priority="3" operator="equal">
      <formula>0</formula>
    </cfRule>
  </conditionalFormatting>
  <conditionalFormatting sqref="F1:F41">
    <cfRule type="cellIs" dxfId="0" priority="6" operator="equal">
      <formula>0</formula>
    </cfRule>
  </conditionalFormatting>
  <conditionalFormatting sqref="A1:E9 G16:R18 G1:R3 G4:L6 G14:R14 G15:L15 G10:R10 B10:E27 G7:R7 G8:L9 G11:L13 B29:E29 N26:R26 B31:E33 G38:R38 A30:E30 G35:L37 A34:E34 G27:L27 G19:L20 B35:E35 B36:B38 G25:M26 G23:L24 G22:R22 G21:M21 G30:R30 G34:R34 G31:L33 G29:L29 C36:E41">
    <cfRule type="cellIs" dxfId="0" priority="11" operator="equal">
      <formula>0</formula>
    </cfRule>
  </conditionalFormatting>
  <conditionalFormatting sqref="N8:P9">
    <cfRule type="cellIs" dxfId="0" priority="8" operator="equal">
      <formula>0</formula>
    </cfRule>
  </conditionalFormatting>
  <conditionalFormatting sqref="N20:P21">
    <cfRule type="cellIs" dxfId="0" priority="4" operator="equal">
      <formula>0</formula>
    </cfRule>
  </conditionalFormatting>
  <conditionalFormatting sqref="B28:E28 G28:L28">
    <cfRule type="cellIs" dxfId="0" priority="10" operator="equal">
      <formula>0</formula>
    </cfRule>
  </conditionalFormatting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产销存汇总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刘莹莹</dc:creator>
  <cp:lastModifiedBy>zhuchangchao</cp:lastModifiedBy>
  <dcterms:created xsi:type="dcterms:W3CDTF">2023-05-12T19:15:00Z</dcterms:created>
  <dcterms:modified xsi:type="dcterms:W3CDTF">2026-05-14T10:43:41Z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2052-12.1.25869.25869</vt:lpwstr>
  </property>
  <property fmtid="{D5CDD505-2E9C-101B-9397-08002B2CF9AE}" pid="3" name="KSOReadingLayout">
    <vt:bool>true</vt:bool>
  </property>
  <property fmtid="{D5CDD505-2E9C-101B-9397-08002B2CF9AE}" pid="4" name="ICV">
    <vt:lpwstr>2710DA944F6947D39AE1B95D18B17DA8_12</vt:lpwstr>
  </property>
  <property fmtid="{D5CDD505-2E9C-101B-9397-08002B2CF9AE}" pid="5" name="CalculationRule">
    <vt:i4>0</vt:i4>
  </property>
</Properties>
</file>